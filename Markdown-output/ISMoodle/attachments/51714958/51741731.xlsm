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workbookPr showInkAnnotation="0" codeName="ThisWorkbook" autoCompressPictures="0"/>
  <bookViews>
    <workbookView xWindow="0" yWindow="0" windowWidth="25600" windowHeight="19020" tabRatio="500"/>
  </bookViews>
  <sheets>
    <sheet name="Roles Overview" sheetId="8" r:id="rId1"/>
    <sheet name="IOE Role Defs" sheetId="3" r:id="rId2"/>
    <sheet name="UCL Role Defs" sheetId="5" r:id="rId3"/>
    <sheet name="Capability Comparison Worksheet" sheetId="6" state="hidden" r:id="rId4"/>
    <sheet name="Capabilities Overview" sheetId="7" r:id="rId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874" i="3" l="1"/>
  <c r="D873" i="3"/>
  <c r="D872" i="3"/>
  <c r="D871" i="3"/>
  <c r="D870" i="3"/>
  <c r="D869" i="3"/>
  <c r="D868" i="3"/>
  <c r="D867" i="3"/>
  <c r="D866" i="3"/>
  <c r="D865" i="3"/>
  <c r="D864" i="3"/>
  <c r="D863" i="3"/>
  <c r="D862" i="3"/>
  <c r="D861" i="3"/>
  <c r="D860" i="3"/>
  <c r="D859" i="3"/>
  <c r="D858" i="3"/>
  <c r="D857" i="3"/>
  <c r="D856" i="3"/>
  <c r="D855" i="3"/>
  <c r="D854" i="3"/>
  <c r="D853" i="3"/>
  <c r="D852" i="3"/>
  <c r="D851" i="3"/>
  <c r="D850" i="3"/>
  <c r="D849" i="3"/>
  <c r="D848" i="3"/>
  <c r="D847" i="3"/>
  <c r="D846" i="3"/>
  <c r="D845" i="3"/>
  <c r="D844" i="3"/>
  <c r="D843" i="3"/>
  <c r="D842" i="3"/>
  <c r="D841" i="3"/>
  <c r="D840" i="3"/>
  <c r="D839" i="3"/>
  <c r="D838" i="3"/>
  <c r="D837" i="3"/>
  <c r="D836" i="3"/>
  <c r="D835" i="3"/>
  <c r="D834" i="3"/>
  <c r="D833" i="3"/>
  <c r="D832" i="3"/>
  <c r="D831" i="3"/>
  <c r="D830" i="3"/>
  <c r="D829" i="3"/>
  <c r="D828" i="3"/>
  <c r="D827" i="3"/>
  <c r="D826" i="3"/>
  <c r="D825" i="3"/>
  <c r="D824" i="3"/>
  <c r="D823" i="3"/>
  <c r="D822" i="3"/>
  <c r="D821" i="3"/>
  <c r="D820" i="3"/>
  <c r="D819" i="3"/>
  <c r="D818" i="3"/>
  <c r="D817" i="3"/>
  <c r="D816" i="3"/>
  <c r="D815" i="3"/>
  <c r="D814" i="3"/>
  <c r="D813" i="3"/>
  <c r="D812" i="3"/>
  <c r="D811" i="3"/>
  <c r="D810" i="3"/>
  <c r="D809" i="3"/>
  <c r="D808" i="3"/>
  <c r="D807" i="3"/>
  <c r="D806" i="3"/>
  <c r="D805" i="3"/>
  <c r="D804" i="3"/>
  <c r="D803" i="3"/>
  <c r="D802" i="3"/>
  <c r="D801" i="3"/>
  <c r="D800" i="3"/>
  <c r="D799" i="3"/>
  <c r="D798" i="3"/>
  <c r="D797" i="3"/>
  <c r="D796" i="3"/>
  <c r="D795" i="3"/>
  <c r="D794" i="3"/>
  <c r="D793" i="3"/>
  <c r="D792" i="3"/>
  <c r="D791" i="3"/>
  <c r="D790" i="3"/>
  <c r="D789" i="3"/>
  <c r="D788" i="3"/>
  <c r="D787" i="3"/>
  <c r="D786" i="3"/>
  <c r="D785" i="3"/>
  <c r="D784" i="3"/>
  <c r="D783" i="3"/>
  <c r="D782" i="3"/>
  <c r="D781" i="3"/>
  <c r="D780" i="3"/>
  <c r="D779" i="3"/>
  <c r="D778" i="3"/>
  <c r="D777" i="3"/>
  <c r="D776" i="3"/>
  <c r="D775" i="3"/>
  <c r="D774" i="3"/>
  <c r="D773" i="3"/>
  <c r="D772" i="3"/>
  <c r="D771" i="3"/>
  <c r="D770" i="3"/>
  <c r="D769" i="3"/>
  <c r="D768" i="3"/>
  <c r="D767" i="3"/>
  <c r="D766" i="3"/>
  <c r="D765" i="3"/>
  <c r="D764" i="3"/>
  <c r="D763" i="3"/>
  <c r="D762" i="3"/>
  <c r="D761" i="3"/>
  <c r="D760" i="3"/>
  <c r="D759" i="3"/>
  <c r="D758" i="3"/>
  <c r="D757" i="3"/>
  <c r="D756" i="3"/>
  <c r="D755" i="3"/>
  <c r="D754" i="3"/>
  <c r="D753" i="3"/>
  <c r="D752" i="3"/>
  <c r="D751" i="3"/>
  <c r="D750" i="3"/>
  <c r="D749" i="3"/>
  <c r="D748" i="3"/>
  <c r="D747" i="3"/>
  <c r="D746" i="3"/>
  <c r="D745" i="3"/>
  <c r="D744" i="3"/>
  <c r="D743" i="3"/>
  <c r="D742" i="3"/>
  <c r="D741" i="3"/>
  <c r="D740" i="3"/>
  <c r="D739" i="3"/>
  <c r="D738" i="3"/>
  <c r="D737" i="3"/>
  <c r="D736" i="3"/>
  <c r="D735" i="3"/>
  <c r="D734" i="3"/>
  <c r="D733" i="3"/>
  <c r="D732" i="3"/>
  <c r="D731" i="3"/>
  <c r="D730" i="3"/>
  <c r="D729" i="3"/>
  <c r="D728" i="3"/>
  <c r="D727" i="3"/>
  <c r="D726" i="3"/>
  <c r="D725" i="3"/>
  <c r="D724" i="3"/>
  <c r="D723" i="3"/>
  <c r="D722" i="3"/>
  <c r="D721" i="3"/>
  <c r="D720" i="3"/>
  <c r="D719" i="3"/>
  <c r="D718" i="3"/>
  <c r="D717" i="3"/>
  <c r="D716" i="3"/>
  <c r="D715" i="3"/>
  <c r="D714" i="3"/>
  <c r="D713" i="3"/>
  <c r="D712" i="3"/>
  <c r="D711" i="3"/>
  <c r="D710" i="3"/>
  <c r="D709" i="3"/>
  <c r="D708" i="3"/>
  <c r="D707" i="3"/>
  <c r="D706" i="3"/>
  <c r="D705" i="3"/>
  <c r="D704" i="3"/>
  <c r="D703" i="3"/>
  <c r="D702" i="3"/>
  <c r="D701" i="3"/>
  <c r="D700" i="3"/>
  <c r="D699" i="3"/>
  <c r="D698" i="3"/>
  <c r="D697" i="3"/>
  <c r="D696" i="3"/>
  <c r="D695" i="3"/>
  <c r="D694" i="3"/>
  <c r="D693" i="3"/>
  <c r="D692" i="3"/>
  <c r="D691" i="3"/>
  <c r="D690" i="3"/>
  <c r="D689" i="3"/>
  <c r="D688" i="3"/>
  <c r="D687" i="3"/>
  <c r="D686" i="3"/>
  <c r="D685" i="3"/>
  <c r="D684" i="3"/>
  <c r="D683" i="3"/>
  <c r="D682" i="3"/>
  <c r="D681" i="3"/>
  <c r="D680" i="3"/>
  <c r="D679" i="3"/>
  <c r="D678" i="3"/>
  <c r="D677" i="3"/>
  <c r="D676" i="3"/>
  <c r="D675" i="3"/>
  <c r="D674" i="3"/>
  <c r="D673" i="3"/>
  <c r="D672" i="3"/>
  <c r="D671" i="3"/>
  <c r="D670" i="3"/>
  <c r="D669" i="3"/>
  <c r="D668" i="3"/>
  <c r="D667" i="3"/>
  <c r="D666" i="3"/>
  <c r="D665" i="3"/>
  <c r="D664" i="3"/>
  <c r="D663" i="3"/>
  <c r="D662" i="3"/>
  <c r="D661" i="3"/>
  <c r="D660" i="3"/>
  <c r="D659" i="3"/>
  <c r="D658" i="3"/>
  <c r="D657" i="3"/>
  <c r="D656" i="3"/>
  <c r="D655" i="3"/>
  <c r="D654" i="3"/>
  <c r="D653" i="3"/>
  <c r="D652" i="3"/>
  <c r="D651" i="3"/>
  <c r="D650" i="3"/>
  <c r="D649" i="3"/>
  <c r="D648" i="3"/>
  <c r="D647" i="3"/>
  <c r="D646" i="3"/>
  <c r="D645" i="3"/>
  <c r="D644" i="3"/>
  <c r="D643" i="3"/>
  <c r="D642" i="3"/>
  <c r="D641" i="3"/>
  <c r="D640" i="3"/>
  <c r="D639" i="3"/>
  <c r="D638" i="3"/>
  <c r="D637" i="3"/>
  <c r="D636" i="3"/>
  <c r="D635" i="3"/>
  <c r="D634" i="3"/>
  <c r="D633" i="3"/>
  <c r="D632" i="3"/>
  <c r="D631" i="3"/>
  <c r="D630" i="3"/>
  <c r="D629" i="3"/>
  <c r="D628" i="3"/>
  <c r="D627" i="3"/>
  <c r="D626" i="3"/>
  <c r="D625" i="3"/>
  <c r="D624" i="3"/>
  <c r="D623" i="3"/>
  <c r="D622" i="3"/>
  <c r="D621" i="3"/>
  <c r="D620" i="3"/>
  <c r="D619" i="3"/>
  <c r="D618" i="3"/>
  <c r="D617" i="3"/>
  <c r="D616" i="3"/>
  <c r="D615" i="3"/>
  <c r="D614" i="3"/>
  <c r="D613" i="3"/>
  <c r="D612" i="3"/>
  <c r="D611" i="3"/>
  <c r="D610" i="3"/>
  <c r="D609" i="3"/>
  <c r="D608" i="3"/>
  <c r="D607" i="3"/>
  <c r="D606" i="3"/>
  <c r="D605" i="3"/>
  <c r="D604" i="3"/>
  <c r="D603" i="3"/>
  <c r="D602" i="3"/>
  <c r="D601" i="3"/>
  <c r="D600" i="3"/>
  <c r="D599" i="3"/>
  <c r="D598" i="3"/>
  <c r="D597" i="3"/>
  <c r="D596" i="3"/>
  <c r="D595" i="3"/>
  <c r="D594" i="3"/>
  <c r="D593" i="3"/>
  <c r="D592" i="3"/>
  <c r="D591" i="3"/>
  <c r="D590" i="3"/>
  <c r="D589" i="3"/>
  <c r="D588" i="3"/>
  <c r="D587" i="3"/>
  <c r="D586" i="3"/>
  <c r="D585" i="3"/>
  <c r="D584" i="3"/>
  <c r="D583" i="3"/>
  <c r="D582" i="3"/>
  <c r="D581" i="3"/>
  <c r="D580" i="3"/>
  <c r="D579" i="3"/>
  <c r="D578" i="3"/>
  <c r="D577" i="3"/>
  <c r="D576" i="3"/>
  <c r="D575" i="3"/>
  <c r="D574" i="3"/>
  <c r="D573" i="3"/>
  <c r="D572" i="3"/>
  <c r="D571" i="3"/>
  <c r="D570" i="3"/>
  <c r="D569" i="3"/>
  <c r="D568" i="3"/>
  <c r="D567" i="3"/>
  <c r="D566" i="3"/>
  <c r="D565" i="3"/>
  <c r="D564" i="3"/>
  <c r="D563" i="3"/>
  <c r="D562" i="3"/>
  <c r="D561" i="3"/>
  <c r="D560" i="3"/>
  <c r="D559" i="3"/>
  <c r="D558" i="3"/>
  <c r="D557" i="3"/>
  <c r="D556" i="3"/>
  <c r="D555" i="3"/>
  <c r="D554" i="3"/>
  <c r="D553" i="3"/>
  <c r="D552" i="3"/>
  <c r="D551" i="3"/>
  <c r="D550" i="3"/>
  <c r="D549" i="3"/>
  <c r="D548" i="3"/>
  <c r="D547" i="3"/>
  <c r="D546" i="3"/>
  <c r="D545" i="3"/>
  <c r="D544" i="3"/>
  <c r="D543" i="3"/>
  <c r="D542" i="3"/>
  <c r="D541" i="3"/>
  <c r="D540" i="3"/>
  <c r="D539" i="3"/>
  <c r="D538" i="3"/>
  <c r="D537" i="3"/>
  <c r="D536" i="3"/>
  <c r="D535" i="3"/>
  <c r="D534" i="3"/>
  <c r="D533" i="3"/>
  <c r="D532" i="3"/>
  <c r="D531" i="3"/>
  <c r="D530" i="3"/>
  <c r="D529" i="3"/>
  <c r="D528" i="3"/>
  <c r="D527" i="3"/>
  <c r="D526" i="3"/>
  <c r="D525" i="3"/>
  <c r="D524" i="3"/>
  <c r="D523" i="3"/>
  <c r="D522" i="3"/>
  <c r="D521" i="3"/>
  <c r="D520" i="3"/>
  <c r="D519" i="3"/>
  <c r="D518" i="3"/>
  <c r="D517" i="3"/>
  <c r="D516" i="3"/>
  <c r="D515" i="3"/>
  <c r="D514" i="3"/>
  <c r="D513" i="3"/>
  <c r="D512" i="3"/>
  <c r="D511" i="3"/>
  <c r="D510" i="3"/>
  <c r="D509" i="3"/>
  <c r="D508" i="3"/>
  <c r="D507" i="3"/>
  <c r="D506" i="3"/>
  <c r="D505" i="3"/>
  <c r="D504" i="3"/>
  <c r="D503" i="3"/>
  <c r="D502" i="3"/>
  <c r="D501" i="3"/>
  <c r="D500" i="3"/>
  <c r="D499" i="3"/>
  <c r="D498" i="3"/>
  <c r="D497" i="3"/>
  <c r="D496" i="3"/>
  <c r="D495" i="3"/>
  <c r="D494" i="3"/>
  <c r="D493" i="3"/>
  <c r="D492" i="3"/>
  <c r="D491" i="3"/>
  <c r="D490" i="3"/>
  <c r="D489" i="3"/>
  <c r="D488" i="3"/>
  <c r="D487" i="3"/>
  <c r="D486" i="3"/>
  <c r="D485" i="3"/>
  <c r="D484" i="3"/>
  <c r="D483" i="3"/>
  <c r="D482" i="3"/>
  <c r="D481" i="3"/>
  <c r="D480" i="3"/>
  <c r="D479" i="3"/>
  <c r="D478" i="3"/>
  <c r="D477" i="3"/>
  <c r="D476" i="3"/>
  <c r="D475" i="3"/>
  <c r="D474" i="3"/>
  <c r="D473" i="3"/>
  <c r="D472" i="3"/>
  <c r="D471" i="3"/>
  <c r="D470" i="3"/>
  <c r="D469" i="3"/>
  <c r="D468" i="3"/>
  <c r="D467" i="3"/>
  <c r="D466" i="3"/>
  <c r="D465" i="3"/>
  <c r="D464" i="3"/>
  <c r="D463" i="3"/>
  <c r="D462" i="3"/>
  <c r="D461" i="3"/>
  <c r="D460" i="3"/>
  <c r="D459" i="3"/>
  <c r="D458" i="3"/>
  <c r="D457" i="3"/>
  <c r="D456" i="3"/>
  <c r="D455" i="3"/>
  <c r="D454" i="3"/>
  <c r="D453" i="3"/>
  <c r="D452" i="3"/>
  <c r="D451" i="3"/>
  <c r="D450" i="3"/>
  <c r="D449" i="3"/>
  <c r="D448" i="3"/>
  <c r="D447" i="3"/>
  <c r="D446" i="3"/>
  <c r="D445" i="3"/>
  <c r="D444" i="3"/>
  <c r="D443" i="3"/>
  <c r="D442" i="3"/>
  <c r="D441" i="3"/>
  <c r="D440" i="3"/>
  <c r="D439" i="3"/>
  <c r="D438" i="3"/>
  <c r="D437" i="3"/>
  <c r="D436" i="3"/>
  <c r="D435" i="3"/>
  <c r="D434" i="3"/>
  <c r="D433" i="3"/>
  <c r="D432" i="3"/>
  <c r="D431" i="3"/>
  <c r="D430" i="3"/>
  <c r="D429" i="3"/>
  <c r="D428" i="3"/>
  <c r="D427" i="3"/>
  <c r="D426" i="3"/>
  <c r="D425" i="3"/>
  <c r="D424" i="3"/>
  <c r="D423" i="3"/>
  <c r="D422" i="3"/>
  <c r="D421" i="3"/>
  <c r="D420" i="3"/>
  <c r="D419" i="3"/>
  <c r="D418" i="3"/>
  <c r="D417" i="3"/>
  <c r="D416" i="3"/>
  <c r="D415" i="3"/>
  <c r="D414" i="3"/>
  <c r="D413" i="3"/>
  <c r="D412" i="3"/>
  <c r="D411" i="3"/>
  <c r="D410" i="3"/>
  <c r="D409" i="3"/>
  <c r="D408" i="3"/>
  <c r="D407" i="3"/>
  <c r="D406" i="3"/>
  <c r="D405" i="3"/>
  <c r="D404" i="3"/>
  <c r="D403" i="3"/>
  <c r="D402" i="3"/>
  <c r="D401" i="3"/>
  <c r="D400" i="3"/>
  <c r="D399" i="3"/>
  <c r="D398" i="3"/>
  <c r="D397" i="3"/>
  <c r="D396" i="3"/>
  <c r="D395" i="3"/>
  <c r="D394" i="3"/>
  <c r="D393" i="3"/>
  <c r="D392" i="3"/>
  <c r="D391" i="3"/>
  <c r="D390" i="3"/>
  <c r="D389" i="3"/>
  <c r="D388" i="3"/>
  <c r="D387" i="3"/>
  <c r="D386" i="3"/>
  <c r="D385" i="3"/>
  <c r="D384" i="3"/>
  <c r="D383" i="3"/>
  <c r="D382" i="3"/>
  <c r="D381" i="3"/>
  <c r="D380" i="3"/>
  <c r="D379" i="3"/>
  <c r="D378" i="3"/>
  <c r="D377" i="3"/>
  <c r="D376" i="3"/>
  <c r="D375" i="3"/>
  <c r="D374" i="3"/>
  <c r="D373" i="3"/>
  <c r="D372" i="3"/>
  <c r="D371" i="3"/>
  <c r="D370" i="3"/>
  <c r="D369" i="3"/>
  <c r="D368" i="3"/>
  <c r="D367" i="3"/>
  <c r="D366" i="3"/>
  <c r="D365" i="3"/>
  <c r="D364" i="3"/>
  <c r="D363" i="3"/>
  <c r="D362" i="3"/>
  <c r="D361" i="3"/>
  <c r="D360" i="3"/>
  <c r="D359" i="3"/>
  <c r="D358" i="3"/>
  <c r="D357" i="3"/>
  <c r="D356" i="3"/>
  <c r="D355" i="3"/>
  <c r="D354" i="3"/>
  <c r="D353" i="3"/>
  <c r="D352" i="3"/>
  <c r="D351" i="3"/>
  <c r="D350" i="3"/>
  <c r="D349" i="3"/>
  <c r="D348" i="3"/>
  <c r="D347" i="3"/>
  <c r="D346" i="3"/>
  <c r="D345" i="3"/>
  <c r="D344" i="3"/>
  <c r="D343" i="3"/>
  <c r="D342" i="3"/>
  <c r="D341" i="3"/>
  <c r="D340" i="3"/>
  <c r="D339" i="3"/>
  <c r="D338" i="3"/>
  <c r="D337" i="3"/>
  <c r="D336" i="3"/>
  <c r="D335" i="3"/>
  <c r="D334" i="3"/>
  <c r="D333" i="3"/>
  <c r="D332" i="3"/>
  <c r="D331" i="3"/>
  <c r="D330" i="3"/>
  <c r="D329" i="3"/>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7" i="3"/>
  <c r="D256" i="3"/>
  <c r="D255" i="3"/>
  <c r="D254" i="3"/>
  <c r="D253" i="3"/>
  <c r="D252" i="3"/>
  <c r="D251" i="3"/>
  <c r="D250" i="3"/>
  <c r="D249" i="3"/>
  <c r="D248" i="3"/>
  <c r="D247" i="3"/>
  <c r="D246" i="3"/>
  <c r="D245" i="3"/>
  <c r="D244" i="3"/>
  <c r="D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D206" i="3"/>
  <c r="D205" i="3"/>
  <c r="D204" i="3"/>
  <c r="D203" i="3"/>
  <c r="D202" i="3"/>
  <c r="D201" i="3"/>
  <c r="D200" i="3"/>
  <c r="D199" i="3"/>
  <c r="D198" i="3"/>
  <c r="D197" i="3"/>
  <c r="D196" i="3"/>
  <c r="D195" i="3"/>
  <c r="D194" i="3"/>
  <c r="D193" i="3"/>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D3" i="3"/>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F2" i="6"/>
  <c r="F3" i="6"/>
  <c r="F4" i="6"/>
  <c r="D873" i="6"/>
  <c r="F873" i="6"/>
  <c r="D872" i="6"/>
  <c r="F872" i="6"/>
  <c r="D871" i="6"/>
  <c r="F871" i="6"/>
  <c r="D870" i="6"/>
  <c r="F870" i="6"/>
  <c r="D869" i="6"/>
  <c r="F869" i="6"/>
  <c r="D868" i="6"/>
  <c r="F868" i="6"/>
  <c r="D867" i="6"/>
  <c r="F867" i="6"/>
  <c r="D866" i="6"/>
  <c r="F866" i="6"/>
  <c r="D865" i="6"/>
  <c r="F865" i="6"/>
  <c r="D864" i="6"/>
  <c r="F864" i="6"/>
  <c r="D863" i="6"/>
  <c r="F863" i="6"/>
  <c r="D862" i="6"/>
  <c r="F862" i="6"/>
  <c r="D861" i="6"/>
  <c r="F861" i="6"/>
  <c r="D860" i="6"/>
  <c r="F860" i="6"/>
  <c r="D859" i="6"/>
  <c r="F859" i="6"/>
  <c r="D858" i="6"/>
  <c r="F858" i="6"/>
  <c r="D857" i="6"/>
  <c r="F857" i="6"/>
  <c r="D856" i="6"/>
  <c r="F856" i="6"/>
  <c r="D855" i="6"/>
  <c r="F855" i="6"/>
  <c r="D854" i="6"/>
  <c r="F854" i="6"/>
  <c r="D853" i="6"/>
  <c r="F853" i="6"/>
  <c r="D852" i="6"/>
  <c r="F852" i="6"/>
  <c r="D851" i="6"/>
  <c r="F851" i="6"/>
  <c r="D850" i="6"/>
  <c r="F850" i="6"/>
  <c r="D849" i="6"/>
  <c r="F849" i="6"/>
  <c r="D848" i="6"/>
  <c r="F848" i="6"/>
  <c r="D847" i="6"/>
  <c r="F847" i="6"/>
  <c r="D846" i="6"/>
  <c r="F846" i="6"/>
  <c r="D845" i="6"/>
  <c r="F845" i="6"/>
  <c r="D844" i="6"/>
  <c r="F844" i="6"/>
  <c r="D843" i="6"/>
  <c r="F843" i="6"/>
  <c r="D842" i="6"/>
  <c r="F842" i="6"/>
  <c r="D841" i="6"/>
  <c r="F841" i="6"/>
  <c r="D840" i="6"/>
  <c r="F840" i="6"/>
  <c r="D839" i="6"/>
  <c r="F839" i="6"/>
  <c r="D838" i="6"/>
  <c r="F838" i="6"/>
  <c r="D837" i="6"/>
  <c r="F837" i="6"/>
  <c r="D836" i="6"/>
  <c r="F836" i="6"/>
  <c r="D835" i="6"/>
  <c r="F835" i="6"/>
  <c r="D834" i="6"/>
  <c r="F834" i="6"/>
  <c r="D833" i="6"/>
  <c r="F833" i="6"/>
  <c r="D832" i="6"/>
  <c r="F832" i="6"/>
  <c r="D831" i="6"/>
  <c r="F831" i="6"/>
  <c r="D830" i="6"/>
  <c r="F830" i="6"/>
  <c r="D829" i="6"/>
  <c r="F829" i="6"/>
  <c r="D828" i="6"/>
  <c r="F828" i="6"/>
  <c r="D827" i="6"/>
  <c r="F827" i="6"/>
  <c r="D826" i="6"/>
  <c r="F826" i="6"/>
  <c r="D825" i="6"/>
  <c r="F825" i="6"/>
  <c r="D824" i="6"/>
  <c r="F824" i="6"/>
  <c r="D823" i="6"/>
  <c r="F823" i="6"/>
  <c r="D822" i="6"/>
  <c r="F822" i="6"/>
  <c r="D821" i="6"/>
  <c r="F821" i="6"/>
  <c r="D820" i="6"/>
  <c r="F820" i="6"/>
  <c r="D819" i="6"/>
  <c r="F819" i="6"/>
  <c r="D818" i="6"/>
  <c r="F818" i="6"/>
  <c r="D817" i="6"/>
  <c r="F817" i="6"/>
  <c r="D816" i="6"/>
  <c r="F816" i="6"/>
  <c r="D815" i="6"/>
  <c r="F815" i="6"/>
  <c r="D814" i="6"/>
  <c r="F814" i="6"/>
  <c r="D813" i="6"/>
  <c r="F813" i="6"/>
  <c r="D812" i="6"/>
  <c r="F812" i="6"/>
  <c r="D811" i="6"/>
  <c r="F811" i="6"/>
  <c r="D810" i="6"/>
  <c r="F810" i="6"/>
  <c r="D809" i="6"/>
  <c r="F809" i="6"/>
  <c r="D808" i="6"/>
  <c r="F808" i="6"/>
  <c r="D807" i="6"/>
  <c r="F807" i="6"/>
  <c r="D806" i="6"/>
  <c r="F806" i="6"/>
  <c r="D805" i="6"/>
  <c r="F805" i="6"/>
  <c r="D804" i="6"/>
  <c r="F804" i="6"/>
  <c r="D803" i="6"/>
  <c r="F803" i="6"/>
  <c r="D802" i="6"/>
  <c r="F802" i="6"/>
  <c r="D801" i="6"/>
  <c r="F801" i="6"/>
  <c r="D800" i="6"/>
  <c r="F800" i="6"/>
  <c r="D799" i="6"/>
  <c r="F799" i="6"/>
  <c r="D798" i="6"/>
  <c r="F798" i="6"/>
  <c r="D797" i="6"/>
  <c r="F797" i="6"/>
  <c r="D796" i="6"/>
  <c r="F796" i="6"/>
  <c r="D795" i="6"/>
  <c r="F795" i="6"/>
  <c r="D794" i="6"/>
  <c r="F794" i="6"/>
  <c r="D793" i="6"/>
  <c r="F793" i="6"/>
  <c r="D792" i="6"/>
  <c r="F792" i="6"/>
  <c r="D791" i="6"/>
  <c r="F791" i="6"/>
  <c r="D790" i="6"/>
  <c r="F790" i="6"/>
  <c r="D789" i="6"/>
  <c r="F789" i="6"/>
  <c r="D788" i="6"/>
  <c r="F788" i="6"/>
  <c r="D787" i="6"/>
  <c r="F787" i="6"/>
  <c r="D786" i="6"/>
  <c r="F786" i="6"/>
  <c r="D785" i="6"/>
  <c r="F785" i="6"/>
  <c r="D784" i="6"/>
  <c r="F784" i="6"/>
  <c r="D783" i="6"/>
  <c r="F783" i="6"/>
  <c r="D782" i="6"/>
  <c r="F782" i="6"/>
  <c r="D781" i="6"/>
  <c r="F781" i="6"/>
  <c r="D780" i="6"/>
  <c r="F780" i="6"/>
  <c r="D779" i="6"/>
  <c r="F779" i="6"/>
  <c r="D778" i="6"/>
  <c r="F778" i="6"/>
  <c r="D777" i="6"/>
  <c r="F777" i="6"/>
  <c r="D776" i="6"/>
  <c r="F776" i="6"/>
  <c r="D775" i="6"/>
  <c r="F775" i="6"/>
  <c r="D774" i="6"/>
  <c r="F774" i="6"/>
  <c r="D773" i="6"/>
  <c r="F773" i="6"/>
  <c r="D772" i="6"/>
  <c r="F772" i="6"/>
  <c r="D771" i="6"/>
  <c r="F771" i="6"/>
  <c r="D770" i="6"/>
  <c r="F770" i="6"/>
  <c r="D769" i="6"/>
  <c r="F769" i="6"/>
  <c r="D768" i="6"/>
  <c r="F768" i="6"/>
  <c r="D767" i="6"/>
  <c r="F767" i="6"/>
  <c r="D766" i="6"/>
  <c r="F766" i="6"/>
  <c r="D765" i="6"/>
  <c r="F765" i="6"/>
  <c r="D764" i="6"/>
  <c r="F764" i="6"/>
  <c r="D763" i="6"/>
  <c r="F763" i="6"/>
  <c r="D762" i="6"/>
  <c r="F762" i="6"/>
  <c r="D761" i="6"/>
  <c r="F761" i="6"/>
  <c r="D760" i="6"/>
  <c r="F760" i="6"/>
  <c r="D759" i="6"/>
  <c r="F759" i="6"/>
  <c r="D758" i="6"/>
  <c r="F758" i="6"/>
  <c r="D757" i="6"/>
  <c r="F757" i="6"/>
  <c r="D756" i="6"/>
  <c r="F756" i="6"/>
  <c r="D755" i="6"/>
  <c r="F755" i="6"/>
  <c r="D754" i="6"/>
  <c r="F754" i="6"/>
  <c r="D753" i="6"/>
  <c r="F753" i="6"/>
  <c r="D752" i="6"/>
  <c r="F752" i="6"/>
  <c r="D751" i="6"/>
  <c r="F751" i="6"/>
  <c r="D750" i="6"/>
  <c r="F750" i="6"/>
  <c r="D749" i="6"/>
  <c r="F749" i="6"/>
  <c r="D748" i="6"/>
  <c r="F748" i="6"/>
  <c r="D747" i="6"/>
  <c r="F747" i="6"/>
  <c r="D746" i="6"/>
  <c r="F746" i="6"/>
  <c r="D745" i="6"/>
  <c r="F745" i="6"/>
  <c r="D744" i="6"/>
  <c r="F744" i="6"/>
  <c r="D743" i="6"/>
  <c r="F743" i="6"/>
  <c r="D742" i="6"/>
  <c r="F742" i="6"/>
  <c r="D741" i="6"/>
  <c r="F741" i="6"/>
  <c r="D740" i="6"/>
  <c r="F740" i="6"/>
  <c r="D739" i="6"/>
  <c r="F739" i="6"/>
  <c r="D738" i="6"/>
  <c r="F738" i="6"/>
  <c r="D737" i="6"/>
  <c r="F737" i="6"/>
  <c r="D736" i="6"/>
  <c r="F736" i="6"/>
  <c r="D735" i="6"/>
  <c r="F735" i="6"/>
  <c r="D734" i="6"/>
  <c r="F734" i="6"/>
  <c r="D733" i="6"/>
  <c r="F733" i="6"/>
  <c r="D732" i="6"/>
  <c r="F732" i="6"/>
  <c r="D731" i="6"/>
  <c r="F731" i="6"/>
  <c r="D730" i="6"/>
  <c r="F730" i="6"/>
  <c r="D729" i="6"/>
  <c r="F729" i="6"/>
  <c r="D728" i="6"/>
  <c r="F728" i="6"/>
  <c r="D727" i="6"/>
  <c r="F727" i="6"/>
  <c r="D726" i="6"/>
  <c r="F726" i="6"/>
  <c r="D725" i="6"/>
  <c r="F725" i="6"/>
  <c r="D724" i="6"/>
  <c r="F724" i="6"/>
  <c r="D723" i="6"/>
  <c r="F723" i="6"/>
  <c r="D722" i="6"/>
  <c r="F722" i="6"/>
  <c r="D721" i="6"/>
  <c r="F721" i="6"/>
  <c r="D720" i="6"/>
  <c r="F720" i="6"/>
  <c r="D719" i="6"/>
  <c r="F719" i="6"/>
  <c r="D718" i="6"/>
  <c r="F718" i="6"/>
  <c r="D717" i="6"/>
  <c r="F717" i="6"/>
  <c r="D716" i="6"/>
  <c r="F716" i="6"/>
  <c r="D715" i="6"/>
  <c r="F715" i="6"/>
  <c r="D714" i="6"/>
  <c r="F714" i="6"/>
  <c r="D713" i="6"/>
  <c r="F713" i="6"/>
  <c r="D712" i="6"/>
  <c r="F712" i="6"/>
  <c r="D711" i="6"/>
  <c r="F711" i="6"/>
  <c r="D710" i="6"/>
  <c r="F710" i="6"/>
  <c r="D709" i="6"/>
  <c r="F709" i="6"/>
  <c r="D708" i="6"/>
  <c r="F708" i="6"/>
  <c r="D707" i="6"/>
  <c r="F707" i="6"/>
  <c r="D706" i="6"/>
  <c r="F706" i="6"/>
  <c r="D705" i="6"/>
  <c r="F705" i="6"/>
  <c r="D704" i="6"/>
  <c r="F704" i="6"/>
  <c r="D703" i="6"/>
  <c r="F703" i="6"/>
  <c r="D702" i="6"/>
  <c r="F702" i="6"/>
  <c r="D701" i="6"/>
  <c r="F701" i="6"/>
  <c r="D700" i="6"/>
  <c r="F700" i="6"/>
  <c r="D699" i="6"/>
  <c r="F699" i="6"/>
  <c r="D698" i="6"/>
  <c r="F698" i="6"/>
  <c r="D697" i="6"/>
  <c r="F697" i="6"/>
  <c r="D696" i="6"/>
  <c r="F696" i="6"/>
  <c r="D695" i="6"/>
  <c r="F695" i="6"/>
  <c r="D694" i="6"/>
  <c r="F694" i="6"/>
  <c r="D693" i="6"/>
  <c r="F693" i="6"/>
  <c r="D692" i="6"/>
  <c r="F692" i="6"/>
  <c r="D691" i="6"/>
  <c r="F691" i="6"/>
  <c r="D690" i="6"/>
  <c r="F690" i="6"/>
  <c r="D689" i="6"/>
  <c r="F689" i="6"/>
  <c r="D688" i="6"/>
  <c r="F688" i="6"/>
  <c r="D687" i="6"/>
  <c r="F687" i="6"/>
  <c r="D686" i="6"/>
  <c r="F686" i="6"/>
  <c r="D685" i="6"/>
  <c r="F685" i="6"/>
  <c r="D684" i="6"/>
  <c r="F684" i="6"/>
  <c r="D683" i="6"/>
  <c r="F683" i="6"/>
  <c r="D682" i="6"/>
  <c r="F682" i="6"/>
  <c r="D681" i="6"/>
  <c r="F681" i="6"/>
  <c r="D680" i="6"/>
  <c r="F680" i="6"/>
  <c r="D679" i="6"/>
  <c r="F679" i="6"/>
  <c r="D678" i="6"/>
  <c r="F678" i="6"/>
  <c r="D677" i="6"/>
  <c r="F677" i="6"/>
  <c r="D676" i="6"/>
  <c r="F676" i="6"/>
  <c r="D675" i="6"/>
  <c r="F675" i="6"/>
  <c r="D674" i="6"/>
  <c r="F674" i="6"/>
  <c r="D673" i="6"/>
  <c r="F673" i="6"/>
  <c r="D672" i="6"/>
  <c r="F672" i="6"/>
  <c r="D671" i="6"/>
  <c r="F671" i="6"/>
  <c r="D670" i="6"/>
  <c r="F670" i="6"/>
  <c r="D669" i="6"/>
  <c r="F669" i="6"/>
  <c r="D668" i="6"/>
  <c r="F668" i="6"/>
  <c r="D667" i="6"/>
  <c r="F667" i="6"/>
  <c r="D666" i="6"/>
  <c r="F666" i="6"/>
  <c r="D665" i="6"/>
  <c r="F665" i="6"/>
  <c r="D664" i="6"/>
  <c r="F664" i="6"/>
  <c r="D663" i="6"/>
  <c r="F663" i="6"/>
  <c r="D662" i="6"/>
  <c r="F662" i="6"/>
  <c r="D661" i="6"/>
  <c r="F661" i="6"/>
  <c r="D660" i="6"/>
  <c r="F660" i="6"/>
  <c r="D659" i="6"/>
  <c r="F659" i="6"/>
  <c r="D658" i="6"/>
  <c r="F658" i="6"/>
  <c r="D657" i="6"/>
  <c r="F657" i="6"/>
  <c r="D656" i="6"/>
  <c r="F656" i="6"/>
  <c r="D655" i="6"/>
  <c r="F655" i="6"/>
  <c r="D654" i="6"/>
  <c r="F654" i="6"/>
  <c r="D653" i="6"/>
  <c r="F653" i="6"/>
  <c r="D652" i="6"/>
  <c r="F652" i="6"/>
  <c r="D651" i="6"/>
  <c r="F651" i="6"/>
  <c r="D650" i="6"/>
  <c r="F650" i="6"/>
  <c r="D649" i="6"/>
  <c r="F649" i="6"/>
  <c r="D648" i="6"/>
  <c r="F648" i="6"/>
  <c r="D647" i="6"/>
  <c r="F647" i="6"/>
  <c r="D646" i="6"/>
  <c r="F646" i="6"/>
  <c r="D645" i="6"/>
  <c r="F645" i="6"/>
  <c r="D644" i="6"/>
  <c r="F644" i="6"/>
  <c r="D643" i="6"/>
  <c r="F643" i="6"/>
  <c r="D642" i="6"/>
  <c r="F642" i="6"/>
  <c r="D641" i="6"/>
  <c r="F641" i="6"/>
  <c r="D640" i="6"/>
  <c r="F640" i="6"/>
  <c r="D639" i="6"/>
  <c r="F639" i="6"/>
  <c r="D638" i="6"/>
  <c r="F638" i="6"/>
  <c r="D637" i="6"/>
  <c r="F637" i="6"/>
  <c r="D636" i="6"/>
  <c r="F636" i="6"/>
  <c r="D635" i="6"/>
  <c r="F635" i="6"/>
  <c r="D634" i="6"/>
  <c r="F634" i="6"/>
  <c r="D633" i="6"/>
  <c r="F633" i="6"/>
  <c r="D632" i="6"/>
  <c r="F632" i="6"/>
  <c r="D631" i="6"/>
  <c r="F631" i="6"/>
  <c r="D630" i="6"/>
  <c r="F630" i="6"/>
  <c r="D629" i="6"/>
  <c r="F629" i="6"/>
  <c r="D628" i="6"/>
  <c r="F628" i="6"/>
  <c r="D627" i="6"/>
  <c r="F627" i="6"/>
  <c r="D626" i="6"/>
  <c r="F626" i="6"/>
  <c r="D625" i="6"/>
  <c r="F625" i="6"/>
  <c r="D624" i="6"/>
  <c r="F624" i="6"/>
  <c r="D623" i="6"/>
  <c r="F623" i="6"/>
  <c r="D622" i="6"/>
  <c r="F622" i="6"/>
  <c r="D621" i="6"/>
  <c r="F621" i="6"/>
  <c r="D620" i="6"/>
  <c r="F620" i="6"/>
  <c r="D619" i="6"/>
  <c r="F619" i="6"/>
  <c r="D618" i="6"/>
  <c r="F618" i="6"/>
  <c r="D617" i="6"/>
  <c r="F617" i="6"/>
  <c r="D616" i="6"/>
  <c r="F616" i="6"/>
  <c r="D615" i="6"/>
  <c r="F615" i="6"/>
  <c r="D614" i="6"/>
  <c r="F614" i="6"/>
  <c r="D613" i="6"/>
  <c r="F613" i="6"/>
  <c r="D612" i="6"/>
  <c r="F612" i="6"/>
  <c r="D611" i="6"/>
  <c r="F611" i="6"/>
  <c r="D610" i="6"/>
  <c r="F610" i="6"/>
  <c r="D609" i="6"/>
  <c r="F609" i="6"/>
  <c r="D608" i="6"/>
  <c r="F608" i="6"/>
  <c r="D607" i="6"/>
  <c r="F607" i="6"/>
  <c r="D606" i="6"/>
  <c r="F606" i="6"/>
  <c r="D605" i="6"/>
  <c r="F605" i="6"/>
  <c r="D604" i="6"/>
  <c r="F604" i="6"/>
  <c r="D603" i="6"/>
  <c r="F603" i="6"/>
  <c r="D602" i="6"/>
  <c r="F602" i="6"/>
  <c r="D601" i="6"/>
  <c r="F601" i="6"/>
  <c r="D600" i="6"/>
  <c r="F600" i="6"/>
  <c r="D599" i="6"/>
  <c r="F599" i="6"/>
  <c r="D598" i="6"/>
  <c r="F598" i="6"/>
  <c r="D597" i="6"/>
  <c r="F597" i="6"/>
  <c r="D596" i="6"/>
  <c r="F596" i="6"/>
  <c r="D595" i="6"/>
  <c r="F595" i="6"/>
  <c r="D594" i="6"/>
  <c r="F594" i="6"/>
  <c r="D593" i="6"/>
  <c r="F593" i="6"/>
  <c r="D592" i="6"/>
  <c r="F592" i="6"/>
  <c r="D591" i="6"/>
  <c r="F591" i="6"/>
  <c r="D590" i="6"/>
  <c r="F590" i="6"/>
  <c r="D589" i="6"/>
  <c r="F589" i="6"/>
  <c r="D588" i="6"/>
  <c r="F588" i="6"/>
  <c r="D587" i="6"/>
  <c r="F587" i="6"/>
  <c r="D586" i="6"/>
  <c r="F586" i="6"/>
  <c r="D585" i="6"/>
  <c r="F585" i="6"/>
  <c r="D584" i="6"/>
  <c r="F584" i="6"/>
  <c r="D583" i="6"/>
  <c r="F583" i="6"/>
  <c r="D582" i="6"/>
  <c r="F582" i="6"/>
  <c r="D581" i="6"/>
  <c r="F581" i="6"/>
  <c r="D580" i="6"/>
  <c r="F580" i="6"/>
  <c r="D579" i="6"/>
  <c r="F579" i="6"/>
  <c r="D578" i="6"/>
  <c r="F578" i="6"/>
  <c r="D577" i="6"/>
  <c r="F577" i="6"/>
  <c r="D576" i="6"/>
  <c r="F576" i="6"/>
  <c r="D575" i="6"/>
  <c r="F575" i="6"/>
  <c r="D574" i="6"/>
  <c r="F574" i="6"/>
  <c r="D573" i="6"/>
  <c r="F573" i="6"/>
  <c r="D572" i="6"/>
  <c r="F572" i="6"/>
  <c r="D571" i="6"/>
  <c r="F571" i="6"/>
  <c r="D570" i="6"/>
  <c r="F570" i="6"/>
  <c r="D569" i="6"/>
  <c r="F569" i="6"/>
  <c r="D568" i="6"/>
  <c r="F568" i="6"/>
  <c r="D567" i="6"/>
  <c r="F567" i="6"/>
  <c r="D566" i="6"/>
  <c r="F566" i="6"/>
  <c r="D565" i="6"/>
  <c r="F565" i="6"/>
  <c r="D564" i="6"/>
  <c r="F564" i="6"/>
  <c r="D563" i="6"/>
  <c r="F563" i="6"/>
  <c r="D562" i="6"/>
  <c r="F562" i="6"/>
  <c r="D561" i="6"/>
  <c r="F561" i="6"/>
  <c r="D560" i="6"/>
  <c r="F560" i="6"/>
  <c r="D559" i="6"/>
  <c r="F559" i="6"/>
  <c r="D558" i="6"/>
  <c r="F558" i="6"/>
  <c r="D557" i="6"/>
  <c r="F557" i="6"/>
  <c r="D556" i="6"/>
  <c r="F556" i="6"/>
  <c r="D555" i="6"/>
  <c r="F555" i="6"/>
  <c r="D554" i="6"/>
  <c r="F554" i="6"/>
  <c r="D553" i="6"/>
  <c r="F553" i="6"/>
  <c r="D552" i="6"/>
  <c r="F552" i="6"/>
  <c r="D551" i="6"/>
  <c r="F551" i="6"/>
  <c r="D550" i="6"/>
  <c r="F550" i="6"/>
  <c r="D549" i="6"/>
  <c r="F549" i="6"/>
  <c r="D548" i="6"/>
  <c r="F548" i="6"/>
  <c r="D547" i="6"/>
  <c r="F547" i="6"/>
  <c r="D546" i="6"/>
  <c r="F546" i="6"/>
  <c r="D545" i="6"/>
  <c r="F545" i="6"/>
  <c r="D544" i="6"/>
  <c r="F544" i="6"/>
  <c r="D543" i="6"/>
  <c r="F543" i="6"/>
  <c r="D542" i="6"/>
  <c r="F542" i="6"/>
  <c r="D541" i="6"/>
  <c r="F541" i="6"/>
  <c r="D540" i="6"/>
  <c r="F540" i="6"/>
  <c r="D539" i="6"/>
  <c r="F539" i="6"/>
  <c r="D538" i="6"/>
  <c r="F538" i="6"/>
  <c r="D537" i="6"/>
  <c r="F537" i="6"/>
  <c r="D536" i="6"/>
  <c r="F536" i="6"/>
  <c r="D535" i="6"/>
  <c r="F535" i="6"/>
  <c r="D534" i="6"/>
  <c r="F534" i="6"/>
  <c r="D533" i="6"/>
  <c r="F533" i="6"/>
  <c r="D532" i="6"/>
  <c r="F532" i="6"/>
  <c r="D531" i="6"/>
  <c r="F531" i="6"/>
  <c r="D530" i="6"/>
  <c r="F530" i="6"/>
  <c r="D529" i="6"/>
  <c r="F529" i="6"/>
  <c r="D528" i="6"/>
  <c r="F528" i="6"/>
  <c r="D527" i="6"/>
  <c r="F527" i="6"/>
  <c r="D526" i="6"/>
  <c r="F526" i="6"/>
  <c r="D525" i="6"/>
  <c r="F525" i="6"/>
  <c r="D524" i="6"/>
  <c r="F524" i="6"/>
  <c r="D523" i="6"/>
  <c r="F523" i="6"/>
  <c r="D522" i="6"/>
  <c r="F522" i="6"/>
  <c r="D521" i="6"/>
  <c r="F521" i="6"/>
  <c r="D520" i="6"/>
  <c r="F520" i="6"/>
  <c r="D519" i="6"/>
  <c r="F519" i="6"/>
  <c r="D518" i="6"/>
  <c r="F518" i="6"/>
  <c r="D517" i="6"/>
  <c r="F517" i="6"/>
  <c r="D516" i="6"/>
  <c r="F516" i="6"/>
  <c r="D515" i="6"/>
  <c r="F515" i="6"/>
  <c r="D514" i="6"/>
  <c r="F514" i="6"/>
  <c r="D513" i="6"/>
  <c r="F513" i="6"/>
  <c r="D512" i="6"/>
  <c r="F512" i="6"/>
  <c r="D511" i="6"/>
  <c r="F511" i="6"/>
  <c r="D510" i="6"/>
  <c r="F510" i="6"/>
  <c r="D509" i="6"/>
  <c r="F509" i="6"/>
  <c r="D508" i="6"/>
  <c r="F508" i="6"/>
  <c r="D507" i="6"/>
  <c r="F507" i="6"/>
  <c r="D506" i="6"/>
  <c r="F506" i="6"/>
  <c r="D505" i="6"/>
  <c r="F505" i="6"/>
  <c r="D504" i="6"/>
  <c r="F504" i="6"/>
  <c r="D503" i="6"/>
  <c r="F503" i="6"/>
  <c r="D502" i="6"/>
  <c r="F502" i="6"/>
  <c r="D501" i="6"/>
  <c r="F501" i="6"/>
  <c r="D500" i="6"/>
  <c r="F500" i="6"/>
  <c r="D499" i="6"/>
  <c r="F499" i="6"/>
  <c r="D498" i="6"/>
  <c r="F498" i="6"/>
  <c r="D497" i="6"/>
  <c r="F497" i="6"/>
  <c r="D496" i="6"/>
  <c r="F496" i="6"/>
  <c r="D495" i="6"/>
  <c r="F495" i="6"/>
  <c r="D494" i="6"/>
  <c r="F494" i="6"/>
  <c r="D493" i="6"/>
  <c r="F493" i="6"/>
  <c r="D492" i="6"/>
  <c r="F492" i="6"/>
  <c r="D491" i="6"/>
  <c r="F491" i="6"/>
  <c r="D490" i="6"/>
  <c r="F490" i="6"/>
  <c r="D489" i="6"/>
  <c r="F489" i="6"/>
  <c r="D488" i="6"/>
  <c r="F488" i="6"/>
  <c r="D487" i="6"/>
  <c r="F487" i="6"/>
  <c r="D486" i="6"/>
  <c r="F486" i="6"/>
  <c r="D485" i="6"/>
  <c r="F485" i="6"/>
  <c r="D484" i="6"/>
  <c r="F484" i="6"/>
  <c r="D483" i="6"/>
  <c r="F483" i="6"/>
  <c r="D482" i="6"/>
  <c r="F482" i="6"/>
  <c r="D481" i="6"/>
  <c r="F481" i="6"/>
  <c r="D480" i="6"/>
  <c r="F480" i="6"/>
  <c r="D479" i="6"/>
  <c r="F479" i="6"/>
  <c r="D478" i="6"/>
  <c r="F478" i="6"/>
  <c r="D477" i="6"/>
  <c r="F477" i="6"/>
  <c r="D476" i="6"/>
  <c r="F476" i="6"/>
  <c r="D475" i="6"/>
  <c r="F475" i="6"/>
  <c r="D474" i="6"/>
  <c r="F474" i="6"/>
  <c r="D473" i="6"/>
  <c r="F473" i="6"/>
  <c r="D472" i="6"/>
  <c r="F472" i="6"/>
  <c r="D471" i="6"/>
  <c r="F471" i="6"/>
  <c r="D470" i="6"/>
  <c r="F470" i="6"/>
  <c r="D469" i="6"/>
  <c r="F469" i="6"/>
  <c r="D468" i="6"/>
  <c r="F468" i="6"/>
  <c r="D467" i="6"/>
  <c r="F467" i="6"/>
  <c r="D466" i="6"/>
  <c r="F466" i="6"/>
  <c r="D465" i="6"/>
  <c r="F465" i="6"/>
  <c r="D464" i="6"/>
  <c r="F464" i="6"/>
  <c r="D463" i="6"/>
  <c r="F463" i="6"/>
  <c r="D462" i="6"/>
  <c r="F462" i="6"/>
  <c r="D461" i="6"/>
  <c r="F461" i="6"/>
  <c r="D460" i="6"/>
  <c r="F460" i="6"/>
  <c r="D459" i="6"/>
  <c r="F459" i="6"/>
  <c r="D458" i="6"/>
  <c r="F458" i="6"/>
  <c r="D457" i="6"/>
  <c r="F457" i="6"/>
  <c r="D456" i="6"/>
  <c r="F456" i="6"/>
  <c r="D455" i="6"/>
  <c r="F455" i="6"/>
  <c r="D454" i="6"/>
  <c r="F454" i="6"/>
  <c r="D453" i="6"/>
  <c r="F453" i="6"/>
  <c r="D452" i="6"/>
  <c r="F452" i="6"/>
  <c r="D451" i="6"/>
  <c r="F451" i="6"/>
  <c r="D450" i="6"/>
  <c r="F450" i="6"/>
  <c r="D449" i="6"/>
  <c r="F449" i="6"/>
  <c r="D448" i="6"/>
  <c r="F448" i="6"/>
  <c r="D447" i="6"/>
  <c r="F447" i="6"/>
  <c r="D446" i="6"/>
  <c r="F446" i="6"/>
  <c r="D445" i="6"/>
  <c r="F445" i="6"/>
  <c r="D444" i="6"/>
  <c r="F444" i="6"/>
  <c r="D443" i="6"/>
  <c r="F443" i="6"/>
  <c r="D442" i="6"/>
  <c r="F442" i="6"/>
  <c r="D441" i="6"/>
  <c r="F441" i="6"/>
  <c r="D440" i="6"/>
  <c r="F440" i="6"/>
  <c r="D439" i="6"/>
  <c r="F439" i="6"/>
  <c r="D438" i="6"/>
  <c r="F438" i="6"/>
  <c r="D437" i="6"/>
  <c r="F437" i="6"/>
  <c r="D436" i="6"/>
  <c r="F436" i="6"/>
  <c r="D435" i="6"/>
  <c r="F435" i="6"/>
  <c r="D434" i="6"/>
  <c r="F434" i="6"/>
  <c r="D433" i="6"/>
  <c r="F433" i="6"/>
  <c r="D432" i="6"/>
  <c r="F432" i="6"/>
  <c r="D431" i="6"/>
  <c r="F431" i="6"/>
  <c r="D430" i="6"/>
  <c r="F430" i="6"/>
  <c r="D429" i="6"/>
  <c r="F429" i="6"/>
  <c r="D428" i="6"/>
  <c r="F428" i="6"/>
  <c r="D427" i="6"/>
  <c r="F427" i="6"/>
  <c r="D426" i="6"/>
  <c r="F426" i="6"/>
  <c r="D425" i="6"/>
  <c r="F425" i="6"/>
  <c r="D424" i="6"/>
  <c r="F424" i="6"/>
  <c r="D423" i="6"/>
  <c r="F423" i="6"/>
  <c r="D422" i="6"/>
  <c r="F422" i="6"/>
  <c r="D421" i="6"/>
  <c r="F421" i="6"/>
  <c r="D420" i="6"/>
  <c r="F420" i="6"/>
  <c r="D419" i="6"/>
  <c r="F419" i="6"/>
  <c r="D418" i="6"/>
  <c r="F418" i="6"/>
  <c r="D417" i="6"/>
  <c r="F417" i="6"/>
  <c r="D416" i="6"/>
  <c r="F416" i="6"/>
  <c r="D415" i="6"/>
  <c r="F415" i="6"/>
  <c r="D414" i="6"/>
  <c r="F414" i="6"/>
  <c r="D413" i="6"/>
  <c r="F413" i="6"/>
  <c r="D412" i="6"/>
  <c r="F412" i="6"/>
  <c r="D411" i="6"/>
  <c r="F411" i="6"/>
  <c r="D410" i="6"/>
  <c r="F410" i="6"/>
  <c r="D409" i="6"/>
  <c r="F409" i="6"/>
  <c r="D408" i="6"/>
  <c r="F408" i="6"/>
  <c r="D407" i="6"/>
  <c r="F407" i="6"/>
  <c r="D406" i="6"/>
  <c r="F406" i="6"/>
  <c r="D405" i="6"/>
  <c r="F405" i="6"/>
  <c r="D404" i="6"/>
  <c r="F404" i="6"/>
  <c r="D403" i="6"/>
  <c r="F403" i="6"/>
  <c r="D402" i="6"/>
  <c r="F402" i="6"/>
  <c r="D401" i="6"/>
  <c r="F401" i="6"/>
  <c r="D400" i="6"/>
  <c r="F400" i="6"/>
  <c r="D399" i="6"/>
  <c r="F399" i="6"/>
  <c r="D398" i="6"/>
  <c r="F398" i="6"/>
  <c r="D397" i="6"/>
  <c r="F397" i="6"/>
  <c r="D396" i="6"/>
  <c r="F396" i="6"/>
  <c r="D395" i="6"/>
  <c r="F395" i="6"/>
  <c r="D394" i="6"/>
  <c r="F394" i="6"/>
  <c r="D393" i="6"/>
  <c r="F393" i="6"/>
  <c r="D392" i="6"/>
  <c r="F392" i="6"/>
  <c r="D391" i="6"/>
  <c r="F391" i="6"/>
  <c r="D390" i="6"/>
  <c r="F390" i="6"/>
  <c r="D389" i="6"/>
  <c r="F389" i="6"/>
  <c r="D388" i="6"/>
  <c r="F388" i="6"/>
  <c r="D387" i="6"/>
  <c r="F387" i="6"/>
  <c r="D386" i="6"/>
  <c r="F386" i="6"/>
  <c r="D385" i="6"/>
  <c r="F385" i="6"/>
  <c r="D384" i="6"/>
  <c r="F384" i="6"/>
  <c r="D383" i="6"/>
  <c r="F383" i="6"/>
  <c r="D382" i="6"/>
  <c r="F382" i="6"/>
  <c r="D381" i="6"/>
  <c r="F381" i="6"/>
  <c r="D380" i="6"/>
  <c r="F380" i="6"/>
  <c r="D379" i="6"/>
  <c r="F379" i="6"/>
  <c r="D378" i="6"/>
  <c r="F378" i="6"/>
  <c r="D377" i="6"/>
  <c r="F377" i="6"/>
  <c r="D376" i="6"/>
  <c r="F376" i="6"/>
  <c r="D375" i="6"/>
  <c r="F375" i="6"/>
  <c r="D374" i="6"/>
  <c r="F374" i="6"/>
  <c r="D373" i="6"/>
  <c r="F373" i="6"/>
  <c r="D372" i="6"/>
  <c r="F372" i="6"/>
  <c r="D371" i="6"/>
  <c r="F371" i="6"/>
  <c r="D370" i="6"/>
  <c r="F370" i="6"/>
  <c r="D369" i="6"/>
  <c r="F369" i="6"/>
  <c r="D368" i="6"/>
  <c r="F368" i="6"/>
  <c r="D367" i="6"/>
  <c r="F367" i="6"/>
  <c r="D366" i="6"/>
  <c r="F366" i="6"/>
  <c r="D365" i="6"/>
  <c r="F365" i="6"/>
  <c r="D364" i="6"/>
  <c r="F364" i="6"/>
  <c r="D363" i="6"/>
  <c r="F363" i="6"/>
  <c r="D362" i="6"/>
  <c r="F362" i="6"/>
  <c r="D361" i="6"/>
  <c r="F361" i="6"/>
  <c r="D360" i="6"/>
  <c r="F360" i="6"/>
  <c r="D359" i="6"/>
  <c r="F359" i="6"/>
  <c r="D358" i="6"/>
  <c r="F358" i="6"/>
  <c r="D357" i="6"/>
  <c r="F357" i="6"/>
  <c r="D356" i="6"/>
  <c r="F356" i="6"/>
  <c r="D355" i="6"/>
  <c r="F355" i="6"/>
  <c r="D354" i="6"/>
  <c r="F354" i="6"/>
  <c r="D353" i="6"/>
  <c r="F353" i="6"/>
  <c r="D352" i="6"/>
  <c r="F352" i="6"/>
  <c r="D351" i="6"/>
  <c r="F351" i="6"/>
  <c r="D350" i="6"/>
  <c r="F350" i="6"/>
  <c r="D349" i="6"/>
  <c r="F349" i="6"/>
  <c r="D348" i="6"/>
  <c r="F348" i="6"/>
  <c r="D347" i="6"/>
  <c r="F347" i="6"/>
  <c r="D346" i="6"/>
  <c r="F346" i="6"/>
  <c r="D345" i="6"/>
  <c r="F345" i="6"/>
  <c r="D344" i="6"/>
  <c r="F344" i="6"/>
  <c r="D343" i="6"/>
  <c r="F343" i="6"/>
  <c r="D342" i="6"/>
  <c r="F342" i="6"/>
  <c r="D341" i="6"/>
  <c r="F341" i="6"/>
  <c r="D340" i="6"/>
  <c r="F340" i="6"/>
  <c r="D339" i="6"/>
  <c r="F339" i="6"/>
  <c r="D338" i="6"/>
  <c r="F338" i="6"/>
  <c r="D337" i="6"/>
  <c r="F337" i="6"/>
  <c r="D336" i="6"/>
  <c r="F336" i="6"/>
  <c r="D335" i="6"/>
  <c r="F335" i="6"/>
  <c r="D334" i="6"/>
  <c r="F334" i="6"/>
  <c r="D333" i="6"/>
  <c r="F333" i="6"/>
  <c r="D332" i="6"/>
  <c r="F332" i="6"/>
  <c r="D331" i="6"/>
  <c r="F331" i="6"/>
  <c r="D330" i="6"/>
  <c r="F330" i="6"/>
  <c r="D329" i="6"/>
  <c r="F329" i="6"/>
  <c r="D328" i="6"/>
  <c r="F328" i="6"/>
  <c r="D327" i="6"/>
  <c r="F327" i="6"/>
  <c r="D326" i="6"/>
  <c r="F326" i="6"/>
  <c r="D325" i="6"/>
  <c r="F325" i="6"/>
  <c r="D324" i="6"/>
  <c r="F324" i="6"/>
  <c r="D323" i="6"/>
  <c r="F323" i="6"/>
  <c r="D322" i="6"/>
  <c r="F322" i="6"/>
  <c r="D321" i="6"/>
  <c r="F321" i="6"/>
  <c r="D320" i="6"/>
  <c r="F320" i="6"/>
  <c r="D319" i="6"/>
  <c r="F319" i="6"/>
  <c r="D318" i="6"/>
  <c r="F318" i="6"/>
  <c r="D317" i="6"/>
  <c r="F317" i="6"/>
  <c r="D316" i="6"/>
  <c r="F316" i="6"/>
  <c r="D315" i="6"/>
  <c r="F315" i="6"/>
  <c r="D314" i="6"/>
  <c r="F314" i="6"/>
  <c r="D313" i="6"/>
  <c r="F313" i="6"/>
  <c r="D312" i="6"/>
  <c r="F312" i="6"/>
  <c r="D311" i="6"/>
  <c r="F311" i="6"/>
  <c r="D310" i="6"/>
  <c r="F310" i="6"/>
  <c r="D309" i="6"/>
  <c r="F309" i="6"/>
  <c r="D308" i="6"/>
  <c r="F308" i="6"/>
  <c r="D307" i="6"/>
  <c r="F307" i="6"/>
  <c r="D306" i="6"/>
  <c r="F306" i="6"/>
  <c r="D305" i="6"/>
  <c r="F305" i="6"/>
  <c r="D304" i="6"/>
  <c r="F304" i="6"/>
  <c r="D303" i="6"/>
  <c r="F303" i="6"/>
  <c r="D302" i="6"/>
  <c r="F302" i="6"/>
  <c r="D301" i="6"/>
  <c r="F301" i="6"/>
  <c r="D300" i="6"/>
  <c r="F300" i="6"/>
  <c r="D299" i="6"/>
  <c r="F299" i="6"/>
  <c r="D298" i="6"/>
  <c r="F298" i="6"/>
  <c r="D297" i="6"/>
  <c r="F297" i="6"/>
  <c r="D296" i="6"/>
  <c r="F296" i="6"/>
  <c r="D295" i="6"/>
  <c r="F295" i="6"/>
  <c r="D294" i="6"/>
  <c r="F294" i="6"/>
  <c r="D293" i="6"/>
  <c r="F293" i="6"/>
  <c r="D292" i="6"/>
  <c r="F292" i="6"/>
  <c r="D291" i="6"/>
  <c r="F291" i="6"/>
  <c r="D290" i="6"/>
  <c r="F290" i="6"/>
  <c r="D289" i="6"/>
  <c r="F289" i="6"/>
  <c r="D288" i="6"/>
  <c r="F288" i="6"/>
  <c r="D287" i="6"/>
  <c r="F287" i="6"/>
  <c r="D286" i="6"/>
  <c r="F286" i="6"/>
  <c r="D285" i="6"/>
  <c r="F285" i="6"/>
  <c r="D284" i="6"/>
  <c r="F284" i="6"/>
  <c r="D283" i="6"/>
  <c r="F283" i="6"/>
  <c r="D282" i="6"/>
  <c r="F282" i="6"/>
  <c r="D281" i="6"/>
  <c r="F281" i="6"/>
  <c r="D280" i="6"/>
  <c r="F280" i="6"/>
  <c r="D279" i="6"/>
  <c r="F279" i="6"/>
  <c r="D278" i="6"/>
  <c r="F278" i="6"/>
  <c r="D277" i="6"/>
  <c r="F277" i="6"/>
  <c r="D276" i="6"/>
  <c r="F276" i="6"/>
  <c r="D275" i="6"/>
  <c r="F275" i="6"/>
  <c r="D274" i="6"/>
  <c r="F274" i="6"/>
  <c r="D273" i="6"/>
  <c r="F273" i="6"/>
  <c r="D272" i="6"/>
  <c r="F272" i="6"/>
  <c r="D271" i="6"/>
  <c r="F271" i="6"/>
  <c r="D270" i="6"/>
  <c r="F270" i="6"/>
  <c r="D269" i="6"/>
  <c r="F269" i="6"/>
  <c r="D268" i="6"/>
  <c r="F268" i="6"/>
  <c r="D267" i="6"/>
  <c r="F267" i="6"/>
  <c r="D266" i="6"/>
  <c r="F266" i="6"/>
  <c r="D265" i="6"/>
  <c r="F265" i="6"/>
  <c r="D264" i="6"/>
  <c r="F264" i="6"/>
  <c r="D263" i="6"/>
  <c r="F263" i="6"/>
  <c r="D262" i="6"/>
  <c r="F262" i="6"/>
  <c r="D261" i="6"/>
  <c r="F261" i="6"/>
  <c r="D260" i="6"/>
  <c r="F260" i="6"/>
  <c r="D259" i="6"/>
  <c r="F259" i="6"/>
  <c r="D258" i="6"/>
  <c r="F258" i="6"/>
  <c r="D257" i="6"/>
  <c r="F257" i="6"/>
  <c r="D256" i="6"/>
  <c r="F256" i="6"/>
  <c r="D255" i="6"/>
  <c r="F255" i="6"/>
  <c r="D254" i="6"/>
  <c r="F254" i="6"/>
  <c r="D253" i="6"/>
  <c r="F253" i="6"/>
  <c r="D252" i="6"/>
  <c r="F252" i="6"/>
  <c r="D251" i="6"/>
  <c r="F251" i="6"/>
  <c r="D250" i="6"/>
  <c r="F250" i="6"/>
  <c r="D249" i="6"/>
  <c r="F249" i="6"/>
  <c r="D248" i="6"/>
  <c r="F248" i="6"/>
  <c r="D247" i="6"/>
  <c r="F247" i="6"/>
  <c r="D246" i="6"/>
  <c r="F246" i="6"/>
  <c r="D245" i="6"/>
  <c r="F245" i="6"/>
  <c r="D244" i="6"/>
  <c r="F244" i="6"/>
  <c r="D243" i="6"/>
  <c r="F243" i="6"/>
  <c r="D242" i="6"/>
  <c r="F242" i="6"/>
  <c r="D241" i="6"/>
  <c r="F241" i="6"/>
  <c r="D240" i="6"/>
  <c r="F240" i="6"/>
  <c r="D239" i="6"/>
  <c r="F239" i="6"/>
  <c r="D238" i="6"/>
  <c r="F238" i="6"/>
  <c r="D237" i="6"/>
  <c r="F237" i="6"/>
  <c r="D236" i="6"/>
  <c r="F236" i="6"/>
  <c r="D235" i="6"/>
  <c r="F235" i="6"/>
  <c r="D234" i="6"/>
  <c r="F234" i="6"/>
  <c r="D233" i="6"/>
  <c r="F233" i="6"/>
  <c r="D232" i="6"/>
  <c r="F232" i="6"/>
  <c r="D231" i="6"/>
  <c r="F231" i="6"/>
  <c r="D230" i="6"/>
  <c r="F230" i="6"/>
  <c r="D229" i="6"/>
  <c r="F229" i="6"/>
  <c r="D228" i="6"/>
  <c r="F228" i="6"/>
  <c r="D227" i="6"/>
  <c r="F227" i="6"/>
  <c r="D226" i="6"/>
  <c r="F226" i="6"/>
  <c r="D225" i="6"/>
  <c r="F225" i="6"/>
  <c r="D224" i="6"/>
  <c r="F224" i="6"/>
  <c r="D223" i="6"/>
  <c r="F223" i="6"/>
  <c r="D222" i="6"/>
  <c r="F222" i="6"/>
  <c r="D221" i="6"/>
  <c r="F221" i="6"/>
  <c r="D220" i="6"/>
  <c r="F220" i="6"/>
  <c r="D219" i="6"/>
  <c r="F219" i="6"/>
  <c r="D218" i="6"/>
  <c r="F218" i="6"/>
  <c r="D217" i="6"/>
  <c r="F217" i="6"/>
  <c r="D216" i="6"/>
  <c r="F216" i="6"/>
  <c r="D215" i="6"/>
  <c r="F215" i="6"/>
  <c r="D214" i="6"/>
  <c r="F214" i="6"/>
  <c r="D213" i="6"/>
  <c r="F213" i="6"/>
  <c r="D212" i="6"/>
  <c r="F212" i="6"/>
  <c r="D211" i="6"/>
  <c r="F211" i="6"/>
  <c r="D210" i="6"/>
  <c r="F210" i="6"/>
  <c r="D209" i="6"/>
  <c r="F209" i="6"/>
  <c r="D208" i="6"/>
  <c r="F208" i="6"/>
  <c r="D207" i="6"/>
  <c r="F207" i="6"/>
  <c r="D206" i="6"/>
  <c r="F206" i="6"/>
  <c r="D205" i="6"/>
  <c r="F205" i="6"/>
  <c r="D204" i="6"/>
  <c r="F204" i="6"/>
  <c r="D203" i="6"/>
  <c r="F203" i="6"/>
  <c r="D202" i="6"/>
  <c r="F202" i="6"/>
  <c r="D201" i="6"/>
  <c r="F201" i="6"/>
  <c r="D200" i="6"/>
  <c r="F200" i="6"/>
  <c r="D199" i="6"/>
  <c r="F199" i="6"/>
  <c r="D198" i="6"/>
  <c r="F198" i="6"/>
  <c r="D197" i="6"/>
  <c r="F197" i="6"/>
  <c r="D196" i="6"/>
  <c r="F196" i="6"/>
  <c r="D195" i="6"/>
  <c r="F195" i="6"/>
  <c r="D194" i="6"/>
  <c r="F194" i="6"/>
  <c r="D193" i="6"/>
  <c r="F193" i="6"/>
  <c r="D192" i="6"/>
  <c r="F192" i="6"/>
  <c r="D191" i="6"/>
  <c r="F191" i="6"/>
  <c r="D190" i="6"/>
  <c r="F190" i="6"/>
  <c r="D189" i="6"/>
  <c r="F189" i="6"/>
  <c r="D188" i="6"/>
  <c r="F188" i="6"/>
  <c r="D187" i="6"/>
  <c r="F187" i="6"/>
  <c r="D186" i="6"/>
  <c r="F186" i="6"/>
  <c r="D185" i="6"/>
  <c r="F185" i="6"/>
  <c r="D184" i="6"/>
  <c r="F184" i="6"/>
  <c r="D183" i="6"/>
  <c r="F183" i="6"/>
  <c r="D182" i="6"/>
  <c r="F182" i="6"/>
  <c r="D181" i="6"/>
  <c r="F181" i="6"/>
  <c r="D180" i="6"/>
  <c r="F180" i="6"/>
  <c r="D179" i="6"/>
  <c r="F179" i="6"/>
  <c r="D178" i="6"/>
  <c r="F178" i="6"/>
  <c r="D177" i="6"/>
  <c r="F177" i="6"/>
  <c r="D176" i="6"/>
  <c r="F176" i="6"/>
  <c r="D175" i="6"/>
  <c r="F175" i="6"/>
  <c r="D174" i="6"/>
  <c r="F174" i="6"/>
  <c r="D173" i="6"/>
  <c r="F173" i="6"/>
  <c r="D172" i="6"/>
  <c r="F172" i="6"/>
  <c r="D171" i="6"/>
  <c r="F171" i="6"/>
  <c r="D170" i="6"/>
  <c r="F170" i="6"/>
  <c r="D169" i="6"/>
  <c r="F169" i="6"/>
  <c r="D168" i="6"/>
  <c r="F168" i="6"/>
  <c r="D167" i="6"/>
  <c r="F167" i="6"/>
  <c r="D166" i="6"/>
  <c r="F166" i="6"/>
  <c r="D165" i="6"/>
  <c r="F165" i="6"/>
  <c r="D164" i="6"/>
  <c r="F164" i="6"/>
  <c r="D163" i="6"/>
  <c r="F163" i="6"/>
  <c r="D162" i="6"/>
  <c r="F162" i="6"/>
  <c r="D161" i="6"/>
  <c r="F161" i="6"/>
  <c r="D160" i="6"/>
  <c r="F160" i="6"/>
  <c r="D159" i="6"/>
  <c r="F159" i="6"/>
  <c r="D158" i="6"/>
  <c r="F158" i="6"/>
  <c r="D157" i="6"/>
  <c r="F157" i="6"/>
  <c r="D156" i="6"/>
  <c r="F156" i="6"/>
  <c r="D155" i="6"/>
  <c r="F155" i="6"/>
  <c r="D154" i="6"/>
  <c r="F154" i="6"/>
  <c r="D153" i="6"/>
  <c r="F153" i="6"/>
  <c r="D152" i="6"/>
  <c r="F152" i="6"/>
  <c r="D151" i="6"/>
  <c r="F151" i="6"/>
  <c r="D150" i="6"/>
  <c r="F150" i="6"/>
  <c r="D149" i="6"/>
  <c r="F149" i="6"/>
  <c r="D148" i="6"/>
  <c r="F148" i="6"/>
  <c r="D147" i="6"/>
  <c r="F147" i="6"/>
  <c r="D146" i="6"/>
  <c r="F146" i="6"/>
  <c r="D145" i="6"/>
  <c r="F145" i="6"/>
  <c r="D144" i="6"/>
  <c r="F144" i="6"/>
  <c r="D143" i="6"/>
  <c r="F143" i="6"/>
  <c r="D142" i="6"/>
  <c r="F142" i="6"/>
  <c r="D141" i="6"/>
  <c r="F141" i="6"/>
  <c r="D140" i="6"/>
  <c r="F140" i="6"/>
  <c r="D139" i="6"/>
  <c r="F139" i="6"/>
  <c r="D138" i="6"/>
  <c r="F138" i="6"/>
  <c r="D137" i="6"/>
  <c r="F137" i="6"/>
  <c r="D136" i="6"/>
  <c r="F136" i="6"/>
  <c r="D135" i="6"/>
  <c r="F135" i="6"/>
  <c r="D134" i="6"/>
  <c r="F134" i="6"/>
  <c r="D133" i="6"/>
  <c r="F133" i="6"/>
  <c r="D132" i="6"/>
  <c r="F132" i="6"/>
  <c r="D131" i="6"/>
  <c r="F131" i="6"/>
  <c r="D130" i="6"/>
  <c r="F130" i="6"/>
  <c r="D129" i="6"/>
  <c r="F129" i="6"/>
  <c r="D128" i="6"/>
  <c r="F128" i="6"/>
  <c r="D127" i="6"/>
  <c r="F127" i="6"/>
  <c r="D126" i="6"/>
  <c r="F126" i="6"/>
  <c r="D125" i="6"/>
  <c r="F125" i="6"/>
  <c r="D124" i="6"/>
  <c r="F124" i="6"/>
  <c r="D123" i="6"/>
  <c r="F123" i="6"/>
  <c r="D122" i="6"/>
  <c r="F122" i="6"/>
  <c r="D121" i="6"/>
  <c r="F121" i="6"/>
  <c r="D120" i="6"/>
  <c r="F120" i="6"/>
  <c r="D119" i="6"/>
  <c r="F119" i="6"/>
  <c r="D118" i="6"/>
  <c r="F118" i="6"/>
  <c r="D117" i="6"/>
  <c r="F117" i="6"/>
  <c r="D116" i="6"/>
  <c r="F116" i="6"/>
  <c r="D115" i="6"/>
  <c r="F115" i="6"/>
  <c r="D114" i="6"/>
  <c r="F114" i="6"/>
  <c r="D113" i="6"/>
  <c r="F113" i="6"/>
  <c r="D112" i="6"/>
  <c r="F112" i="6"/>
  <c r="D111" i="6"/>
  <c r="F111" i="6"/>
  <c r="D110" i="6"/>
  <c r="F110" i="6"/>
  <c r="D109" i="6"/>
  <c r="F109" i="6"/>
  <c r="D108" i="6"/>
  <c r="F108" i="6"/>
  <c r="D107" i="6"/>
  <c r="F107" i="6"/>
  <c r="D106" i="6"/>
  <c r="F106" i="6"/>
  <c r="D105" i="6"/>
  <c r="F105" i="6"/>
  <c r="D104" i="6"/>
  <c r="F104" i="6"/>
  <c r="D103" i="6"/>
  <c r="F103" i="6"/>
  <c r="D102" i="6"/>
  <c r="F102" i="6"/>
  <c r="D101" i="6"/>
  <c r="F101" i="6"/>
  <c r="D100" i="6"/>
  <c r="F100" i="6"/>
  <c r="D99" i="6"/>
  <c r="F99" i="6"/>
  <c r="D98" i="6"/>
  <c r="F98" i="6"/>
  <c r="D97" i="6"/>
  <c r="F97" i="6"/>
  <c r="D96" i="6"/>
  <c r="F96" i="6"/>
  <c r="D95" i="6"/>
  <c r="F95" i="6"/>
  <c r="D94" i="6"/>
  <c r="F94" i="6"/>
  <c r="D93" i="6"/>
  <c r="F93" i="6"/>
  <c r="D92" i="6"/>
  <c r="F92" i="6"/>
  <c r="D91" i="6"/>
  <c r="F91" i="6"/>
  <c r="D90" i="6"/>
  <c r="F90" i="6"/>
  <c r="D89" i="6"/>
  <c r="F89" i="6"/>
  <c r="D88" i="6"/>
  <c r="F88" i="6"/>
  <c r="D87" i="6"/>
  <c r="F87" i="6"/>
  <c r="D86" i="6"/>
  <c r="F86" i="6"/>
  <c r="D85" i="6"/>
  <c r="F85" i="6"/>
  <c r="D84" i="6"/>
  <c r="F84" i="6"/>
  <c r="D83" i="6"/>
  <c r="F83" i="6"/>
  <c r="D82" i="6"/>
  <c r="F82" i="6"/>
  <c r="D81" i="6"/>
  <c r="F81" i="6"/>
  <c r="D80" i="6"/>
  <c r="F80" i="6"/>
  <c r="D79" i="6"/>
  <c r="F79" i="6"/>
  <c r="D78" i="6"/>
  <c r="F78" i="6"/>
  <c r="D77" i="6"/>
  <c r="F77" i="6"/>
  <c r="D76" i="6"/>
  <c r="F76" i="6"/>
  <c r="D75" i="6"/>
  <c r="F75" i="6"/>
  <c r="D74" i="6"/>
  <c r="F74" i="6"/>
  <c r="D73" i="6"/>
  <c r="F73" i="6"/>
  <c r="D72" i="6"/>
  <c r="F72" i="6"/>
  <c r="D71" i="6"/>
  <c r="F71" i="6"/>
  <c r="D70" i="6"/>
  <c r="F70" i="6"/>
  <c r="D69" i="6"/>
  <c r="F69" i="6"/>
  <c r="D68" i="6"/>
  <c r="F68" i="6"/>
  <c r="D67" i="6"/>
  <c r="F67" i="6"/>
  <c r="D66" i="6"/>
  <c r="F66" i="6"/>
  <c r="D65" i="6"/>
  <c r="F65" i="6"/>
  <c r="D64" i="6"/>
  <c r="F64" i="6"/>
  <c r="D63" i="6"/>
  <c r="F63" i="6"/>
  <c r="D62" i="6"/>
  <c r="F62" i="6"/>
  <c r="D61" i="6"/>
  <c r="F61" i="6"/>
  <c r="D60" i="6"/>
  <c r="F60" i="6"/>
  <c r="D59" i="6"/>
  <c r="F59" i="6"/>
  <c r="D58" i="6"/>
  <c r="F58" i="6"/>
  <c r="D57" i="6"/>
  <c r="F57" i="6"/>
  <c r="D56" i="6"/>
  <c r="F56" i="6"/>
  <c r="D55" i="6"/>
  <c r="F55" i="6"/>
  <c r="D54" i="6"/>
  <c r="F54" i="6"/>
  <c r="D53" i="6"/>
  <c r="F53" i="6"/>
  <c r="D52" i="6"/>
  <c r="F52" i="6"/>
  <c r="D51" i="6"/>
  <c r="F51" i="6"/>
  <c r="D50" i="6"/>
  <c r="F50" i="6"/>
  <c r="D49" i="6"/>
  <c r="F49" i="6"/>
  <c r="D48" i="6"/>
  <c r="F48" i="6"/>
  <c r="D47" i="6"/>
  <c r="F47" i="6"/>
  <c r="D46" i="6"/>
  <c r="F46" i="6"/>
  <c r="D45" i="6"/>
  <c r="F45" i="6"/>
  <c r="D44" i="6"/>
  <c r="F44" i="6"/>
  <c r="D43" i="6"/>
  <c r="F43" i="6"/>
  <c r="D42" i="6"/>
  <c r="F42" i="6"/>
  <c r="D41" i="6"/>
  <c r="F41" i="6"/>
  <c r="D40" i="6"/>
  <c r="F40" i="6"/>
  <c r="D39" i="6"/>
  <c r="F39" i="6"/>
  <c r="D38" i="6"/>
  <c r="F38" i="6"/>
  <c r="D37" i="6"/>
  <c r="F37" i="6"/>
  <c r="D36" i="6"/>
  <c r="F36" i="6"/>
  <c r="D35" i="6"/>
  <c r="F35" i="6"/>
  <c r="D34" i="6"/>
  <c r="F34" i="6"/>
  <c r="D33" i="6"/>
  <c r="F33" i="6"/>
  <c r="D32" i="6"/>
  <c r="F32" i="6"/>
  <c r="D31" i="6"/>
  <c r="F31" i="6"/>
  <c r="D30" i="6"/>
  <c r="F30" i="6"/>
  <c r="D29" i="6"/>
  <c r="F29" i="6"/>
  <c r="D28" i="6"/>
  <c r="F28" i="6"/>
  <c r="D27" i="6"/>
  <c r="F27" i="6"/>
  <c r="D26" i="6"/>
  <c r="F26" i="6"/>
  <c r="D25" i="6"/>
  <c r="F25" i="6"/>
  <c r="D24" i="6"/>
  <c r="F24" i="6"/>
  <c r="D23" i="6"/>
  <c r="F23" i="6"/>
  <c r="D22" i="6"/>
  <c r="F22" i="6"/>
  <c r="D21" i="6"/>
  <c r="F21" i="6"/>
  <c r="D20" i="6"/>
  <c r="F20" i="6"/>
  <c r="D19" i="6"/>
  <c r="F19" i="6"/>
  <c r="D18" i="6"/>
  <c r="F18" i="6"/>
  <c r="D17" i="6"/>
  <c r="F17" i="6"/>
  <c r="D16" i="6"/>
  <c r="F16" i="6"/>
  <c r="D15" i="6"/>
  <c r="F15" i="6"/>
  <c r="D14" i="6"/>
  <c r="F14" i="6"/>
  <c r="D13" i="6"/>
  <c r="F13" i="6"/>
  <c r="D12" i="6"/>
  <c r="F12" i="6"/>
  <c r="D11" i="6"/>
  <c r="F11" i="6"/>
  <c r="D10" i="6"/>
  <c r="F10" i="6"/>
  <c r="D9" i="6"/>
  <c r="F9" i="6"/>
  <c r="D8" i="6"/>
  <c r="F8" i="6"/>
  <c r="D7" i="6"/>
  <c r="F7" i="6"/>
  <c r="D6" i="6"/>
  <c r="F6" i="6"/>
  <c r="D5" i="6"/>
  <c r="F5" i="6"/>
  <c r="D4" i="6"/>
  <c r="D2" i="6"/>
  <c r="C631" i="6"/>
  <c r="E631" i="6"/>
  <c r="C630" i="6"/>
  <c r="E630" i="6"/>
  <c r="C629" i="6"/>
  <c r="E629" i="6"/>
  <c r="C628" i="6"/>
  <c r="E628" i="6"/>
  <c r="C627" i="6"/>
  <c r="E627" i="6"/>
  <c r="C626" i="6"/>
  <c r="E626" i="6"/>
  <c r="C625" i="6"/>
  <c r="E625" i="6"/>
  <c r="C624" i="6"/>
  <c r="E624" i="6"/>
  <c r="C623" i="6"/>
  <c r="E623" i="6"/>
  <c r="C622" i="6"/>
  <c r="E622" i="6"/>
  <c r="C621" i="6"/>
  <c r="E621" i="6"/>
  <c r="C620" i="6"/>
  <c r="E620" i="6"/>
  <c r="C619" i="6"/>
  <c r="E619" i="6"/>
  <c r="C618" i="6"/>
  <c r="E618" i="6"/>
  <c r="C617" i="6"/>
  <c r="E617" i="6"/>
  <c r="C616" i="6"/>
  <c r="E616" i="6"/>
  <c r="C615" i="6"/>
  <c r="E615" i="6"/>
  <c r="C614" i="6"/>
  <c r="E614" i="6"/>
  <c r="C613" i="6"/>
  <c r="E613" i="6"/>
  <c r="C612" i="6"/>
  <c r="E612" i="6"/>
  <c r="C611" i="6"/>
  <c r="E611" i="6"/>
  <c r="C610" i="6"/>
  <c r="E610" i="6"/>
  <c r="C609" i="6"/>
  <c r="E609" i="6"/>
  <c r="C608" i="6"/>
  <c r="E608" i="6"/>
  <c r="C607" i="6"/>
  <c r="E607" i="6"/>
  <c r="C606" i="6"/>
  <c r="E606" i="6"/>
  <c r="C605" i="6"/>
  <c r="E605" i="6"/>
  <c r="C604" i="6"/>
  <c r="E604" i="6"/>
  <c r="C603" i="6"/>
  <c r="E603" i="6"/>
  <c r="C602" i="6"/>
  <c r="E602" i="6"/>
  <c r="C601" i="6"/>
  <c r="E601" i="6"/>
  <c r="C600" i="6"/>
  <c r="E600" i="6"/>
  <c r="C599" i="6"/>
  <c r="E599" i="6"/>
  <c r="C598" i="6"/>
  <c r="E598" i="6"/>
  <c r="C597" i="6"/>
  <c r="E597" i="6"/>
  <c r="C596" i="6"/>
  <c r="E596" i="6"/>
  <c r="C595" i="6"/>
  <c r="E595" i="6"/>
  <c r="C594" i="6"/>
  <c r="E594" i="6"/>
  <c r="C593" i="6"/>
  <c r="E593" i="6"/>
  <c r="C592" i="6"/>
  <c r="E592" i="6"/>
  <c r="C591" i="6"/>
  <c r="E591" i="6"/>
  <c r="C590" i="6"/>
  <c r="E590" i="6"/>
  <c r="C589" i="6"/>
  <c r="E589" i="6"/>
  <c r="C588" i="6"/>
  <c r="E588" i="6"/>
  <c r="C587" i="6"/>
  <c r="E587" i="6"/>
  <c r="C586" i="6"/>
  <c r="E586" i="6"/>
  <c r="C585" i="6"/>
  <c r="E585" i="6"/>
  <c r="C584" i="6"/>
  <c r="E584" i="6"/>
  <c r="C583" i="6"/>
  <c r="E583" i="6"/>
  <c r="C582" i="6"/>
  <c r="E582" i="6"/>
  <c r="C581" i="6"/>
  <c r="E581" i="6"/>
  <c r="C580" i="6"/>
  <c r="E580" i="6"/>
  <c r="C579" i="6"/>
  <c r="E579" i="6"/>
  <c r="C578" i="6"/>
  <c r="E578" i="6"/>
  <c r="C577" i="6"/>
  <c r="E577" i="6"/>
  <c r="C576" i="6"/>
  <c r="E576" i="6"/>
  <c r="C575" i="6"/>
  <c r="E575" i="6"/>
  <c r="C574" i="6"/>
  <c r="E574" i="6"/>
  <c r="C573" i="6"/>
  <c r="E573" i="6"/>
  <c r="C572" i="6"/>
  <c r="E572" i="6"/>
  <c r="C571" i="6"/>
  <c r="E571" i="6"/>
  <c r="C570" i="6"/>
  <c r="E570" i="6"/>
  <c r="C569" i="6"/>
  <c r="E569" i="6"/>
  <c r="C568" i="6"/>
  <c r="E568" i="6"/>
  <c r="C567" i="6"/>
  <c r="E567" i="6"/>
  <c r="C566" i="6"/>
  <c r="E566" i="6"/>
  <c r="C565" i="6"/>
  <c r="E565" i="6"/>
  <c r="C564" i="6"/>
  <c r="E564" i="6"/>
  <c r="C563" i="6"/>
  <c r="E563" i="6"/>
  <c r="C562" i="6"/>
  <c r="E562" i="6"/>
  <c r="C561" i="6"/>
  <c r="E561" i="6"/>
  <c r="C560" i="6"/>
  <c r="E560" i="6"/>
  <c r="C559" i="6"/>
  <c r="E559" i="6"/>
  <c r="C558" i="6"/>
  <c r="E558" i="6"/>
  <c r="C557" i="6"/>
  <c r="E557" i="6"/>
  <c r="C556" i="6"/>
  <c r="E556" i="6"/>
  <c r="C555" i="6"/>
  <c r="E555" i="6"/>
  <c r="C554" i="6"/>
  <c r="E554" i="6"/>
  <c r="C553" i="6"/>
  <c r="E553" i="6"/>
  <c r="C552" i="6"/>
  <c r="E552" i="6"/>
  <c r="C551" i="6"/>
  <c r="E551" i="6"/>
  <c r="C550" i="6"/>
  <c r="E550" i="6"/>
  <c r="C549" i="6"/>
  <c r="E549" i="6"/>
  <c r="C548" i="6"/>
  <c r="E548" i="6"/>
  <c r="C547" i="6"/>
  <c r="E547" i="6"/>
  <c r="C546" i="6"/>
  <c r="E546" i="6"/>
  <c r="C545" i="6"/>
  <c r="E545" i="6"/>
  <c r="C544" i="6"/>
  <c r="E544" i="6"/>
  <c r="C543" i="6"/>
  <c r="E543" i="6"/>
  <c r="C542" i="6"/>
  <c r="E542" i="6"/>
  <c r="C541" i="6"/>
  <c r="E541" i="6"/>
  <c r="C540" i="6"/>
  <c r="E540" i="6"/>
  <c r="C539" i="6"/>
  <c r="E539" i="6"/>
  <c r="C538" i="6"/>
  <c r="E538" i="6"/>
  <c r="C537" i="6"/>
  <c r="E537" i="6"/>
  <c r="C536" i="6"/>
  <c r="E536" i="6"/>
  <c r="C535" i="6"/>
  <c r="E535" i="6"/>
  <c r="C534" i="6"/>
  <c r="E534" i="6"/>
  <c r="C533" i="6"/>
  <c r="E533" i="6"/>
  <c r="C532" i="6"/>
  <c r="E532" i="6"/>
  <c r="C531" i="6"/>
  <c r="E531" i="6"/>
  <c r="C530" i="6"/>
  <c r="E530" i="6"/>
  <c r="C529" i="6"/>
  <c r="E529" i="6"/>
  <c r="C528" i="6"/>
  <c r="E528" i="6"/>
  <c r="C527" i="6"/>
  <c r="E527" i="6"/>
  <c r="C526" i="6"/>
  <c r="E526" i="6"/>
  <c r="C525" i="6"/>
  <c r="E525" i="6"/>
  <c r="C524" i="6"/>
  <c r="E524" i="6"/>
  <c r="C523" i="6"/>
  <c r="E523" i="6"/>
  <c r="C522" i="6"/>
  <c r="E522" i="6"/>
  <c r="C521" i="6"/>
  <c r="E521" i="6"/>
  <c r="C520" i="6"/>
  <c r="E520" i="6"/>
  <c r="C519" i="6"/>
  <c r="E519" i="6"/>
  <c r="C518" i="6"/>
  <c r="E518" i="6"/>
  <c r="C517" i="6"/>
  <c r="E517" i="6"/>
  <c r="C516" i="6"/>
  <c r="E516" i="6"/>
  <c r="C515" i="6"/>
  <c r="E515" i="6"/>
  <c r="C514" i="6"/>
  <c r="E514" i="6"/>
  <c r="C513" i="6"/>
  <c r="E513" i="6"/>
  <c r="C512" i="6"/>
  <c r="E512" i="6"/>
  <c r="C511" i="6"/>
  <c r="E511" i="6"/>
  <c r="C510" i="6"/>
  <c r="E510" i="6"/>
  <c r="C509" i="6"/>
  <c r="E509" i="6"/>
  <c r="C508" i="6"/>
  <c r="E508" i="6"/>
  <c r="C507" i="6"/>
  <c r="E507" i="6"/>
  <c r="C506" i="6"/>
  <c r="E506" i="6"/>
  <c r="C505" i="6"/>
  <c r="E505" i="6"/>
  <c r="C504" i="6"/>
  <c r="E504" i="6"/>
  <c r="C503" i="6"/>
  <c r="E503" i="6"/>
  <c r="C502" i="6"/>
  <c r="E502" i="6"/>
  <c r="C501" i="6"/>
  <c r="E501" i="6"/>
  <c r="C500" i="6"/>
  <c r="E500" i="6"/>
  <c r="C499" i="6"/>
  <c r="E499" i="6"/>
  <c r="C498" i="6"/>
  <c r="E498" i="6"/>
  <c r="C497" i="6"/>
  <c r="E497" i="6"/>
  <c r="C496" i="6"/>
  <c r="E496" i="6"/>
  <c r="C495" i="6"/>
  <c r="E495" i="6"/>
  <c r="C494" i="6"/>
  <c r="E494" i="6"/>
  <c r="C493" i="6"/>
  <c r="E493" i="6"/>
  <c r="C492" i="6"/>
  <c r="E492" i="6"/>
  <c r="C491" i="6"/>
  <c r="E491" i="6"/>
  <c r="C490" i="6"/>
  <c r="E490" i="6"/>
  <c r="C489" i="6"/>
  <c r="E489" i="6"/>
  <c r="C488" i="6"/>
  <c r="E488" i="6"/>
  <c r="C487" i="6"/>
  <c r="E487" i="6"/>
  <c r="C486" i="6"/>
  <c r="E486" i="6"/>
  <c r="C485" i="6"/>
  <c r="E485" i="6"/>
  <c r="C484" i="6"/>
  <c r="E484" i="6"/>
  <c r="C483" i="6"/>
  <c r="E483" i="6"/>
  <c r="C482" i="6"/>
  <c r="E482" i="6"/>
  <c r="C481" i="6"/>
  <c r="E481" i="6"/>
  <c r="C480" i="6"/>
  <c r="E480" i="6"/>
  <c r="C479" i="6"/>
  <c r="E479" i="6"/>
  <c r="C478" i="6"/>
  <c r="E478" i="6"/>
  <c r="C477" i="6"/>
  <c r="E477" i="6"/>
  <c r="C476" i="6"/>
  <c r="E476" i="6"/>
  <c r="C475" i="6"/>
  <c r="E475" i="6"/>
  <c r="C474" i="6"/>
  <c r="E474" i="6"/>
  <c r="C473" i="6"/>
  <c r="E473" i="6"/>
  <c r="C472" i="6"/>
  <c r="E472" i="6"/>
  <c r="C471" i="6"/>
  <c r="E471" i="6"/>
  <c r="C470" i="6"/>
  <c r="E470" i="6"/>
  <c r="C469" i="6"/>
  <c r="E469" i="6"/>
  <c r="C468" i="6"/>
  <c r="E468" i="6"/>
  <c r="C467" i="6"/>
  <c r="E467" i="6"/>
  <c r="C466" i="6"/>
  <c r="E466" i="6"/>
  <c r="C465" i="6"/>
  <c r="E465" i="6"/>
  <c r="C464" i="6"/>
  <c r="E464" i="6"/>
  <c r="C463" i="6"/>
  <c r="E463" i="6"/>
  <c r="C462" i="6"/>
  <c r="E462" i="6"/>
  <c r="C461" i="6"/>
  <c r="E461" i="6"/>
  <c r="C460" i="6"/>
  <c r="E460" i="6"/>
  <c r="C459" i="6"/>
  <c r="E459" i="6"/>
  <c r="C458" i="6"/>
  <c r="E458" i="6"/>
  <c r="C457" i="6"/>
  <c r="E457" i="6"/>
  <c r="C456" i="6"/>
  <c r="E456" i="6"/>
  <c r="C455" i="6"/>
  <c r="E455" i="6"/>
  <c r="C454" i="6"/>
  <c r="E454" i="6"/>
  <c r="C453" i="6"/>
  <c r="E453" i="6"/>
  <c r="C452" i="6"/>
  <c r="E452" i="6"/>
  <c r="C451" i="6"/>
  <c r="E451" i="6"/>
  <c r="C450" i="6"/>
  <c r="E450" i="6"/>
  <c r="C449" i="6"/>
  <c r="E449" i="6"/>
  <c r="C448" i="6"/>
  <c r="E448" i="6"/>
  <c r="C447" i="6"/>
  <c r="E447" i="6"/>
  <c r="C446" i="6"/>
  <c r="E446" i="6"/>
  <c r="C445" i="6"/>
  <c r="E445" i="6"/>
  <c r="C444" i="6"/>
  <c r="E444" i="6"/>
  <c r="C443" i="6"/>
  <c r="E443" i="6"/>
  <c r="C442" i="6"/>
  <c r="E442" i="6"/>
  <c r="C441" i="6"/>
  <c r="E441" i="6"/>
  <c r="C440" i="6"/>
  <c r="E440" i="6"/>
  <c r="C439" i="6"/>
  <c r="E439" i="6"/>
  <c r="C438" i="6"/>
  <c r="E438" i="6"/>
  <c r="C437" i="6"/>
  <c r="E437" i="6"/>
  <c r="C436" i="6"/>
  <c r="E436" i="6"/>
  <c r="C435" i="6"/>
  <c r="E435" i="6"/>
  <c r="C434" i="6"/>
  <c r="E434" i="6"/>
  <c r="C433" i="6"/>
  <c r="E433" i="6"/>
  <c r="C432" i="6"/>
  <c r="E432" i="6"/>
  <c r="C431" i="6"/>
  <c r="E431" i="6"/>
  <c r="C430" i="6"/>
  <c r="E430" i="6"/>
  <c r="C429" i="6"/>
  <c r="E429" i="6"/>
  <c r="C428" i="6"/>
  <c r="E428" i="6"/>
  <c r="C427" i="6"/>
  <c r="E427" i="6"/>
  <c r="C426" i="6"/>
  <c r="E426" i="6"/>
  <c r="C425" i="6"/>
  <c r="E425" i="6"/>
  <c r="C424" i="6"/>
  <c r="E424" i="6"/>
  <c r="C423" i="6"/>
  <c r="E423" i="6"/>
  <c r="C422" i="6"/>
  <c r="E422" i="6"/>
  <c r="C421" i="6"/>
  <c r="E421" i="6"/>
  <c r="C420" i="6"/>
  <c r="E420" i="6"/>
  <c r="C419" i="6"/>
  <c r="E419" i="6"/>
  <c r="C418" i="6"/>
  <c r="E418" i="6"/>
  <c r="C417" i="6"/>
  <c r="E417" i="6"/>
  <c r="C416" i="6"/>
  <c r="E416" i="6"/>
  <c r="C415" i="6"/>
  <c r="E415" i="6"/>
  <c r="C414" i="6"/>
  <c r="E414" i="6"/>
  <c r="C413" i="6"/>
  <c r="E413" i="6"/>
  <c r="C412" i="6"/>
  <c r="E412" i="6"/>
  <c r="C411" i="6"/>
  <c r="E411" i="6"/>
  <c r="C410" i="6"/>
  <c r="E410" i="6"/>
  <c r="C409" i="6"/>
  <c r="E409" i="6"/>
  <c r="C408" i="6"/>
  <c r="E408" i="6"/>
  <c r="C407" i="6"/>
  <c r="E407" i="6"/>
  <c r="C406" i="6"/>
  <c r="E406" i="6"/>
  <c r="C405" i="6"/>
  <c r="E405" i="6"/>
  <c r="C404" i="6"/>
  <c r="E404" i="6"/>
  <c r="C403" i="6"/>
  <c r="E403" i="6"/>
  <c r="C402" i="6"/>
  <c r="E402" i="6"/>
  <c r="C401" i="6"/>
  <c r="E401" i="6"/>
  <c r="C400" i="6"/>
  <c r="E400" i="6"/>
  <c r="C399" i="6"/>
  <c r="E399" i="6"/>
  <c r="C398" i="6"/>
  <c r="E398" i="6"/>
  <c r="C397" i="6"/>
  <c r="E397" i="6"/>
  <c r="C396" i="6"/>
  <c r="E396" i="6"/>
  <c r="C395" i="6"/>
  <c r="E395" i="6"/>
  <c r="C394" i="6"/>
  <c r="E394" i="6"/>
  <c r="C393" i="6"/>
  <c r="E393" i="6"/>
  <c r="C392" i="6"/>
  <c r="E392" i="6"/>
  <c r="C391" i="6"/>
  <c r="E391" i="6"/>
  <c r="C390" i="6"/>
  <c r="E390" i="6"/>
  <c r="C389" i="6"/>
  <c r="E389" i="6"/>
  <c r="C388" i="6"/>
  <c r="E388" i="6"/>
  <c r="C387" i="6"/>
  <c r="E387" i="6"/>
  <c r="C386" i="6"/>
  <c r="E386" i="6"/>
  <c r="C385" i="6"/>
  <c r="E385" i="6"/>
  <c r="C384" i="6"/>
  <c r="E384" i="6"/>
  <c r="C383" i="6"/>
  <c r="E383" i="6"/>
  <c r="C382" i="6"/>
  <c r="E382" i="6"/>
  <c r="C381" i="6"/>
  <c r="E381" i="6"/>
  <c r="C380" i="6"/>
  <c r="E380" i="6"/>
  <c r="C379" i="6"/>
  <c r="E379" i="6"/>
  <c r="C378" i="6"/>
  <c r="E378" i="6"/>
  <c r="C377" i="6"/>
  <c r="E377" i="6"/>
  <c r="C376" i="6"/>
  <c r="E376" i="6"/>
  <c r="C375" i="6"/>
  <c r="E375" i="6"/>
  <c r="C374" i="6"/>
  <c r="E374" i="6"/>
  <c r="C373" i="6"/>
  <c r="E373" i="6"/>
  <c r="C372" i="6"/>
  <c r="E372" i="6"/>
  <c r="C371" i="6"/>
  <c r="E371" i="6"/>
  <c r="C370" i="6"/>
  <c r="E370" i="6"/>
  <c r="C369" i="6"/>
  <c r="E369" i="6"/>
  <c r="C368" i="6"/>
  <c r="E368" i="6"/>
  <c r="C367" i="6"/>
  <c r="E367" i="6"/>
  <c r="C366" i="6"/>
  <c r="E366" i="6"/>
  <c r="C365" i="6"/>
  <c r="E365" i="6"/>
  <c r="C364" i="6"/>
  <c r="E364" i="6"/>
  <c r="C363" i="6"/>
  <c r="E363" i="6"/>
  <c r="C362" i="6"/>
  <c r="E362" i="6"/>
  <c r="C361" i="6"/>
  <c r="E361" i="6"/>
  <c r="C360" i="6"/>
  <c r="E360" i="6"/>
  <c r="C359" i="6"/>
  <c r="E359" i="6"/>
  <c r="C358" i="6"/>
  <c r="E358" i="6"/>
  <c r="C357" i="6"/>
  <c r="E357" i="6"/>
  <c r="C356" i="6"/>
  <c r="E356" i="6"/>
  <c r="C355" i="6"/>
  <c r="E355" i="6"/>
  <c r="C354" i="6"/>
  <c r="E354" i="6"/>
  <c r="C353" i="6"/>
  <c r="E353" i="6"/>
  <c r="C352" i="6"/>
  <c r="E352" i="6"/>
  <c r="C351" i="6"/>
  <c r="E351" i="6"/>
  <c r="C350" i="6"/>
  <c r="E350" i="6"/>
  <c r="C349" i="6"/>
  <c r="E349" i="6"/>
  <c r="C348" i="6"/>
  <c r="E348" i="6"/>
  <c r="C347" i="6"/>
  <c r="E347" i="6"/>
  <c r="C346" i="6"/>
  <c r="E346" i="6"/>
  <c r="C345" i="6"/>
  <c r="E345" i="6"/>
  <c r="C344" i="6"/>
  <c r="E344" i="6"/>
  <c r="C343" i="6"/>
  <c r="E343" i="6"/>
  <c r="C342" i="6"/>
  <c r="E342" i="6"/>
  <c r="C341" i="6"/>
  <c r="E341" i="6"/>
  <c r="C340" i="6"/>
  <c r="E340" i="6"/>
  <c r="C339" i="6"/>
  <c r="E339" i="6"/>
  <c r="C338" i="6"/>
  <c r="E338" i="6"/>
  <c r="C337" i="6"/>
  <c r="E337" i="6"/>
  <c r="C336" i="6"/>
  <c r="E336" i="6"/>
  <c r="C335" i="6"/>
  <c r="E335" i="6"/>
  <c r="C334" i="6"/>
  <c r="E334" i="6"/>
  <c r="C333" i="6"/>
  <c r="E333" i="6"/>
  <c r="C332" i="6"/>
  <c r="E332" i="6"/>
  <c r="C331" i="6"/>
  <c r="E331" i="6"/>
  <c r="C330" i="6"/>
  <c r="E330" i="6"/>
  <c r="C329" i="6"/>
  <c r="E329" i="6"/>
  <c r="C328" i="6"/>
  <c r="E328" i="6"/>
  <c r="C327" i="6"/>
  <c r="E327" i="6"/>
  <c r="C326" i="6"/>
  <c r="E326" i="6"/>
  <c r="C325" i="6"/>
  <c r="E325" i="6"/>
  <c r="C324" i="6"/>
  <c r="E324" i="6"/>
  <c r="C323" i="6"/>
  <c r="E323" i="6"/>
  <c r="C322" i="6"/>
  <c r="E322" i="6"/>
  <c r="C321" i="6"/>
  <c r="E321" i="6"/>
  <c r="C320" i="6"/>
  <c r="E320" i="6"/>
  <c r="C319" i="6"/>
  <c r="E319" i="6"/>
  <c r="C318" i="6"/>
  <c r="E318" i="6"/>
  <c r="C317" i="6"/>
  <c r="E317" i="6"/>
  <c r="C316" i="6"/>
  <c r="E316" i="6"/>
  <c r="C315" i="6"/>
  <c r="E315" i="6"/>
  <c r="C314" i="6"/>
  <c r="E314" i="6"/>
  <c r="C313" i="6"/>
  <c r="E313" i="6"/>
  <c r="C312" i="6"/>
  <c r="E312" i="6"/>
  <c r="C311" i="6"/>
  <c r="E311" i="6"/>
  <c r="C310" i="6"/>
  <c r="E310" i="6"/>
  <c r="C309" i="6"/>
  <c r="E309" i="6"/>
  <c r="C308" i="6"/>
  <c r="E308" i="6"/>
  <c r="C307" i="6"/>
  <c r="E307" i="6"/>
  <c r="C306" i="6"/>
  <c r="E306" i="6"/>
  <c r="C305" i="6"/>
  <c r="E305" i="6"/>
  <c r="C304" i="6"/>
  <c r="E304" i="6"/>
  <c r="C303" i="6"/>
  <c r="E303" i="6"/>
  <c r="C302" i="6"/>
  <c r="E302" i="6"/>
  <c r="C301" i="6"/>
  <c r="E301" i="6"/>
  <c r="C300" i="6"/>
  <c r="E300" i="6"/>
  <c r="C299" i="6"/>
  <c r="E299" i="6"/>
  <c r="C298" i="6"/>
  <c r="E298" i="6"/>
  <c r="C297" i="6"/>
  <c r="E297" i="6"/>
  <c r="C296" i="6"/>
  <c r="E296" i="6"/>
  <c r="C295" i="6"/>
  <c r="E295" i="6"/>
  <c r="C294" i="6"/>
  <c r="E294" i="6"/>
  <c r="C293" i="6"/>
  <c r="E293" i="6"/>
  <c r="C292" i="6"/>
  <c r="E292" i="6"/>
  <c r="C291" i="6"/>
  <c r="E291" i="6"/>
  <c r="C290" i="6"/>
  <c r="E290" i="6"/>
  <c r="C289" i="6"/>
  <c r="E289" i="6"/>
  <c r="C288" i="6"/>
  <c r="E288" i="6"/>
  <c r="C287" i="6"/>
  <c r="E287" i="6"/>
  <c r="C286" i="6"/>
  <c r="E286" i="6"/>
  <c r="C285" i="6"/>
  <c r="E285" i="6"/>
  <c r="C284" i="6"/>
  <c r="E284" i="6"/>
  <c r="C283" i="6"/>
  <c r="E283" i="6"/>
  <c r="C282" i="6"/>
  <c r="E282" i="6"/>
  <c r="C281" i="6"/>
  <c r="E281" i="6"/>
  <c r="C280" i="6"/>
  <c r="E280" i="6"/>
  <c r="C279" i="6"/>
  <c r="E279" i="6"/>
  <c r="C278" i="6"/>
  <c r="E278" i="6"/>
  <c r="C277" i="6"/>
  <c r="E277" i="6"/>
  <c r="C276" i="6"/>
  <c r="E276" i="6"/>
  <c r="C275" i="6"/>
  <c r="E275" i="6"/>
  <c r="C274" i="6"/>
  <c r="E274" i="6"/>
  <c r="C273" i="6"/>
  <c r="E273" i="6"/>
  <c r="C272" i="6"/>
  <c r="E272" i="6"/>
  <c r="C271" i="6"/>
  <c r="E271" i="6"/>
  <c r="C270" i="6"/>
  <c r="E270" i="6"/>
  <c r="C269" i="6"/>
  <c r="E269" i="6"/>
  <c r="C268" i="6"/>
  <c r="E268" i="6"/>
  <c r="C267" i="6"/>
  <c r="E267" i="6"/>
  <c r="C266" i="6"/>
  <c r="E266" i="6"/>
  <c r="C265" i="6"/>
  <c r="E265" i="6"/>
  <c r="C264" i="6"/>
  <c r="E264" i="6"/>
  <c r="C263" i="6"/>
  <c r="E263" i="6"/>
  <c r="C262" i="6"/>
  <c r="E262" i="6"/>
  <c r="C261" i="6"/>
  <c r="E261" i="6"/>
  <c r="C260" i="6"/>
  <c r="E260" i="6"/>
  <c r="C259" i="6"/>
  <c r="E259" i="6"/>
  <c r="C258" i="6"/>
  <c r="E258" i="6"/>
  <c r="C257" i="6"/>
  <c r="E257" i="6"/>
  <c r="C256" i="6"/>
  <c r="E256" i="6"/>
  <c r="C255" i="6"/>
  <c r="E255" i="6"/>
  <c r="C254" i="6"/>
  <c r="E254" i="6"/>
  <c r="C253" i="6"/>
  <c r="E253" i="6"/>
  <c r="C252" i="6"/>
  <c r="E252" i="6"/>
  <c r="C251" i="6"/>
  <c r="E251" i="6"/>
  <c r="C250" i="6"/>
  <c r="E250" i="6"/>
  <c r="C249" i="6"/>
  <c r="E249" i="6"/>
  <c r="C248" i="6"/>
  <c r="E248" i="6"/>
  <c r="C247" i="6"/>
  <c r="E247" i="6"/>
  <c r="C246" i="6"/>
  <c r="E246" i="6"/>
  <c r="C245" i="6"/>
  <c r="E245" i="6"/>
  <c r="C244" i="6"/>
  <c r="E244" i="6"/>
  <c r="C243" i="6"/>
  <c r="E243" i="6"/>
  <c r="C242" i="6"/>
  <c r="E242" i="6"/>
  <c r="C241" i="6"/>
  <c r="E241" i="6"/>
  <c r="C240" i="6"/>
  <c r="E240" i="6"/>
  <c r="C239" i="6"/>
  <c r="E239" i="6"/>
  <c r="C238" i="6"/>
  <c r="E238" i="6"/>
  <c r="C237" i="6"/>
  <c r="E237" i="6"/>
  <c r="C236" i="6"/>
  <c r="E236" i="6"/>
  <c r="C235" i="6"/>
  <c r="E235" i="6"/>
  <c r="C234" i="6"/>
  <c r="E234" i="6"/>
  <c r="C233" i="6"/>
  <c r="E233" i="6"/>
  <c r="C232" i="6"/>
  <c r="E232" i="6"/>
  <c r="C231" i="6"/>
  <c r="E231" i="6"/>
  <c r="C230" i="6"/>
  <c r="E230" i="6"/>
  <c r="C229" i="6"/>
  <c r="E229" i="6"/>
  <c r="C228" i="6"/>
  <c r="E228" i="6"/>
  <c r="C227" i="6"/>
  <c r="E227" i="6"/>
  <c r="C226" i="6"/>
  <c r="E226" i="6"/>
  <c r="C225" i="6"/>
  <c r="E225" i="6"/>
  <c r="C224" i="6"/>
  <c r="E224" i="6"/>
  <c r="C223" i="6"/>
  <c r="E223" i="6"/>
  <c r="C222" i="6"/>
  <c r="E222" i="6"/>
  <c r="C221" i="6"/>
  <c r="E221" i="6"/>
  <c r="C220" i="6"/>
  <c r="E220" i="6"/>
  <c r="C219" i="6"/>
  <c r="E219" i="6"/>
  <c r="C218" i="6"/>
  <c r="E218" i="6"/>
  <c r="C217" i="6"/>
  <c r="E217" i="6"/>
  <c r="C216" i="6"/>
  <c r="E216" i="6"/>
  <c r="C215" i="6"/>
  <c r="E215" i="6"/>
  <c r="C214" i="6"/>
  <c r="E214" i="6"/>
  <c r="C213" i="6"/>
  <c r="E213" i="6"/>
  <c r="C212" i="6"/>
  <c r="E212" i="6"/>
  <c r="C211" i="6"/>
  <c r="E211" i="6"/>
  <c r="C210" i="6"/>
  <c r="E210" i="6"/>
  <c r="C209" i="6"/>
  <c r="E209" i="6"/>
  <c r="C208" i="6"/>
  <c r="E208" i="6"/>
  <c r="C207" i="6"/>
  <c r="E207" i="6"/>
  <c r="C206" i="6"/>
  <c r="E206" i="6"/>
  <c r="C205" i="6"/>
  <c r="E205" i="6"/>
  <c r="C204" i="6"/>
  <c r="E204" i="6"/>
  <c r="C203" i="6"/>
  <c r="E203" i="6"/>
  <c r="C202" i="6"/>
  <c r="E202" i="6"/>
  <c r="C201" i="6"/>
  <c r="E201" i="6"/>
  <c r="C200" i="6"/>
  <c r="E200" i="6"/>
  <c r="C199" i="6"/>
  <c r="E199" i="6"/>
  <c r="C198" i="6"/>
  <c r="E198" i="6"/>
  <c r="C197" i="6"/>
  <c r="E197" i="6"/>
  <c r="C196" i="6"/>
  <c r="E196" i="6"/>
  <c r="C195" i="6"/>
  <c r="E195" i="6"/>
  <c r="C194" i="6"/>
  <c r="E194" i="6"/>
  <c r="C193" i="6"/>
  <c r="E193" i="6"/>
  <c r="C192" i="6"/>
  <c r="E192" i="6"/>
  <c r="C191" i="6"/>
  <c r="E191" i="6"/>
  <c r="C190" i="6"/>
  <c r="E190" i="6"/>
  <c r="C189" i="6"/>
  <c r="E189" i="6"/>
  <c r="C188" i="6"/>
  <c r="E188" i="6"/>
  <c r="C187" i="6"/>
  <c r="E187" i="6"/>
  <c r="C186" i="6"/>
  <c r="E186" i="6"/>
  <c r="C185" i="6"/>
  <c r="E185" i="6"/>
  <c r="C184" i="6"/>
  <c r="E184" i="6"/>
  <c r="C183" i="6"/>
  <c r="E183" i="6"/>
  <c r="C182" i="6"/>
  <c r="E182" i="6"/>
  <c r="C181" i="6"/>
  <c r="E181" i="6"/>
  <c r="C180" i="6"/>
  <c r="E180" i="6"/>
  <c r="C179" i="6"/>
  <c r="E179" i="6"/>
  <c r="C178" i="6"/>
  <c r="E178" i="6"/>
  <c r="C177" i="6"/>
  <c r="E177" i="6"/>
  <c r="C176" i="6"/>
  <c r="E176" i="6"/>
  <c r="C175" i="6"/>
  <c r="E175" i="6"/>
  <c r="C174" i="6"/>
  <c r="E174" i="6"/>
  <c r="C173" i="6"/>
  <c r="E173" i="6"/>
  <c r="C172" i="6"/>
  <c r="E172" i="6"/>
  <c r="C171" i="6"/>
  <c r="E171" i="6"/>
  <c r="C170" i="6"/>
  <c r="E170" i="6"/>
  <c r="C169" i="6"/>
  <c r="E169" i="6"/>
  <c r="C168" i="6"/>
  <c r="E168" i="6"/>
  <c r="C167" i="6"/>
  <c r="E167" i="6"/>
  <c r="C166" i="6"/>
  <c r="E166" i="6"/>
  <c r="C165" i="6"/>
  <c r="E165" i="6"/>
  <c r="C164" i="6"/>
  <c r="E164" i="6"/>
  <c r="C163" i="6"/>
  <c r="E163" i="6"/>
  <c r="C162" i="6"/>
  <c r="E162" i="6"/>
  <c r="C161" i="6"/>
  <c r="E161" i="6"/>
  <c r="C160" i="6"/>
  <c r="E160" i="6"/>
  <c r="C159" i="6"/>
  <c r="E159" i="6"/>
  <c r="C158" i="6"/>
  <c r="E158" i="6"/>
  <c r="C157" i="6"/>
  <c r="E157" i="6"/>
  <c r="C156" i="6"/>
  <c r="E156" i="6"/>
  <c r="C155" i="6"/>
  <c r="E155" i="6"/>
  <c r="C154" i="6"/>
  <c r="E154" i="6"/>
  <c r="C153" i="6"/>
  <c r="E153" i="6"/>
  <c r="C152" i="6"/>
  <c r="E152" i="6"/>
  <c r="C151" i="6"/>
  <c r="E151" i="6"/>
  <c r="C150" i="6"/>
  <c r="E150" i="6"/>
  <c r="C149" i="6"/>
  <c r="E149" i="6"/>
  <c r="C148" i="6"/>
  <c r="E148" i="6"/>
  <c r="C147" i="6"/>
  <c r="E147" i="6"/>
  <c r="C146" i="6"/>
  <c r="E146" i="6"/>
  <c r="C145" i="6"/>
  <c r="E145" i="6"/>
  <c r="C144" i="6"/>
  <c r="E144" i="6"/>
  <c r="C143" i="6"/>
  <c r="E143" i="6"/>
  <c r="C142" i="6"/>
  <c r="E142" i="6"/>
  <c r="C141" i="6"/>
  <c r="E141" i="6"/>
  <c r="C140" i="6"/>
  <c r="E140" i="6"/>
  <c r="C139" i="6"/>
  <c r="E139" i="6"/>
  <c r="C138" i="6"/>
  <c r="E138" i="6"/>
  <c r="C137" i="6"/>
  <c r="E137" i="6"/>
  <c r="C136" i="6"/>
  <c r="E136" i="6"/>
  <c r="C135" i="6"/>
  <c r="E135" i="6"/>
  <c r="C134" i="6"/>
  <c r="E134" i="6"/>
  <c r="C133" i="6"/>
  <c r="E133" i="6"/>
  <c r="C132" i="6"/>
  <c r="E132" i="6"/>
  <c r="C131" i="6"/>
  <c r="E131" i="6"/>
  <c r="C130" i="6"/>
  <c r="E130" i="6"/>
  <c r="C129" i="6"/>
  <c r="E129" i="6"/>
  <c r="C128" i="6"/>
  <c r="E128" i="6"/>
  <c r="C127" i="6"/>
  <c r="E127" i="6"/>
  <c r="C126" i="6"/>
  <c r="E126" i="6"/>
  <c r="C125" i="6"/>
  <c r="E125" i="6"/>
  <c r="C124" i="6"/>
  <c r="E124" i="6"/>
  <c r="C123" i="6"/>
  <c r="E123" i="6"/>
  <c r="C122" i="6"/>
  <c r="E122" i="6"/>
  <c r="C121" i="6"/>
  <c r="E121" i="6"/>
  <c r="C120" i="6"/>
  <c r="E120" i="6"/>
  <c r="C119" i="6"/>
  <c r="E119" i="6"/>
  <c r="C118" i="6"/>
  <c r="E118" i="6"/>
  <c r="C117" i="6"/>
  <c r="E117" i="6"/>
  <c r="C116" i="6"/>
  <c r="E116" i="6"/>
  <c r="C115" i="6"/>
  <c r="E115" i="6"/>
  <c r="C114" i="6"/>
  <c r="E114" i="6"/>
  <c r="C113" i="6"/>
  <c r="E113" i="6"/>
  <c r="C112" i="6"/>
  <c r="E112" i="6"/>
  <c r="C111" i="6"/>
  <c r="E111" i="6"/>
  <c r="C110" i="6"/>
  <c r="E110" i="6"/>
  <c r="C109" i="6"/>
  <c r="E109" i="6"/>
  <c r="C108" i="6"/>
  <c r="E108" i="6"/>
  <c r="C107" i="6"/>
  <c r="E107" i="6"/>
  <c r="C106" i="6"/>
  <c r="E106" i="6"/>
  <c r="C105" i="6"/>
  <c r="E105" i="6"/>
  <c r="C104" i="6"/>
  <c r="E104" i="6"/>
  <c r="C103" i="6"/>
  <c r="E103" i="6"/>
  <c r="C102" i="6"/>
  <c r="E102" i="6"/>
  <c r="C101" i="6"/>
  <c r="E101" i="6"/>
  <c r="C100" i="6"/>
  <c r="E100" i="6"/>
  <c r="C99" i="6"/>
  <c r="E99" i="6"/>
  <c r="C98" i="6"/>
  <c r="E98" i="6"/>
  <c r="C97" i="6"/>
  <c r="E97" i="6"/>
  <c r="C96" i="6"/>
  <c r="E96" i="6"/>
  <c r="C95" i="6"/>
  <c r="E95" i="6"/>
  <c r="C94" i="6"/>
  <c r="E94" i="6"/>
  <c r="C93" i="6"/>
  <c r="E93" i="6"/>
  <c r="C92" i="6"/>
  <c r="E92" i="6"/>
  <c r="C91" i="6"/>
  <c r="E91" i="6"/>
  <c r="C90" i="6"/>
  <c r="E90" i="6"/>
  <c r="C89" i="6"/>
  <c r="E89" i="6"/>
  <c r="C88" i="6"/>
  <c r="E88" i="6"/>
  <c r="C87" i="6"/>
  <c r="E87" i="6"/>
  <c r="C86" i="6"/>
  <c r="E86" i="6"/>
  <c r="C85" i="6"/>
  <c r="E85" i="6"/>
  <c r="C84" i="6"/>
  <c r="E84" i="6"/>
  <c r="C83" i="6"/>
  <c r="E83" i="6"/>
  <c r="C82" i="6"/>
  <c r="E82" i="6"/>
  <c r="C81" i="6"/>
  <c r="E81" i="6"/>
  <c r="C80" i="6"/>
  <c r="E80" i="6"/>
  <c r="C79" i="6"/>
  <c r="E79" i="6"/>
  <c r="C78" i="6"/>
  <c r="E78" i="6"/>
  <c r="C77" i="6"/>
  <c r="E77" i="6"/>
  <c r="C76" i="6"/>
  <c r="E76" i="6"/>
  <c r="C75" i="6"/>
  <c r="E75" i="6"/>
  <c r="C74" i="6"/>
  <c r="E74" i="6"/>
  <c r="C73" i="6"/>
  <c r="E73" i="6"/>
  <c r="C72" i="6"/>
  <c r="E72" i="6"/>
  <c r="C71" i="6"/>
  <c r="E71" i="6"/>
  <c r="C70" i="6"/>
  <c r="E70" i="6"/>
  <c r="C69" i="6"/>
  <c r="E69" i="6"/>
  <c r="C68" i="6"/>
  <c r="E68" i="6"/>
  <c r="C67" i="6"/>
  <c r="E67" i="6"/>
  <c r="C66" i="6"/>
  <c r="E66" i="6"/>
  <c r="C65" i="6"/>
  <c r="E65" i="6"/>
  <c r="C64" i="6"/>
  <c r="E64" i="6"/>
  <c r="C63" i="6"/>
  <c r="E63" i="6"/>
  <c r="C62" i="6"/>
  <c r="E62" i="6"/>
  <c r="C61" i="6"/>
  <c r="E61" i="6"/>
  <c r="C60" i="6"/>
  <c r="E60" i="6"/>
  <c r="C59" i="6"/>
  <c r="E59" i="6"/>
  <c r="C58" i="6"/>
  <c r="E58" i="6"/>
  <c r="C57" i="6"/>
  <c r="E57" i="6"/>
  <c r="C56" i="6"/>
  <c r="E56" i="6"/>
  <c r="C55" i="6"/>
  <c r="E55" i="6"/>
  <c r="C54" i="6"/>
  <c r="E54" i="6"/>
  <c r="C53" i="6"/>
  <c r="E53" i="6"/>
  <c r="C52" i="6"/>
  <c r="E52" i="6"/>
  <c r="C51" i="6"/>
  <c r="E51" i="6"/>
  <c r="C50" i="6"/>
  <c r="E50" i="6"/>
  <c r="C49" i="6"/>
  <c r="E49" i="6"/>
  <c r="C48" i="6"/>
  <c r="E48" i="6"/>
  <c r="C47" i="6"/>
  <c r="E47" i="6"/>
  <c r="C46" i="6"/>
  <c r="E46" i="6"/>
  <c r="C45" i="6"/>
  <c r="E45" i="6"/>
  <c r="C44" i="6"/>
  <c r="E44" i="6"/>
  <c r="C43" i="6"/>
  <c r="E43" i="6"/>
  <c r="C42" i="6"/>
  <c r="E42" i="6"/>
  <c r="C41" i="6"/>
  <c r="E41" i="6"/>
  <c r="C40" i="6"/>
  <c r="E40" i="6"/>
  <c r="C39" i="6"/>
  <c r="E39" i="6"/>
  <c r="C38" i="6"/>
  <c r="E38" i="6"/>
  <c r="C37" i="6"/>
  <c r="E37" i="6"/>
  <c r="C36" i="6"/>
  <c r="E36" i="6"/>
  <c r="C35" i="6"/>
  <c r="E35" i="6"/>
  <c r="C34" i="6"/>
  <c r="E34" i="6"/>
  <c r="C33" i="6"/>
  <c r="E33" i="6"/>
  <c r="C32" i="6"/>
  <c r="E32" i="6"/>
  <c r="C31" i="6"/>
  <c r="E31" i="6"/>
  <c r="C30" i="6"/>
  <c r="E30" i="6"/>
  <c r="C29" i="6"/>
  <c r="E29" i="6"/>
  <c r="C28" i="6"/>
  <c r="E28" i="6"/>
  <c r="C27" i="6"/>
  <c r="E27" i="6"/>
  <c r="C26" i="6"/>
  <c r="E26" i="6"/>
  <c r="C25" i="6"/>
  <c r="E25" i="6"/>
  <c r="C24" i="6"/>
  <c r="E24" i="6"/>
  <c r="C23" i="6"/>
  <c r="E23" i="6"/>
  <c r="C22" i="6"/>
  <c r="E22" i="6"/>
  <c r="C21" i="6"/>
  <c r="E21" i="6"/>
  <c r="C20" i="6"/>
  <c r="E20" i="6"/>
  <c r="C19" i="6"/>
  <c r="E19" i="6"/>
  <c r="C18" i="6"/>
  <c r="E18" i="6"/>
  <c r="C17" i="6"/>
  <c r="E17" i="6"/>
  <c r="C16" i="6"/>
  <c r="E16" i="6"/>
  <c r="C15" i="6"/>
  <c r="E15" i="6"/>
  <c r="C14" i="6"/>
  <c r="E14" i="6"/>
  <c r="C13" i="6"/>
  <c r="E13" i="6"/>
  <c r="C12" i="6"/>
  <c r="E12" i="6"/>
  <c r="C11" i="6"/>
  <c r="E11" i="6"/>
  <c r="C10" i="6"/>
  <c r="E10" i="6"/>
  <c r="C9" i="6"/>
  <c r="E9" i="6"/>
  <c r="C8" i="6"/>
  <c r="E8" i="6"/>
  <c r="C7" i="6"/>
  <c r="E7" i="6"/>
  <c r="C6" i="6"/>
  <c r="E6" i="6"/>
  <c r="C5" i="6"/>
  <c r="E5" i="6"/>
  <c r="C4" i="6"/>
  <c r="E4" i="6"/>
  <c r="C3" i="6"/>
  <c r="E3" i="6"/>
  <c r="C2" i="6"/>
  <c r="E2" i="6"/>
  <c r="D3" i="6"/>
</calcChain>
</file>

<file path=xl/sharedStrings.xml><?xml version="1.0" encoding="utf-8"?>
<sst xmlns="http://schemas.openxmlformats.org/spreadsheetml/2006/main" count="40805" uniqueCount="1897">
  <si>
    <t>Capability</t>
  </si>
  <si>
    <t>Allow</t>
  </si>
  <si>
    <t>Add a new admin bookmarks block to My home</t>
  </si>
  <si>
    <t>block/admin_bookmarks:myaddinstance</t>
  </si>
  <si>
    <t>[[aspirelists:myaddinstance]]</t>
  </si>
  <si>
    <t>block/aspirelists:myaddinstance</t>
  </si>
  <si>
    <t>Add a new Attendance and Punctuality Block to My Home</t>
  </si>
  <si>
    <t>block/attendance_punctuality:myaddinstance</t>
  </si>
  <si>
    <t>Add a new My latest badges block to My home</t>
  </si>
  <si>
    <t>block/badges:myaddinstance</t>
  </si>
  <si>
    <t>Prohibit</t>
  </si>
  <si>
    <t>Add a new calendar block to My home</t>
  </si>
  <si>
    <t>block/calendar_month:myaddinstance</t>
  </si>
  <si>
    <t>Add a new upcoming events block to My home</t>
  </si>
  <si>
    <t>block/calendar_upcoming:myaddinstance</t>
  </si>
  <si>
    <t>Add a new comments block to My home</t>
  </si>
  <si>
    <t>block/comments:myaddinstance</t>
  </si>
  <si>
    <t>Add a new community finder block to My home</t>
  </si>
  <si>
    <t>block/community:myaddinstance</t>
  </si>
  <si>
    <t>Add a new Contact Lesoco block to the My Moodle page</t>
  </si>
  <si>
    <t>block/contact_lesoco:myaddinstance</t>
  </si>
  <si>
    <t>Add a new courses block to My home</t>
  </si>
  <si>
    <t>block/course_list:myaddinstance</t>
  </si>
  <si>
    <t>Add a new course overview block to My home</t>
  </si>
  <si>
    <t>block/course_overview:myaddinstance</t>
  </si>
  <si>
    <t>Add a new course overview campus block to the My Moodle page</t>
  </si>
  <si>
    <t>block/course_overview_campus:myaddinstance</t>
  </si>
  <si>
    <t>Add a new new Course Reports block to the My Moodle page</t>
  </si>
  <si>
    <t>block/course_reports:myaddinstance</t>
  </si>
  <si>
    <t>Add a new course tree block to the My Moodle page</t>
  </si>
  <si>
    <t>block/course_tree_list:myaddinstance</t>
  </si>
  <si>
    <t>[[cpfusion:myaddinstance]]</t>
  </si>
  <si>
    <t>block/cpfusion:myaddinstance</t>
  </si>
  <si>
    <t>Add a new Blackboard Collaborate block to the My Moodle page</t>
  </si>
  <si>
    <t>block/elluminate:myaddinstance</t>
  </si>
  <si>
    <t>Add a new random glossary entry block to My home</t>
  </si>
  <si>
    <t>block/glossary_random:myaddinstance</t>
  </si>
  <si>
    <t>Add a new HTML block to My home</t>
  </si>
  <si>
    <t>block/html:myaddinstance</t>
  </si>
  <si>
    <t>View everything</t>
  </si>
  <si>
    <t>block/ilp:ilpviewall</t>
  </si>
  <si>
    <t>Prevent</t>
  </si>
  <si>
    <t>Add a new ILP block to My Home</t>
  </si>
  <si>
    <t>block/ilp:myaddinstance</t>
  </si>
  <si>
    <t>Add a new mentees block to My home</t>
  </si>
  <si>
    <t>block/mentees:myaddinstance</t>
  </si>
  <si>
    <t>Add a new messages block to My home</t>
  </si>
  <si>
    <t>block/messages:myaddinstance</t>
  </si>
  <si>
    <t>Add a new network servers block to My home</t>
  </si>
  <si>
    <t>block/mnet_hosts:myaddinstance</t>
  </si>
  <si>
    <t>Add a new logged in user block to My home</t>
  </si>
  <si>
    <t>block/myprofile:myaddinstance</t>
  </si>
  <si>
    <t>Add a new navigation block to My home</t>
  </si>
  <si>
    <t>block/navigation:myaddinstance</t>
  </si>
  <si>
    <t>Add a new latest news block to My home</t>
  </si>
  <si>
    <t>block/news_items:myaddinstance</t>
  </si>
  <si>
    <t>Add a new online users block to My home</t>
  </si>
  <si>
    <t>block/online_users:myaddinstance</t>
  </si>
  <si>
    <t>Add a new my private files block to My home</t>
  </si>
  <si>
    <t>block/private_files:myaddinstance</t>
  </si>
  <si>
    <t>[[quickmail:myaddinstance]]</t>
  </si>
  <si>
    <t>block/quickmail:myaddinstance</t>
  </si>
  <si>
    <t>Add a new QuickScan instance to My home</t>
  </si>
  <si>
    <t>block/quickscan:myaddinstance</t>
  </si>
  <si>
    <t>Add a new RSS feeds block to My home</t>
  </si>
  <si>
    <t>block/rss_client:myaddinstance</t>
  </si>
  <si>
    <t>Add a new administration block to My home</t>
  </si>
  <si>
    <t>block/settings:myaddinstance</t>
  </si>
  <si>
    <t>[[sgul_navigation:myaddinstance]]</t>
  </si>
  <si>
    <t>block/sgul_navigation:myaddinstance</t>
  </si>
  <si>
    <t>Add a new slideshow HTML block to the My Moodle page</t>
  </si>
  <si>
    <t>block/slideshow:myaddinstance</t>
  </si>
  <si>
    <t>Add a new tags block to My home</t>
  </si>
  <si>
    <t>block/tags:myaddinstance</t>
  </si>
  <si>
    <t>[[ulcc_diagnostics:addinstance]]</t>
  </si>
  <si>
    <t>block/ulcc_diagnostics:addinstance</t>
  </si>
  <si>
    <t>[[ulcc_diagnostics:myaddinstance]]</t>
  </si>
  <si>
    <t>block/ulcc_diagnostics:myaddinstance</t>
  </si>
  <si>
    <t>Allow to log in to the website using a token</t>
  </si>
  <si>
    <t>local/ombiel_webservices:allowtokenlogin</t>
  </si>
  <si>
    <t>Create time limited token</t>
  </si>
  <si>
    <t>local/ombiel_webservices:createtimelimitedtoken</t>
  </si>
  <si>
    <t>Post and comment in personal blogs</t>
  </si>
  <si>
    <t>mod/oublog:contributepersonal</t>
  </si>
  <si>
    <t>View posts in personal blogs</t>
  </si>
  <si>
    <t>mod/oublog:viewpersonal</t>
  </si>
  <si>
    <t>Manage badges global settings</t>
  </si>
  <si>
    <t>moodle/badges:manageglobalsettings</t>
  </si>
  <si>
    <t>Create new blog entries</t>
  </si>
  <si>
    <t>moodle/blog:create</t>
  </si>
  <si>
    <t>Edit and manage external blogs</t>
  </si>
  <si>
    <t>moodle/blog:manageexternal</t>
  </si>
  <si>
    <t>Search blog entries</t>
  </si>
  <si>
    <t>moodle/blog:search</t>
  </si>
  <si>
    <t>View blog entries</t>
  </si>
  <si>
    <t>moodle/blog:view</t>
  </si>
  <si>
    <t>Request new courses</t>
  </si>
  <si>
    <t>moodle/course:request</t>
  </si>
  <si>
    <t>Manage My home page blocks</t>
  </si>
  <si>
    <t>moodle/my:manageblocks</t>
  </si>
  <si>
    <t>Export to portfolios</t>
  </si>
  <si>
    <t>moodle/portfolio:export</t>
  </si>
  <si>
    <t>Roam to a remote application via MNet</t>
  </si>
  <si>
    <t>moodle/site:mnetlogintoremote</t>
  </si>
  <si>
    <t>Send messages to any user</t>
  </si>
  <si>
    <t>moodle/site:sendmessage</t>
  </si>
  <si>
    <t>Create new tags</t>
  </si>
  <si>
    <t>moodle/tag:create</t>
  </si>
  <si>
    <t>Edit existing tags</t>
  </si>
  <si>
    <t>moodle/tag:edit</t>
  </si>
  <si>
    <t>Flag tags as inappropriate</t>
  </si>
  <si>
    <t>moodle/tag:flag</t>
  </si>
  <si>
    <t>Change own password</t>
  </si>
  <si>
    <t>moodle/user:changeownpassword</t>
  </si>
  <si>
    <t>Edit own user messaging profile</t>
  </si>
  <si>
    <t>moodle/user:editownmessageprofile</t>
  </si>
  <si>
    <t>Edit own user profile</t>
  </si>
  <si>
    <t>moodle/user:editownprofile</t>
  </si>
  <si>
    <t>Manage blocks on own public user profile</t>
  </si>
  <si>
    <t>moodle/user:manageownblocks</t>
  </si>
  <si>
    <t>Manage files on own private file areas</t>
  </si>
  <si>
    <t>moodle/user:manageownfiles</t>
  </si>
  <si>
    <t>Create a web service token for mobile access</t>
  </si>
  <si>
    <t>moodle/webservice:createmobiletoken</t>
  </si>
  <si>
    <t>View and manage own earned badges</t>
  </si>
  <si>
    <t>moodle/badges:manageownbadges</t>
  </si>
  <si>
    <t>[[mnet_enrol:allowenrol]]</t>
  </si>
  <si>
    <t>block/mnet_enrol:allowenrol</t>
  </si>
  <si>
    <t>Earn badge</t>
  </si>
  <si>
    <t>moodle/badges:earnbadge</t>
  </si>
  <si>
    <t>View available badges without earning them</t>
  </si>
  <si>
    <t>moodle/badges:viewbadges</t>
  </si>
  <si>
    <t>This capability is deprecated and does nothing.</t>
  </si>
  <si>
    <t>moodle/blog:associatecourse</t>
  </si>
  <si>
    <t>Manage own calendar entries</t>
  </si>
  <si>
    <t>moodle/calendar:manageownentries</t>
  </si>
  <si>
    <t>Post comments</t>
  </si>
  <si>
    <t>moodle/comment:post</t>
  </si>
  <si>
    <t>Read comments</t>
  </si>
  <si>
    <t>moodle/comment:view</t>
  </si>
  <si>
    <t>Add ratings to items</t>
  </si>
  <si>
    <t>moodle/rating:rate</t>
  </si>
  <si>
    <t>View the total rating you received</t>
  </si>
  <si>
    <t>moodle/rating:view</t>
  </si>
  <si>
    <t>View all raw ratings given by individuals</t>
  </si>
  <si>
    <t>moodle/rating:viewall</t>
  </si>
  <si>
    <t>View total ratings that anyone received</t>
  </si>
  <si>
    <t>moodle/rating:viewany</t>
  </si>
  <si>
    <t>Use XML-RPC protocol</t>
  </si>
  <si>
    <t>webservice/xmlrpc:use</t>
  </si>
  <si>
    <t>Ability to participate in a session.</t>
  </si>
  <si>
    <t>mod/elluminate:joinmeeting</t>
  </si>
  <si>
    <t>Ability to access the session.</t>
  </si>
  <si>
    <t>mod/elluminate:view</t>
  </si>
  <si>
    <t>Ability to view recordings.</t>
  </si>
  <si>
    <t>mod/elluminate:viewrecordings</t>
  </si>
  <si>
    <t>View EQUELLA resource</t>
  </si>
  <si>
    <t>mod/equella:view</t>
  </si>
  <si>
    <t>View folder content</t>
  </si>
  <si>
    <t>mod/folder:view</t>
  </si>
  <si>
    <t>View IMS content</t>
  </si>
  <si>
    <t>mod/imscp:view</t>
  </si>
  <si>
    <t>View NLN learning object</t>
  </si>
  <si>
    <t>mod/nln:view</t>
  </si>
  <si>
    <t>View page content</t>
  </si>
  <si>
    <t>mod/page:view</t>
  </si>
  <si>
    <t>View resource</t>
  </si>
  <si>
    <t>mod/resource:view</t>
  </si>
  <si>
    <t>View subpages</t>
  </si>
  <si>
    <t>mod/subpage:view</t>
  </si>
  <si>
    <t>View Tabs</t>
  </si>
  <si>
    <t>mod/tab:view</t>
  </si>
  <si>
    <t>View URL</t>
  </si>
  <si>
    <t>mod/url:view</t>
  </si>
  <si>
    <t>moodle/blog:associatemodule</t>
  </si>
  <si>
    <t>View alfresco repository</t>
  </si>
  <si>
    <t>repository/alfresco:view</t>
  </si>
  <si>
    <t>View repository Embedded files</t>
  </si>
  <si>
    <t>repository/areafiles:view</t>
  </si>
  <si>
    <t>View Box repository</t>
  </si>
  <si>
    <t>repository/boxnet:view</t>
  </si>
  <si>
    <t>View CLA Data Collection Repository</t>
  </si>
  <si>
    <t>repository/cla_survey:view</t>
  </si>
  <si>
    <t>Use course files repository plugin</t>
  </si>
  <si>
    <t>repository/coursefiles:view</t>
  </si>
  <si>
    <t>View a Dropbox folder</t>
  </si>
  <si>
    <t>repository/dropbox:view</t>
  </si>
  <si>
    <t>View EQUELLA repository</t>
  </si>
  <si>
    <t>repository/equella:view</t>
  </si>
  <si>
    <t>View Evernote repository</t>
  </si>
  <si>
    <t>repository/evernote:view</t>
  </si>
  <si>
    <t>View file system repository</t>
  </si>
  <si>
    <t>repository/filesystem:view</t>
  </si>
  <si>
    <t>View Flickr repository</t>
  </si>
  <si>
    <t>repository/flickr:view</t>
  </si>
  <si>
    <t>Use Flickr public repository in file picker</t>
  </si>
  <si>
    <t>repository/flickr_public:view</t>
  </si>
  <si>
    <t>View Google Drive repository</t>
  </si>
  <si>
    <t>repository/googledocs:view</t>
  </si>
  <si>
    <t>View server repository</t>
  </si>
  <si>
    <t>repository/local:view</t>
  </si>
  <si>
    <t>View mediacore repository</t>
  </si>
  <si>
    <t>repository/mediacore:view</t>
  </si>
  <si>
    <t>View the Merlot repository</t>
  </si>
  <si>
    <t>repository/merlot:view</t>
  </si>
  <si>
    <t>View picasa repository</t>
  </si>
  <si>
    <t>repository/picasa:view</t>
  </si>
  <si>
    <t>Use planetestream in file picker</t>
  </si>
  <si>
    <t>repository/planetestream:view</t>
  </si>
  <si>
    <t>View recent files repository plugin</t>
  </si>
  <si>
    <t>repository/recent:view</t>
  </si>
  <si>
    <t>View amazon s3 repository</t>
  </si>
  <si>
    <t>repository/s3:view</t>
  </si>
  <si>
    <t>View OneDrive</t>
  </si>
  <si>
    <t>repository/skydrive:view</t>
  </si>
  <si>
    <t>Use uploading in file picker</t>
  </si>
  <si>
    <t>repository/upload:view</t>
  </si>
  <si>
    <t>Use URL downloader in file picker</t>
  </si>
  <si>
    <t>repository/url:view</t>
  </si>
  <si>
    <t>View user private files</t>
  </si>
  <si>
    <t>repository/user:view</t>
  </si>
  <si>
    <t>View WebDav repository</t>
  </si>
  <si>
    <t>repository/webdav:view</t>
  </si>
  <si>
    <t>View wikimedia repository</t>
  </si>
  <si>
    <t>repository/wikimedia:view</t>
  </si>
  <si>
    <t>Use youtube in file picker</t>
  </si>
  <si>
    <t>repository/youtube:view</t>
  </si>
  <si>
    <t>Add a entry comment</t>
  </si>
  <si>
    <t>block/ilp:addcomment</t>
  </si>
  <si>
    <t>Add a report entry</t>
  </si>
  <si>
    <t>block/ilp:addreport</t>
  </si>
  <si>
    <t>Add/View extension</t>
  </si>
  <si>
    <t>block/ilp:addviewextension</t>
  </si>
  <si>
    <t>Delete entry comment</t>
  </si>
  <si>
    <t>block/ilp:deletecomment</t>
  </si>
  <si>
    <t>Edit entry comment</t>
  </si>
  <si>
    <t>block/ilp:editcomment</t>
  </si>
  <si>
    <t>View entry comments</t>
  </si>
  <si>
    <t>block/ilp:viewcomment</t>
  </si>
  <si>
    <t>View my own ilp</t>
  </si>
  <si>
    <t>block/ilp:viewilp</t>
  </si>
  <si>
    <t>View a report</t>
  </si>
  <si>
    <t>block/ilp:viewreport</t>
  </si>
  <si>
    <t>View list of online users</t>
  </si>
  <si>
    <t>block/online_users:viewlist</t>
  </si>
  <si>
    <t>Add a Progress Bar block to My home page</t>
  </si>
  <si>
    <t>block/progress:myaddinstance</t>
  </si>
  <si>
    <t>View block</t>
  </si>
  <si>
    <t>moodle/block:view</t>
  </si>
  <si>
    <t>Administrator</t>
  </si>
  <si>
    <t>Moodle Administrator</t>
  </si>
  <si>
    <t>Course Creator</t>
  </si>
  <si>
    <t>Enrol Students</t>
  </si>
  <si>
    <t>IT Helpdesk</t>
  </si>
  <si>
    <t>Media Services</t>
  </si>
  <si>
    <t>Library Digitisation</t>
  </si>
  <si>
    <t>Course Viewer</t>
  </si>
  <si>
    <t>Leader</t>
  </si>
  <si>
    <t>Programme Administrator</t>
  </si>
  <si>
    <t>Tutor</t>
  </si>
  <si>
    <t>Report Dashboard Viewer</t>
  </si>
  <si>
    <t>Non-editing Tutor</t>
  </si>
  <si>
    <t>Student</t>
  </si>
  <si>
    <t>Guest</t>
  </si>
  <si>
    <t>Authenticated user</t>
  </si>
  <si>
    <t>Authenticated user on frontpage</t>
  </si>
  <si>
    <t>Forum Moderator</t>
  </si>
  <si>
    <t>Read Only Role</t>
  </si>
  <si>
    <t>Adobe Connect Presenter</t>
  </si>
  <si>
    <t>Adobe Connect Participant</t>
  </si>
  <si>
    <t>Adobe Connect Host</t>
  </si>
  <si>
    <t>MRBS viewer</t>
  </si>
  <si>
    <t>MRBS editor</t>
  </si>
  <si>
    <t>MRBS administrator</t>
  </si>
  <si>
    <t>guest unable to change password</t>
  </si>
  <si>
    <t>Not set</t>
  </si>
  <si>
    <t>Add new Checklist block</t>
  </si>
  <si>
    <t>block/checklist:myaddinstance</t>
  </si>
  <si>
    <t>Create, edit &amp; delete reports</t>
  </si>
  <si>
    <t>block/ilp:creeddelreport</t>
  </si>
  <si>
    <t>Administer System Settings</t>
  </si>
  <si>
    <t>block/moodletxt:adminsettings</t>
  </si>
  <si>
    <t>View/Change User Settings</t>
  </si>
  <si>
    <t>block/moodletxt:adminusers</t>
  </si>
  <si>
    <t>Receive Unfiltered Messages</t>
  </si>
  <si>
    <t>block/moodletxt:defaultinbox</t>
  </si>
  <si>
    <t>Can create templates/change own settings</t>
  </si>
  <si>
    <t>block/moodletxt:personalsettings</t>
  </si>
  <si>
    <t>Receive Inbound Messages</t>
  </si>
  <si>
    <t>block/moodletxt:receivemessages</t>
  </si>
  <si>
    <t>Modify MRBS rooms + settings</t>
  </si>
  <si>
    <t>block/mrbs:administermrbs</t>
  </si>
  <si>
    <t>Double Book Rooms</t>
  </si>
  <si>
    <t>block/mrbs:doublebook</t>
  </si>
  <si>
    <t>Edit MRBS bookings</t>
  </si>
  <si>
    <t>block/mrbs:editmrbs</t>
  </si>
  <si>
    <t>Only create 'unconfirmed' bookings (overriden by 'editmrbs')</t>
  </si>
  <si>
    <t>block/mrbs:editmrbsunconfirmed</t>
  </si>
  <si>
    <t>Force Book Rooms (auto move existing bookings)</t>
  </si>
  <si>
    <t>block/mrbs:forcebook</t>
  </si>
  <si>
    <t>Ignore the 'max_advance_days' setting</t>
  </si>
  <si>
    <t>block/mrbs:ignoremaxadvancedays</t>
  </si>
  <si>
    <t>Add new MRBS block</t>
  </si>
  <si>
    <t>block/mrbs:myaddinstance</t>
  </si>
  <si>
    <t>View All Users' Timetables</t>
  </si>
  <si>
    <t>block/mrbs:viewalltt</t>
  </si>
  <si>
    <t>View MRBS bookings</t>
  </si>
  <si>
    <t>block/mrbs:viewmrbs</t>
  </si>
  <si>
    <t>[[reportsdash:addinstance]]</t>
  </si>
  <si>
    <t>block/reportsdash:addinstance</t>
  </si>
  <si>
    <t>Manage 'Reports Dashboard' settings</t>
  </si>
  <si>
    <t>block/reportsdash:configure_reportsdash</t>
  </si>
  <si>
    <t>Role assignments synchronised to course enrolment</t>
  </si>
  <si>
    <t>enrol/category:synchronised</t>
  </si>
  <si>
    <t>Can manage relations</t>
  </si>
  <si>
    <t>enrol/databaseextended:managerelations</t>
  </si>
  <si>
    <t>[[bulk_mnet_enrol:enrolusers]]</t>
  </si>
  <si>
    <t>local/bulk_mnet_enrol:enrolusers</t>
  </si>
  <si>
    <t>View private posts in personal blogs</t>
  </si>
  <si>
    <t>mod/oublog:viewprivate</t>
  </si>
  <si>
    <t>Edit and manage entries</t>
  </si>
  <si>
    <t>moodle/blog:manageentries</t>
  </si>
  <si>
    <t>View draft blog entries</t>
  </si>
  <si>
    <t>moodle/blog:viewdrafts</t>
  </si>
  <si>
    <t>Use the community block to search hubs and find courses</t>
  </si>
  <si>
    <t>moodle/community:add</t>
  </si>
  <si>
    <t>Download a course from the community block</t>
  </si>
  <si>
    <t>moodle/community:download</t>
  </si>
  <si>
    <t>Publish a course into hub</t>
  </si>
  <si>
    <t>moodle/course:publish</t>
  </si>
  <si>
    <t>View suspended users</t>
  </si>
  <si>
    <t>moodle/course:viewsuspendedusers</t>
  </si>
  <si>
    <t>Manage advanced grading form templates</t>
  </si>
  <si>
    <t>moodle/grade:managesharedforms</t>
  </si>
  <si>
    <t>Share advanced grading form as a template</t>
  </si>
  <si>
    <t>moodle/grade:sharegradingforms</t>
  </si>
  <si>
    <t>Configure system templates for My home pages</t>
  </si>
  <si>
    <t>moodle/my:configsyspages</t>
  </si>
  <si>
    <t>Configure question types</t>
  </si>
  <si>
    <t>moodle/question:config</t>
  </si>
  <si>
    <t>Create users on restore</t>
  </si>
  <si>
    <t>moodle/restore:createuser</t>
  </si>
  <si>
    <t>Create and manage roles</t>
  </si>
  <si>
    <t>moodle/role:manage</t>
  </si>
  <si>
    <t>Approve course creation</t>
  </si>
  <si>
    <t>moodle/site:approvecourse</t>
  </si>
  <si>
    <t>Change site configuration</t>
  </si>
  <si>
    <t>moodle/site:config</t>
  </si>
  <si>
    <t>Show links to offsite docs</t>
  </si>
  <si>
    <t>moodle/site:doclinks</t>
  </si>
  <si>
    <t>Read all messages on site</t>
  </si>
  <si>
    <t>moodle/site:readallmessages</t>
  </si>
  <si>
    <t>Upload new users from file</t>
  </si>
  <si>
    <t>moodle/site:uploadusers</t>
  </si>
  <si>
    <t>View participants</t>
  </si>
  <si>
    <t>moodle/site:viewparticipants</t>
  </si>
  <si>
    <t>Edit blocks in tags pages</t>
  </si>
  <si>
    <t>moodle/tag:editblocks</t>
  </si>
  <si>
    <t>Manage all tags</t>
  </si>
  <si>
    <t>moodle/tag:manage</t>
  </si>
  <si>
    <t>Create users</t>
  </si>
  <si>
    <t>moodle/user:create</t>
  </si>
  <si>
    <t>Delete users</t>
  </si>
  <si>
    <t>moodle/user:delete</t>
  </si>
  <si>
    <t>Ignore user quota limit</t>
  </si>
  <si>
    <t>moodle/user:ignoreuserquota</t>
  </si>
  <si>
    <t>Configure default page layout for public user profiles</t>
  </si>
  <si>
    <t>moodle/user:managesyspages</t>
  </si>
  <si>
    <t>Update user profiles</t>
  </si>
  <si>
    <t>moodle/user:update</t>
  </si>
  <si>
    <t>Create a web service token</t>
  </si>
  <si>
    <t>moodle/webservice:createtoken</t>
  </si>
  <si>
    <t>View course overview report</t>
  </si>
  <si>
    <t>report/courseoverview:view</t>
  </si>
  <si>
    <t>View the Gold, Silver, Bronze Course Medal</t>
  </si>
  <si>
    <t>report/gsb:viewmygsbreport</t>
  </si>
  <si>
    <t>View performance report</t>
  </si>
  <si>
    <t>report/performance:view</t>
  </si>
  <si>
    <t>View question instances report</t>
  </si>
  <si>
    <t>report/questioninstances:view</t>
  </si>
  <si>
    <t>View security report</t>
  </si>
  <si>
    <t>report/security:view</t>
  </si>
  <si>
    <t>Edit local translation</t>
  </si>
  <si>
    <t>tool/customlang:edit</t>
  </si>
  <si>
    <t>View local translation</t>
  </si>
  <si>
    <t>tool/customlang:view</t>
  </si>
  <si>
    <t>Upload user pictures</t>
  </si>
  <si>
    <t>tool/uploaduser:uploaduserpictures</t>
  </si>
  <si>
    <t>View public badges in other users' profiles</t>
  </si>
  <si>
    <t>moodle/badges:viewotherbadges</t>
  </si>
  <si>
    <t>Edit user messaging profile</t>
  </si>
  <si>
    <t>moodle/user:editmessageprofile</t>
  </si>
  <si>
    <t>Edit user profile</t>
  </si>
  <si>
    <t>moodle/user:editprofile</t>
  </si>
  <si>
    <t>Manage blocks on user profile of other users</t>
  </si>
  <si>
    <t>moodle/user:manageblocks</t>
  </si>
  <si>
    <t>View all user blogs</t>
  </si>
  <si>
    <t>moodle/user:readuserblogs</t>
  </si>
  <si>
    <t>View all user forum posts</t>
  </si>
  <si>
    <t>moodle/user:readuserposts</t>
  </si>
  <si>
    <t>View user full information</t>
  </si>
  <si>
    <t>moodle/user:viewalldetails</t>
  </si>
  <si>
    <t>See user activity reports</t>
  </si>
  <si>
    <t>moodle/user:viewuseractivitiesreport</t>
  </si>
  <si>
    <t>Manage categories</t>
  </si>
  <si>
    <t>moodle/category:manage</t>
  </si>
  <si>
    <t>See hidden categories</t>
  </si>
  <si>
    <t>moodle/category:viewhiddencategories</t>
  </si>
  <si>
    <t>Add and remove cohort members</t>
  </si>
  <si>
    <t>moodle/cohort:assign</t>
  </si>
  <si>
    <t>Create, delete and move cohorts</t>
  </si>
  <si>
    <t>moodle/cohort:manage</t>
  </si>
  <si>
    <t>Create courses</t>
  </si>
  <si>
    <t>moodle/course:create</t>
  </si>
  <si>
    <t>Add a new Accessibility block</t>
  </si>
  <si>
    <t>block/accessibility:addinstance</t>
  </si>
  <si>
    <t>[[attendance:addinstance]]</t>
  </si>
  <si>
    <t>block/attendance:addinstance</t>
  </si>
  <si>
    <t>[[courseaward_medal:addinstance]]</t>
  </si>
  <si>
    <t>block/courseaward_medal:addinstance</t>
  </si>
  <si>
    <t>Administrate the Course Awards - Medal block</t>
  </si>
  <si>
    <t>block/courseaward_medal:admin</t>
  </si>
  <si>
    <t>[[courseaward_vote:addinstance]]</t>
  </si>
  <si>
    <t>block/courseaward_vote:addinstance</t>
  </si>
  <si>
    <t>Administrate the Course Awards - Vote block</t>
  </si>
  <si>
    <t>block/courseaward_vote:admin</t>
  </si>
  <si>
    <t>Vote in the Course Awards - Vote block</t>
  </si>
  <si>
    <t>block/courseaward_vote:vote</t>
  </si>
  <si>
    <t>Appear in student list for a course</t>
  </si>
  <si>
    <t>block/ilp:reviewee</t>
  </si>
  <si>
    <t>View course overview of Progress bars for all students</t>
  </si>
  <si>
    <t>block/progress:overview</t>
  </si>
  <si>
    <t>Allows users to add an alternate email for courses.</t>
  </si>
  <si>
    <t>block/quickmail:allowalternate</t>
  </si>
  <si>
    <t>Allows users to configure Quickmail instance.</t>
  </si>
  <si>
    <t>block/quickmail:canconfig</t>
  </si>
  <si>
    <t>Allows users to delete email from history.</t>
  </si>
  <si>
    <t>block/quickmail:candelete</t>
  </si>
  <si>
    <t>Allows users to log in as other users and view history.</t>
  </si>
  <si>
    <t>block/quickmail:canimpersonate</t>
  </si>
  <si>
    <t>Allows users to send email through Quickmail</t>
  </si>
  <si>
    <t>block/quickmail:cansend</t>
  </si>
  <si>
    <t>Configure automatic enrolments</t>
  </si>
  <si>
    <t>enrol/autoenrol:config</t>
  </si>
  <si>
    <t>User can enrol users onto a course at login</t>
  </si>
  <si>
    <t>enrol/autoenrol:method</t>
  </si>
  <si>
    <t>User can unenrol autoenrolled users</t>
  </si>
  <si>
    <t>enrol/autoenrol:unenrol</t>
  </si>
  <si>
    <t>User can unenrol themselves if they are being enrolled on access</t>
  </si>
  <si>
    <t>enrol/autoenrol:unenrolself</t>
  </si>
  <si>
    <t>Configure cohort instances</t>
  </si>
  <si>
    <t>enrol/cohort:config</t>
  </si>
  <si>
    <t>Unenrol suspended users</t>
  </si>
  <si>
    <t>enrol/cohort:unenrol</t>
  </si>
  <si>
    <t>enrol/database:unenrol</t>
  </si>
  <si>
    <t>Manage user enrolments manually</t>
  </si>
  <si>
    <t>enrol/flatfile:manage</t>
  </si>
  <si>
    <t>Unenrol users from the course manually</t>
  </si>
  <si>
    <t>enrol/flatfile:unenrol</t>
  </si>
  <si>
    <t>Configure guest access instances</t>
  </si>
  <si>
    <t>enrol/guest:config</t>
  </si>
  <si>
    <t>Manage LDAP enrol instances</t>
  </si>
  <si>
    <t>enrol/ldap:manage</t>
  </si>
  <si>
    <t>Configure manual enrol instances</t>
  </si>
  <si>
    <t>enrol/manual:config</t>
  </si>
  <si>
    <t>Enrol users</t>
  </si>
  <si>
    <t>enrol/manual:enrol</t>
  </si>
  <si>
    <t>Manage user enrolments</t>
  </si>
  <si>
    <t>enrol/manual:manage</t>
  </si>
  <si>
    <t>Unenrol users from the course</t>
  </si>
  <si>
    <t>enrol/manual:unenrol</t>
  </si>
  <si>
    <t>Unenrol self from the course</t>
  </si>
  <si>
    <t>enrol/manual:unenrolself</t>
  </si>
  <si>
    <t>Configure meta enrol instances</t>
  </si>
  <si>
    <t>enrol/meta:config</t>
  </si>
  <si>
    <t>Select course as meta linked</t>
  </si>
  <si>
    <t>enrol/meta:selectaslinked</t>
  </si>
  <si>
    <t>enrol/meta:unenrol</t>
  </si>
  <si>
    <t>Configure PayPal enrol instances</t>
  </si>
  <si>
    <t>enrol/paypal:config</t>
  </si>
  <si>
    <t>Manage enrolled users</t>
  </si>
  <si>
    <t>enrol/paypal:manage</t>
  </si>
  <si>
    <t>Unenrol users from course</t>
  </si>
  <si>
    <t>enrol/paypal:unenrol</t>
  </si>
  <si>
    <t>enrol/paypal:unenrolself</t>
  </si>
  <si>
    <t>Configure self enrol instances</t>
  </si>
  <si>
    <t>enrol/self:config</t>
  </si>
  <si>
    <t>enrol/self:manage</t>
  </si>
  <si>
    <t>enrol/self:unenrol</t>
  </si>
  <si>
    <t>enrol/self:unenrolself</t>
  </si>
  <si>
    <t>Change or reset the image container size</t>
  </si>
  <si>
    <t>format/grid:changeimagecontainersize</t>
  </si>
  <si>
    <t>Change or reset the image container style</t>
  </si>
  <si>
    <t>format/grid:changeimagecontainerstyle</t>
  </si>
  <si>
    <t>Change or reset the image resize method</t>
  </si>
  <si>
    <t>format/grid:changeimageresizemethod</t>
  </si>
  <si>
    <t>Change or reset the colour</t>
  </si>
  <si>
    <t>format/topcoll:changecolour</t>
  </si>
  <si>
    <t>Change or reset the layout</t>
  </si>
  <si>
    <t>format/topcoll:changelayout</t>
  </si>
  <si>
    <t>Change or reset the toggle alignment</t>
  </si>
  <si>
    <t>format/topcoll:changetogglealignment</t>
  </si>
  <si>
    <t>Change or reset the toggle icon set</t>
  </si>
  <si>
    <t>format/topcoll:changetoggleiconset</t>
  </si>
  <si>
    <t>View Checklist report (Excel)</t>
  </si>
  <si>
    <t>gradeexport/checklist:view</t>
  </si>
  <si>
    <t>View Checklist report for all students on course</t>
  </si>
  <si>
    <t>gradeexport/checklist:viewall</t>
  </si>
  <si>
    <t>View Checklist report for students in same district</t>
  </si>
  <si>
    <t>gradeexport/checklist:viewdistrict</t>
  </si>
  <si>
    <t>Publish ODS grade export</t>
  </si>
  <si>
    <t>gradeexport/ods:publish</t>
  </si>
  <si>
    <t>Use OpenDocument grade export</t>
  </si>
  <si>
    <t>gradeexport/ods:view</t>
  </si>
  <si>
    <t>Publish TXT grade export</t>
  </si>
  <si>
    <t>gradeexport/txt:publish</t>
  </si>
  <si>
    <t>Use text grade export</t>
  </si>
  <si>
    <t>gradeexport/txt:view</t>
  </si>
  <si>
    <t>Publish XLS grade export</t>
  </si>
  <si>
    <t>gradeexport/xls:publish</t>
  </si>
  <si>
    <t>Use Excel grade export</t>
  </si>
  <si>
    <t>gradeexport/xls:view</t>
  </si>
  <si>
    <t>Publish XML grade export</t>
  </si>
  <si>
    <t>gradeexport/xml:publish</t>
  </si>
  <si>
    <t>Use XML grade export</t>
  </si>
  <si>
    <t>gradeexport/xml:view</t>
  </si>
  <si>
    <t>Import grades from CSV</t>
  </si>
  <si>
    <t>gradeimport/csv:view</t>
  </si>
  <si>
    <t>Publish import grades from XML</t>
  </si>
  <si>
    <t>gradeimport/xml:publish</t>
  </si>
  <si>
    <t>Import grades from XML</t>
  </si>
  <si>
    <t>gradeimport/xml:view</t>
  </si>
  <si>
    <t>View the grader report</t>
  </si>
  <si>
    <t>gradereport/grader:view</t>
  </si>
  <si>
    <t>View the outcomes report</t>
  </si>
  <si>
    <t>gradereport/outcomes:view</t>
  </si>
  <si>
    <t>View the overview report</t>
  </si>
  <si>
    <t>gradereport/overview:view</t>
  </si>
  <si>
    <t>View your own grade report</t>
  </si>
  <si>
    <t>gradereport/user:view</t>
  </si>
  <si>
    <t>Add a new adaptive quiz</t>
  </si>
  <si>
    <t>mod/adaptivequiz:addinstance</t>
  </si>
  <si>
    <t>Review adaptive quiz submissions</t>
  </si>
  <si>
    <t>mod/adaptivequiz:reviewattempts</t>
  </si>
  <si>
    <t>View adaptive quiz reports</t>
  </si>
  <si>
    <t>mod/adaptivequiz:viewreport</t>
  </si>
  <si>
    <t>[[adobeconnect:addinstance]]</t>
  </si>
  <si>
    <t>mod/adobeconnect:addinstance</t>
  </si>
  <si>
    <t>Add a new assignment</t>
  </si>
  <si>
    <t>mod/assign:addinstance</t>
  </si>
  <si>
    <t>mod/assignment:addinstance</t>
  </si>
  <si>
    <t>Add a new attendance activity</t>
  </si>
  <si>
    <t>mod/attendance:addinstance</t>
  </si>
  <si>
    <t>Add new attendance register</t>
  </si>
  <si>
    <t>mod/attendanceregister:addinstance</t>
  </si>
  <si>
    <t>Is tracked by Attendance Register</t>
  </si>
  <si>
    <t>mod/attendanceregister:tracked</t>
  </si>
  <si>
    <t>Add a new book</t>
  </si>
  <si>
    <t>mod/book:addinstance</t>
  </si>
  <si>
    <t>Add new booking</t>
  </si>
  <si>
    <t>mod/booking:addinstance</t>
  </si>
  <si>
    <t>Add a certificate instance</t>
  </si>
  <si>
    <t>mod/certificate:addinstance</t>
  </si>
  <si>
    <t>Add a new chat</t>
  </si>
  <si>
    <t>mod/chat:addinstance</t>
  </si>
  <si>
    <t>Add a new checklist</t>
  </si>
  <si>
    <t>mod/checklist:addinstance</t>
  </si>
  <si>
    <t>Add a new choice</t>
  </si>
  <si>
    <t>mod/choice:addinstance</t>
  </si>
  <si>
    <t>Add a new database</t>
  </si>
  <si>
    <t>mod/data:addinstance</t>
  </si>
  <si>
    <t>Ability to add a new Blackboard Collaborate Session.</t>
  </si>
  <si>
    <t>mod/elluminate:addinstance</t>
  </si>
  <si>
    <t>Add a new EQUELLA resource</t>
  </si>
  <si>
    <t>mod/equella:addinstance</t>
  </si>
  <si>
    <t>Add attendees to a face-to-face session</t>
  </si>
  <si>
    <t>mod/facetoface:addattendees</t>
  </si>
  <si>
    <t>[[facetoface:addinstance]]</t>
  </si>
  <si>
    <t>mod/facetoface:addinstance</t>
  </si>
  <si>
    <t>Add, edit, copy and delete face-to-face sessions</t>
  </si>
  <si>
    <t>mod/facetoface:editsessions</t>
  </si>
  <si>
    <t>Sign-up to full sessions.</t>
  </si>
  <si>
    <t>mod/facetoface:overbook</t>
  </si>
  <si>
    <t>Remove attendees from a face-to-face session</t>
  </si>
  <si>
    <t>mod/facetoface:removeattendees</t>
  </si>
  <si>
    <t>Sign-up for a session</t>
  </si>
  <si>
    <t>mod/facetoface:signup</t>
  </si>
  <si>
    <t>Take attendance</t>
  </si>
  <si>
    <t>mod/facetoface:takeattendance</t>
  </si>
  <si>
    <t>View attendance list and attendees</t>
  </si>
  <si>
    <t>mod/facetoface:viewattendees</t>
  </si>
  <si>
    <t>View cancellations</t>
  </si>
  <si>
    <t>mod/facetoface:viewcancellations</t>
  </si>
  <si>
    <t>Add a new feedback</t>
  </si>
  <si>
    <t>mod/feedback:addinstance</t>
  </si>
  <si>
    <t>Add a new folder</t>
  </si>
  <si>
    <t>mod/folder:addinstance</t>
  </si>
  <si>
    <t>Add a new forum</t>
  </si>
  <si>
    <t>mod/forum:addinstance</t>
  </si>
  <si>
    <t>Add a new ForumNG</t>
  </si>
  <si>
    <t>mod/forumng:addinstance</t>
  </si>
  <si>
    <t>Add a new glossary</t>
  </si>
  <si>
    <t>mod/glossary:addinstance</t>
  </si>
  <si>
    <t>Add a new HotPot activity</t>
  </si>
  <si>
    <t>mod/hotpot:addinstance</t>
  </si>
  <si>
    <t>mod/hsuforum:addinstance</t>
  </si>
  <si>
    <t>Add a new IMS content package</t>
  </si>
  <si>
    <t>mod/imscp:addinstance</t>
  </si>
  <si>
    <t>Add journal instances</t>
  </si>
  <si>
    <t>mod/journal:addinstance</t>
  </si>
  <si>
    <t>Add a new label</t>
  </si>
  <si>
    <t>mod/label:addinstance</t>
  </si>
  <si>
    <t>Add a new lesson</t>
  </si>
  <si>
    <t>mod/lesson:addinstance</t>
  </si>
  <si>
    <t>Add a new lightbox gallery</t>
  </si>
  <si>
    <t>mod/lightboxgallery:addinstance</t>
  </si>
  <si>
    <t>Add course-specific tool configurations</t>
  </si>
  <si>
    <t>mod/lti:addcoursetool</t>
  </si>
  <si>
    <t>Add new external tool activities</t>
  </si>
  <si>
    <t>mod/lti:addinstance</t>
  </si>
  <si>
    <t>Request a tool is configured site-wide</t>
  </si>
  <si>
    <t>mod/lti:requesttooladd</t>
  </si>
  <si>
    <t>[[nanogong:addinstance]]</t>
  </si>
  <si>
    <t>mod/nanogong:addinstance</t>
  </si>
  <si>
    <t>Add a new NLN learning object</t>
  </si>
  <si>
    <t>mod/nln:addinstance</t>
  </si>
  <si>
    <t>Add a new OU blog</t>
  </si>
  <si>
    <t>mod/oublog:addinstance</t>
  </si>
  <si>
    <t>Add a new OU wiki</t>
  </si>
  <si>
    <t>mod/ouwiki:addinstance</t>
  </si>
  <si>
    <t>Add a new page resource</t>
  </si>
  <si>
    <t>mod/page:addinstance</t>
  </si>
  <si>
    <t>Add a new questionnaire</t>
  </si>
  <si>
    <t>mod/questionnaire:addinstance</t>
  </si>
  <si>
    <t>Add a new quiz</t>
  </si>
  <si>
    <t>mod/quiz:addinstance</t>
  </si>
  <si>
    <t>Add a new resource</t>
  </si>
  <si>
    <t>mod/resource:addinstance</t>
  </si>
  <si>
    <t>Add a new respondusws instance</t>
  </si>
  <si>
    <t>mod/respondusws:addinstance</t>
  </si>
  <si>
    <t>Add a new scheduler</t>
  </si>
  <si>
    <t>mod/scheduler:addinstance</t>
  </si>
  <si>
    <t>Add a new SCORM package</t>
  </si>
  <si>
    <t>mod/scorm:addinstance</t>
  </si>
  <si>
    <t>[[subcourse:addinstance]]</t>
  </si>
  <si>
    <t>mod/subcourse:addinstance</t>
  </si>
  <si>
    <t>Add a new subpage</t>
  </si>
  <si>
    <t>mod/subpage:addinstance</t>
  </si>
  <si>
    <t>Add a new survey</t>
  </si>
  <si>
    <t>mod/survey:addinstance</t>
  </si>
  <si>
    <t>Add a new URL resource</t>
  </si>
  <si>
    <t>mod/url:addinstance</t>
  </si>
  <si>
    <t>Add a new wiki</t>
  </si>
  <si>
    <t>mod/wiki:addinstance</t>
  </si>
  <si>
    <t>Add a new workshop</t>
  </si>
  <si>
    <t>mod/workshop:addinstance</t>
  </si>
  <si>
    <t>Anonymise user data on backup</t>
  </si>
  <si>
    <t>moodle/backup:anonymise</t>
  </si>
  <si>
    <t>Backup courses</t>
  </si>
  <si>
    <t>moodle/backup:backupcourse</t>
  </si>
  <si>
    <t>Backup sections</t>
  </si>
  <si>
    <t>moodle/backup:backupsection</t>
  </si>
  <si>
    <t>Backup for hub</t>
  </si>
  <si>
    <t>moodle/backup:backuptargethub</t>
  </si>
  <si>
    <t>Backup for import</t>
  </si>
  <si>
    <t>moodle/backup:backuptargetimport</t>
  </si>
  <si>
    <t>Configure backup options</t>
  </si>
  <si>
    <t>moodle/backup:configure</t>
  </si>
  <si>
    <t>Download files from backup areas</t>
  </si>
  <si>
    <t>moodle/backup:downloadfile</t>
  </si>
  <si>
    <t>Backup user data</t>
  </si>
  <si>
    <t>moodle/backup:userinfo</t>
  </si>
  <si>
    <t>Award badge to a user</t>
  </si>
  <si>
    <t>moodle/badges:awardbadge</t>
  </si>
  <si>
    <t>Set up/edit criteria of earning a badge</t>
  </si>
  <si>
    <t>moodle/badges:configurecriteria</t>
  </si>
  <si>
    <t>Set up/edit badge details</t>
  </si>
  <si>
    <t>moodle/badges:configuredetails</t>
  </si>
  <si>
    <t>Configure badge messages</t>
  </si>
  <si>
    <t>moodle/badges:configuremessages</t>
  </si>
  <si>
    <t>Create/duplicate badges</t>
  </si>
  <si>
    <t>moodle/badges:createbadge</t>
  </si>
  <si>
    <t>Delete badges</t>
  </si>
  <si>
    <t>moodle/badges:deletebadge</t>
  </si>
  <si>
    <t>View users who earned a specific badge without being able to award a badge</t>
  </si>
  <si>
    <t>moodle/badges:viewawarded</t>
  </si>
  <si>
    <t>Manage any calendar entries</t>
  </si>
  <si>
    <t>moodle/calendar:manageentries</t>
  </si>
  <si>
    <t>Manage group calendar entries</t>
  </si>
  <si>
    <t>moodle/calendar:managegroupentries</t>
  </si>
  <si>
    <t>View site-wide cohorts</t>
  </si>
  <si>
    <t>moodle/cohort:view</t>
  </si>
  <si>
    <t>Delete comments</t>
  </si>
  <si>
    <t>moodle/comment:delete</t>
  </si>
  <si>
    <t>Send a message to many people</t>
  </si>
  <si>
    <t>moodle/course:bulkmessaging</t>
  </si>
  <si>
    <t>Change course category</t>
  </si>
  <si>
    <t>moodle/course:changecategory</t>
  </si>
  <si>
    <t>Change course full name</t>
  </si>
  <si>
    <t>moodle/course:changefullname</t>
  </si>
  <si>
    <t>Change course ID number</t>
  </si>
  <si>
    <t>moodle/course:changeidnumber</t>
  </si>
  <si>
    <t>Change course short name</t>
  </si>
  <si>
    <t>moodle/course:changeshortname</t>
  </si>
  <si>
    <t>Change course summary</t>
  </si>
  <si>
    <t>moodle/course:changesummary</t>
  </si>
  <si>
    <t>Delete courses</t>
  </si>
  <si>
    <t>moodle/course:delete</t>
  </si>
  <si>
    <t>Configure enrol instances in courses</t>
  </si>
  <si>
    <t>moodle/course:enrolconfig</t>
  </si>
  <si>
    <t>Review course enrolments</t>
  </si>
  <si>
    <t>moodle/course:enrolreview</t>
  </si>
  <si>
    <t>Use files larger than any file size restrictions</t>
  </si>
  <si>
    <t>moodle/course:ignorefilesizelimits</t>
  </si>
  <si>
    <t>Be shown on completion reports</t>
  </si>
  <si>
    <t>moodle/course:isincompletionreports</t>
  </si>
  <si>
    <t>Manage files</t>
  </si>
  <si>
    <t>moodle/course:managefiles</t>
  </si>
  <si>
    <t>Manage groups</t>
  </si>
  <si>
    <t>moodle/course:managegroups</t>
  </si>
  <si>
    <t>Manage scales</t>
  </si>
  <si>
    <t>moodle/course:managescales</t>
  </si>
  <si>
    <t>Mark users as complete in course completion</t>
  </si>
  <si>
    <t>moodle/course:markcomplete</t>
  </si>
  <si>
    <t>Move sections</t>
  </si>
  <si>
    <t>moodle/course:movesections</t>
  </si>
  <si>
    <t>Reset course</t>
  </si>
  <si>
    <t>moodle/course:reset</t>
  </si>
  <si>
    <t>Control section visibility</t>
  </si>
  <si>
    <t>moodle/course:sectionvisibility</t>
  </si>
  <si>
    <t>Set current section</t>
  </si>
  <si>
    <t>moodle/course:setcurrentsection</t>
  </si>
  <si>
    <t>Update course settings</t>
  </si>
  <si>
    <t>moodle/course:update</t>
  </si>
  <si>
    <t>Enable/disable email address</t>
  </si>
  <si>
    <t>moodle/course:useremail</t>
  </si>
  <si>
    <t>View courses without participation</t>
  </si>
  <si>
    <t>moodle/course:view</t>
  </si>
  <si>
    <t>View hidden courses</t>
  </si>
  <si>
    <t>moodle/course:viewhiddencourses</t>
  </si>
  <si>
    <t>View hidden sections</t>
  </si>
  <si>
    <t>moodle/course:viewhiddensections</t>
  </si>
  <si>
    <t>View hidden user fields</t>
  </si>
  <si>
    <t>moodle/course:viewhiddenuserfields</t>
  </si>
  <si>
    <t>moodle/course:viewparticipants</t>
  </si>
  <si>
    <t>View scales</t>
  </si>
  <si>
    <t>moodle/course:viewscales</t>
  </si>
  <si>
    <t>Hide/show courses</t>
  </si>
  <si>
    <t>moodle/course:visibility</t>
  </si>
  <si>
    <t>Manage local filter settings</t>
  </si>
  <si>
    <t>moodle/filter:manage</t>
  </si>
  <si>
    <t>Edit grades</t>
  </si>
  <si>
    <t>moodle/grade:edit</t>
  </si>
  <si>
    <t>Export grades</t>
  </si>
  <si>
    <t>moodle/grade:export</t>
  </si>
  <si>
    <t>Hide/unhide grades or items</t>
  </si>
  <si>
    <t>moodle/grade:hide</t>
  </si>
  <si>
    <t>Import grades</t>
  </si>
  <si>
    <t>moodle/grade:import</t>
  </si>
  <si>
    <t>Lock grades or items</t>
  </si>
  <si>
    <t>moodle/grade:lock</t>
  </si>
  <si>
    <t>Manage grade items</t>
  </si>
  <si>
    <t>moodle/grade:manage</t>
  </si>
  <si>
    <t>Manage advanced grading methods</t>
  </si>
  <si>
    <t>moodle/grade:managegradingforms</t>
  </si>
  <si>
    <t>Manage letter grades</t>
  </si>
  <si>
    <t>moodle/grade:manageletters</t>
  </si>
  <si>
    <t>Manage grade outcomes</t>
  </si>
  <si>
    <t>moodle/grade:manageoutcomes</t>
  </si>
  <si>
    <t>Unlock grades or items</t>
  </si>
  <si>
    <t>moodle/grade:unlock</t>
  </si>
  <si>
    <t>View own grades</t>
  </si>
  <si>
    <t>moodle/grade:view</t>
  </si>
  <si>
    <t>View grades of other users</t>
  </si>
  <si>
    <t>moodle/grade:viewall</t>
  </si>
  <si>
    <t>View hidden grades for owner</t>
  </si>
  <si>
    <t>moodle/grade:viewhidden</t>
  </si>
  <si>
    <t>Manage notes</t>
  </si>
  <si>
    <t>moodle/notes:manage</t>
  </si>
  <si>
    <t>View notes</t>
  </si>
  <si>
    <t>moodle/notes:view</t>
  </si>
  <si>
    <t>Add new questions</t>
  </si>
  <si>
    <t>moodle/question:add</t>
  </si>
  <si>
    <t>Edit all questions</t>
  </si>
  <si>
    <t>moodle/question:editall</t>
  </si>
  <si>
    <t>Edit your own questions</t>
  </si>
  <si>
    <t>moodle/question:editmine</t>
  </si>
  <si>
    <t>Flag questions while attempting them</t>
  </si>
  <si>
    <t>moodle/question:flag</t>
  </si>
  <si>
    <t>Edit question categories</t>
  </si>
  <si>
    <t>moodle/question:managecategory</t>
  </si>
  <si>
    <t>Move all questions</t>
  </si>
  <si>
    <t>moodle/question:moveall</t>
  </si>
  <si>
    <t>Move your own questions</t>
  </si>
  <si>
    <t>moodle/question:movemine</t>
  </si>
  <si>
    <t>Use all questions</t>
  </si>
  <si>
    <t>moodle/question:useall</t>
  </si>
  <si>
    <t>Use your own questions</t>
  </si>
  <si>
    <t>moodle/question:usemine</t>
  </si>
  <si>
    <t>View all questions</t>
  </si>
  <si>
    <t>moodle/question:viewall</t>
  </si>
  <si>
    <t>View your own questions</t>
  </si>
  <si>
    <t>moodle/question:viewmine</t>
  </si>
  <si>
    <t>Configure restore options</t>
  </si>
  <si>
    <t>moodle/restore:configure</t>
  </si>
  <si>
    <t>Restore activities</t>
  </si>
  <si>
    <t>moodle/restore:restoreactivity</t>
  </si>
  <si>
    <t>Restore courses</t>
  </si>
  <si>
    <t>moodle/restore:restorecourse</t>
  </si>
  <si>
    <t>Restore sections</t>
  </si>
  <si>
    <t>moodle/restore:restoresection</t>
  </si>
  <si>
    <t>Restore from files targeted as hub</t>
  </si>
  <si>
    <t>moodle/restore:restoretargethub</t>
  </si>
  <si>
    <t>Restore from files targeted as import</t>
  </si>
  <si>
    <t>moodle/restore:restoretargetimport</t>
  </si>
  <si>
    <t>Allowed to roll activity configuration dates on restore</t>
  </si>
  <si>
    <t>moodle/restore:rolldates</t>
  </si>
  <si>
    <t>Upload files to backup areas</t>
  </si>
  <si>
    <t>moodle/restore:uploadfile</t>
  </si>
  <si>
    <t>Restore user data</t>
  </si>
  <si>
    <t>moodle/restore:userinfo</t>
  </si>
  <si>
    <t>Restore courses from automated backups</t>
  </si>
  <si>
    <t>moodle/restore:viewautomatedfilearea</t>
  </si>
  <si>
    <t>Assign roles to users</t>
  </si>
  <si>
    <t>moodle/role:assign</t>
  </si>
  <si>
    <t>Override permissions for others</t>
  </si>
  <si>
    <t>moodle/role:override</t>
  </si>
  <si>
    <t>Review permissions for others</t>
  </si>
  <si>
    <t>moodle/role:review</t>
  </si>
  <si>
    <t>Override safe permissions for others</t>
  </si>
  <si>
    <t>moodle/role:safeoverride</t>
  </si>
  <si>
    <t>Switch to other roles</t>
  </si>
  <si>
    <t>moodle/role:switchroles</t>
  </si>
  <si>
    <t>Access all groups</t>
  </si>
  <si>
    <t>moodle/site:accessallgroups</t>
  </si>
  <si>
    <t>Trust submitted content</t>
  </si>
  <si>
    <t>moodle/site:trustcontent</t>
  </si>
  <si>
    <t>Always see full names of users</t>
  </si>
  <si>
    <t>moodle/site:viewfullnames</t>
  </si>
  <si>
    <t>View reports</t>
  </si>
  <si>
    <t>moodle/site:viewreports</t>
  </si>
  <si>
    <t>See full user identity in lists</t>
  </si>
  <si>
    <t>moodle/site:viewuseridentity</t>
  </si>
  <si>
    <t>Login as other users</t>
  </si>
  <si>
    <t>moodle/user:loginas</t>
  </si>
  <si>
    <t>View user profiles</t>
  </si>
  <si>
    <t>moodle/user:viewdetails</t>
  </si>
  <si>
    <t>View hidden details of users</t>
  </si>
  <si>
    <t>moodle/user:viewhiddendetails</t>
  </si>
  <si>
    <t>View course completion report</t>
  </si>
  <si>
    <t>report/completion:view</t>
  </si>
  <si>
    <t>View course logs</t>
  </si>
  <si>
    <t>report/log:view</t>
  </si>
  <si>
    <t>View today's logs</t>
  </si>
  <si>
    <t>report/log:viewtoday</t>
  </si>
  <si>
    <t>View live logs</t>
  </si>
  <si>
    <t>report/loglive:view</t>
  </si>
  <si>
    <t>View activity report</t>
  </si>
  <si>
    <t>report/outline:view</t>
  </si>
  <si>
    <t>View course participation report</t>
  </si>
  <si>
    <t>report/participation:view</t>
  </si>
  <si>
    <t>View activity completion reports</t>
  </si>
  <si>
    <t>report/progress:view</t>
  </si>
  <si>
    <t>View course statistics report</t>
  </si>
  <si>
    <t>report/stats:view</t>
  </si>
  <si>
    <t>Use AMF protocol</t>
  </si>
  <si>
    <t>webservice/amf:use</t>
  </si>
  <si>
    <t>Use REST protocol</t>
  </si>
  <si>
    <t>webservice/rest:use</t>
  </si>
  <si>
    <t>Use SOAP protocol</t>
  </si>
  <si>
    <t>webservice/soap:use</t>
  </si>
  <si>
    <t>Export book as IMS content package</t>
  </si>
  <si>
    <t>booktool/exportimscp:export</t>
  </si>
  <si>
    <t>Import chapters</t>
  </si>
  <si>
    <t>booktool/importhtml:import</t>
  </si>
  <si>
    <t>Print book</t>
  </si>
  <si>
    <t>booktool/print:print</t>
  </si>
  <si>
    <t>View forum usage statistics</t>
  </si>
  <si>
    <t>forumngfeature/usage:view</t>
  </si>
  <si>
    <t>View forum flagged posts</t>
  </si>
  <si>
    <t>forumngfeature/usage:viewflagged</t>
  </si>
  <si>
    <t>View the forum usage statistics information</t>
  </si>
  <si>
    <t>forumngfeature/usage:viewusage</t>
  </si>
  <si>
    <t>View list of posts by user</t>
  </si>
  <si>
    <t>forumngfeature/userposts:view</t>
  </si>
  <si>
    <t>Attempt adaptive quiz</t>
  </si>
  <si>
    <t>mod/adaptivequiz:attempt</t>
  </si>
  <si>
    <t>Meeting Host</t>
  </si>
  <si>
    <t>mod/adobeconnect:meetinghost</t>
  </si>
  <si>
    <t>Meeting Particpant</t>
  </si>
  <si>
    <t>mod/adobeconnect:meetingparticipant</t>
  </si>
  <si>
    <t>Meeting Presenter</t>
  </si>
  <si>
    <t>mod/adobeconnect:meetingpresenter</t>
  </si>
  <si>
    <t>Export own submission</t>
  </si>
  <si>
    <t>mod/assign:exportownsubmission</t>
  </si>
  <si>
    <t>Grade assignment</t>
  </si>
  <si>
    <t>mod/assign:grade</t>
  </si>
  <si>
    <t>Grant extension</t>
  </si>
  <si>
    <t>mod/assign:grantextension</t>
  </si>
  <si>
    <t>Manage markers allocated to submissions</t>
  </si>
  <si>
    <t>mod/assign:manageallocations</t>
  </si>
  <si>
    <t>Review and release grades</t>
  </si>
  <si>
    <t>mod/assign:managegrades</t>
  </si>
  <si>
    <t>Release grades</t>
  </si>
  <si>
    <t>mod/assign:releasegrades</t>
  </si>
  <si>
    <t>Reveal student identities</t>
  </si>
  <si>
    <t>mod/assign:revealidentities</t>
  </si>
  <si>
    <t>Review grades</t>
  </si>
  <si>
    <t>mod/assign:reviewgrades</t>
  </si>
  <si>
    <t>Submit assignment</t>
  </si>
  <si>
    <t>mod/assign:submit</t>
  </si>
  <si>
    <t>View assignment</t>
  </si>
  <si>
    <t>mod/assign:view</t>
  </si>
  <si>
    <t>mod/assignment:exportownsubmission</t>
  </si>
  <si>
    <t>mod/assignment:grade</t>
  </si>
  <si>
    <t>mod/assignment:submit</t>
  </si>
  <si>
    <t>mod/assignment:view</t>
  </si>
  <si>
    <t>Appears in the roster</t>
  </si>
  <si>
    <t>mod/attendance:canbelisted</t>
  </si>
  <si>
    <t>Changing Attendances</t>
  </si>
  <si>
    <t>mod/attendance:changeattendances</t>
  </si>
  <si>
    <t>Changing Preferences</t>
  </si>
  <si>
    <t>mod/attendance:changepreferences</t>
  </si>
  <si>
    <t>Export Reports</t>
  </si>
  <si>
    <t>mod/attendance:export</t>
  </si>
  <si>
    <t>Manage Attendances</t>
  </si>
  <si>
    <t>mod/attendance:manageattendances</t>
  </si>
  <si>
    <t>Taking Attendances</t>
  </si>
  <si>
    <t>mod/attendance:takeattendances</t>
  </si>
  <si>
    <t>Viewing Attendances</t>
  </si>
  <si>
    <t>mod/attendance:view</t>
  </si>
  <si>
    <t>Viewing Reports</t>
  </si>
  <si>
    <t>mod/attendance:viewreports</t>
  </si>
  <si>
    <t>Can add Offline Sessions on other people's Register</t>
  </si>
  <si>
    <t>mod/attendanceregister:addotherofflinesess</t>
  </si>
  <si>
    <t>Can add Offline Sessions on his/her own Register</t>
  </si>
  <si>
    <t>mod/attendanceregister:addownofflinesess</t>
  </si>
  <si>
    <t>Can delete Offline Sessions on other people's Register</t>
  </si>
  <si>
    <t>mod/attendanceregister:deleteotherofflinesess</t>
  </si>
  <si>
    <t>Can delete Offline Sessions from his/her own Register</t>
  </si>
  <si>
    <t>mod/attendanceregister:deleteownofflinesess</t>
  </si>
  <si>
    <t>Can force Attendance Register's Sessions recalculations</t>
  </si>
  <si>
    <t>mod/attendanceregister:recalcsessions</t>
  </si>
  <si>
    <t>Can view other people's Attendance Registers</t>
  </si>
  <si>
    <t>mod/attendanceregister:viewotherregisters</t>
  </si>
  <si>
    <t>Can view his/her own Attendance Registers</t>
  </si>
  <si>
    <t>mod/attendanceregister:viewownregister</t>
  </si>
  <si>
    <t>Edit book chapters</t>
  </si>
  <si>
    <t>mod/book:edit</t>
  </si>
  <si>
    <t>Read book</t>
  </si>
  <si>
    <t>mod/book:read</t>
  </si>
  <si>
    <t>View hidden book chapters</t>
  </si>
  <si>
    <t>mod/book:viewhiddenchapters</t>
  </si>
  <si>
    <t>Book</t>
  </si>
  <si>
    <t>mod/booking:choose</t>
  </si>
  <si>
    <t>Delete responses</t>
  </si>
  <si>
    <t>mod/booking:deleteresponses</t>
  </si>
  <si>
    <t>Download responses</t>
  </si>
  <si>
    <t>mod/booking:downloadresponses</t>
  </si>
  <si>
    <t>Read responses</t>
  </si>
  <si>
    <t>mod/booking:readresponses</t>
  </si>
  <si>
    <t>Make bookings for other users</t>
  </si>
  <si>
    <t>mod/booking:subscribeusers</t>
  </si>
  <si>
    <t>Manage booking options</t>
  </si>
  <si>
    <t>mod/booking:updatebooking</t>
  </si>
  <si>
    <t>Manage a certificate instance</t>
  </si>
  <si>
    <t>mod/certificate:manage</t>
  </si>
  <si>
    <t>Be listed as a teacher on the certificate if the print teacher setting is on</t>
  </si>
  <si>
    <t>mod/certificate:printteacher</t>
  </si>
  <si>
    <t>View a certificate</t>
  </si>
  <si>
    <t>mod/certificate:view</t>
  </si>
  <si>
    <t>Access a chat room</t>
  </si>
  <si>
    <t>mod/chat:chat</t>
  </si>
  <si>
    <t>Delete chat logs</t>
  </si>
  <si>
    <t>mod/chat:deletelog</t>
  </si>
  <si>
    <t>Export chat session which you took part in</t>
  </si>
  <si>
    <t>mod/chat:exportparticipatedsession</t>
  </si>
  <si>
    <t>Export any chat session</t>
  </si>
  <si>
    <t>mod/chat:exportsession</t>
  </si>
  <si>
    <t>Read chat logs</t>
  </si>
  <si>
    <t>mod/chat:readlog</t>
  </si>
  <si>
    <t>Create and edit checklists</t>
  </si>
  <si>
    <t>mod/checklist:edit</t>
  </si>
  <si>
    <t>Receive completion emails</t>
  </si>
  <si>
    <t>mod/checklist:emailoncomplete</t>
  </si>
  <si>
    <t>Preview a checklist</t>
  </si>
  <si>
    <t>mod/checklist:preview</t>
  </si>
  <si>
    <t>Update locked checklist marks</t>
  </si>
  <si>
    <t>mod/checklist:updatelocked</t>
  </si>
  <si>
    <t>Update students' checklist marks</t>
  </si>
  <si>
    <t>mod/checklist:updateother</t>
  </si>
  <si>
    <t>Update your checklist marks</t>
  </si>
  <si>
    <t>mod/checklist:updateown</t>
  </si>
  <si>
    <t>View mentee progress (only)</t>
  </si>
  <si>
    <t>mod/checklist:viewmenteereports</t>
  </si>
  <si>
    <t>View students' progress</t>
  </si>
  <si>
    <t>mod/checklist:viewreports</t>
  </si>
  <si>
    <t>Record a choice</t>
  </si>
  <si>
    <t>mod/choice:choose</t>
  </si>
  <si>
    <t>mod/choice:deleteresponses</t>
  </si>
  <si>
    <t>mod/choice:downloadresponses</t>
  </si>
  <si>
    <t>mod/choice:readresponses</t>
  </si>
  <si>
    <t>Add a new group choice activity</t>
  </si>
  <si>
    <t>mod/choicegroup:addinstance</t>
  </si>
  <si>
    <t>mod/choicegroup:choose</t>
  </si>
  <si>
    <t>mod/choicegroup:deleteresponses</t>
  </si>
  <si>
    <t>mod/choicegroup:downloadresponses</t>
  </si>
  <si>
    <t>mod/choicegroup:readresponses</t>
  </si>
  <si>
    <t>Add Campus Pack Blog instance</t>
  </si>
  <si>
    <t>mod/cpblog:addinstance</t>
  </si>
  <si>
    <t>Add Campus Pack Content instance</t>
  </si>
  <si>
    <t>mod/cpcontentitem:addinstance</t>
  </si>
  <si>
    <t>Add Campus Pack Podcast instance</t>
  </si>
  <si>
    <t>mod/cppodcast:addinstance</t>
  </si>
  <si>
    <t>Add Campus Pack Private Journal instance</t>
  </si>
  <si>
    <t>mod/cpprivatejournal:addinstance</t>
  </si>
  <si>
    <t>Add Campus Pack Wiki instance</t>
  </si>
  <si>
    <t>mod/cpwiki:addinstance</t>
  </si>
  <si>
    <t>Approve and undo approved entries</t>
  </si>
  <si>
    <t>mod/data:approve</t>
  </si>
  <si>
    <t>Write comments</t>
  </si>
  <si>
    <t>mod/data:comment</t>
  </si>
  <si>
    <t>Export all database entries</t>
  </si>
  <si>
    <t>mod/data:exportallentries</t>
  </si>
  <si>
    <t>Export a database entry</t>
  </si>
  <si>
    <t>mod/data:exportentry</t>
  </si>
  <si>
    <t>Export own database entry</t>
  </si>
  <si>
    <t>mod/data:exportownentry</t>
  </si>
  <si>
    <t>Export user information</t>
  </si>
  <si>
    <t>mod/data:exportuserinfo</t>
  </si>
  <si>
    <t>Manage comments</t>
  </si>
  <si>
    <t>mod/data:managecomments</t>
  </si>
  <si>
    <t>Manage entries</t>
  </si>
  <si>
    <t>mod/data:manageentries</t>
  </si>
  <si>
    <t>Manage templates</t>
  </si>
  <si>
    <t>mod/data:managetemplates</t>
  </si>
  <si>
    <t>Manage all template presets</t>
  </si>
  <si>
    <t>mod/data:manageuserpresets</t>
  </si>
  <si>
    <t>Rate entries</t>
  </si>
  <si>
    <t>mod/data:rate</t>
  </si>
  <si>
    <t>mod/data:viewallratings</t>
  </si>
  <si>
    <t>View presets from all users</t>
  </si>
  <si>
    <t>mod/data:viewalluserpresets</t>
  </si>
  <si>
    <t>mod/data:viewanyrating</t>
  </si>
  <si>
    <t>View entries</t>
  </si>
  <si>
    <t>mod/data:viewentry</t>
  </si>
  <si>
    <t>mod/data:viewrating</t>
  </si>
  <si>
    <t>Write entries</t>
  </si>
  <si>
    <t>mod/data:writeentry</t>
  </si>
  <si>
    <t>Ability to initiate conversion of all recordings to audio (MP3) and video (MP4) formats.</t>
  </si>
  <si>
    <t>mod/elluminate:convertallrecordings</t>
  </si>
  <si>
    <t>Ability to initiate conversion of own recordings to audio (MP3) and video (MP4) formats.</t>
  </si>
  <si>
    <t>mod/elluminate:convertownrecordings</t>
  </si>
  <si>
    <t>Ability to delete any recordings.</t>
  </si>
  <si>
    <t>mod/elluminate:deleteanyrecordings</t>
  </si>
  <si>
    <t>Ability to delete own recordings.</t>
  </si>
  <si>
    <t>mod/elluminate:deleterecordings</t>
  </si>
  <si>
    <t>Ability to edit any recording descriptions.</t>
  </si>
  <si>
    <t>mod/elluminate:editallrecordings</t>
  </si>
  <si>
    <t>Ability to edit own recording descriptions.</t>
  </si>
  <si>
    <t>mod/elluminate:editownrecordings</t>
  </si>
  <si>
    <t>Ability to hide / show own recordings.</t>
  </si>
  <si>
    <t>mod/elluminate:enablerecordings</t>
  </si>
  <si>
    <t>Ability to manage the settings.</t>
  </si>
  <si>
    <t>mod/elluminate:manage</t>
  </si>
  <si>
    <t>Ability to hide / show any session recordings.</t>
  </si>
  <si>
    <t>mod/elluminate:manageanyrecordings</t>
  </si>
  <si>
    <t>Ability to modify attendance records (grades).</t>
  </si>
  <si>
    <t>mod/elluminate:manageattendance</t>
  </si>
  <si>
    <t>Ability to add / remove Moderators.</t>
  </si>
  <si>
    <t>mod/elluminate:managemoderators</t>
  </si>
  <si>
    <t>Ability to add / remove Participants.</t>
  </si>
  <si>
    <t>mod/elluminate:manageparticipants</t>
  </si>
  <si>
    <t>Ability to add / delete preload files.</t>
  </si>
  <si>
    <t>mod/elluminate:managepreloads</t>
  </si>
  <si>
    <t>Ability to hide / show group session recordings.</t>
  </si>
  <si>
    <t>mod/elluminate:managerecordings</t>
  </si>
  <si>
    <t>Ability to be a session Moderator.</t>
  </si>
  <si>
    <t>mod/elluminate:moderatemeeting</t>
  </si>
  <si>
    <t>Ability to view attendance records.</t>
  </si>
  <si>
    <t>mod/elluminate:viewattendance</t>
  </si>
  <si>
    <t>Ability to view guest link.</t>
  </si>
  <si>
    <t>mod/elluminate:viewguestlink</t>
  </si>
  <si>
    <t>Manage EQUELLA resource</t>
  </si>
  <si>
    <t>mod/equella:manage</t>
  </si>
  <si>
    <t>View face-to-face activities and sessions</t>
  </si>
  <si>
    <t>mod/facetoface:view</t>
  </si>
  <si>
    <t>View empty face-to-face activities</t>
  </si>
  <si>
    <t>mod/facetoface:viewemptyactivities</t>
  </si>
  <si>
    <t>Complete a feedback</t>
  </si>
  <si>
    <t>mod/feedback:complete</t>
  </si>
  <si>
    <t>Create private template</t>
  </si>
  <si>
    <t>mod/feedback:createprivatetemplate</t>
  </si>
  <si>
    <t>Create public template</t>
  </si>
  <si>
    <t>mod/feedback:createpublictemplate</t>
  </si>
  <si>
    <t>Delete completed submissions</t>
  </si>
  <si>
    <t>mod/feedback:deletesubmissions</t>
  </si>
  <si>
    <t>Delete template</t>
  </si>
  <si>
    <t>mod/feedback:deletetemplate</t>
  </si>
  <si>
    <t>Edit items</t>
  </si>
  <si>
    <t>mod/feedback:edititems</t>
  </si>
  <si>
    <t>Map courses to global feedbacks</t>
  </si>
  <si>
    <t>mod/feedback:mapcourse</t>
  </si>
  <si>
    <t>Receive email notification</t>
  </si>
  <si>
    <t>mod/feedback:receivemail</t>
  </si>
  <si>
    <t>View a feedback</t>
  </si>
  <si>
    <t>mod/feedback:view</t>
  </si>
  <si>
    <t>View the analysis page after submit</t>
  </si>
  <si>
    <t>mod/feedback:viewanalysepage</t>
  </si>
  <si>
    <t>mod/feedback:viewreports</t>
  </si>
  <si>
    <t>Manage files in folder module</t>
  </si>
  <si>
    <t>mod/folder:managefiles</t>
  </si>
  <si>
    <t>Add news</t>
  </si>
  <si>
    <t>mod/forum:addnews</t>
  </si>
  <si>
    <t>Add question</t>
  </si>
  <si>
    <t>mod/forum:addquestion</t>
  </si>
  <si>
    <t>Allow force subscribe</t>
  </si>
  <si>
    <t>mod/forum:allowforcesubscribe</t>
  </si>
  <si>
    <t>Create attachments</t>
  </si>
  <si>
    <t>mod/forum:createattachment</t>
  </si>
  <si>
    <t>Delete any posts (anytime)</t>
  </si>
  <si>
    <t>mod/forum:deleteanypost</t>
  </si>
  <si>
    <t>Delete own posts (within deadline)</t>
  </si>
  <si>
    <t>mod/forum:deleteownpost</t>
  </si>
  <si>
    <t>Edit any post</t>
  </si>
  <si>
    <t>mod/forum:editanypost</t>
  </si>
  <si>
    <t>Export whole discussion</t>
  </si>
  <si>
    <t>mod/forum:exportdiscussion</t>
  </si>
  <si>
    <t>Export own post</t>
  </si>
  <si>
    <t>mod/forum:exportownpost</t>
  </si>
  <si>
    <t>Export post</t>
  </si>
  <si>
    <t>mod/forum:exportpost</t>
  </si>
  <si>
    <t>Manage subscriptions</t>
  </si>
  <si>
    <t>mod/forum:managesubscriptions</t>
  </si>
  <si>
    <t>Move discussions</t>
  </si>
  <si>
    <t>mod/forum:movediscussions</t>
  </si>
  <si>
    <t>Exempt from post threshold</t>
  </si>
  <si>
    <t>mod/forum:postwithoutthrottling</t>
  </si>
  <si>
    <t>Rate posts</t>
  </si>
  <si>
    <t>mod/forum:rate</t>
  </si>
  <si>
    <t>Reply to news</t>
  </si>
  <si>
    <t>mod/forum:replynews</t>
  </si>
  <si>
    <t>Reply to posts</t>
  </si>
  <si>
    <t>mod/forum:replypost</t>
  </si>
  <si>
    <t>Split discussions</t>
  </si>
  <si>
    <t>mod/forum:splitdiscussions</t>
  </si>
  <si>
    <t>Start new discussions</t>
  </si>
  <si>
    <t>mod/forum:startdiscussion</t>
  </si>
  <si>
    <t>mod/forum:viewallratings</t>
  </si>
  <si>
    <t>mod/forum:viewanyrating</t>
  </si>
  <si>
    <t>View discussions</t>
  </si>
  <si>
    <t>mod/forum:viewdiscussion</t>
  </si>
  <si>
    <t>View hidden timed posts</t>
  </si>
  <si>
    <t>mod/forum:viewhiddentimedposts</t>
  </si>
  <si>
    <t>Always see Q and A posts</t>
  </si>
  <si>
    <t>mod/forum:viewqandawithoutposting</t>
  </si>
  <si>
    <t>mod/forum:viewrating</t>
  </si>
  <si>
    <t>View subscribers</t>
  </si>
  <si>
    <t>mod/forum:viewsubscribers</t>
  </si>
  <si>
    <t>Copy discussion</t>
  </si>
  <si>
    <t>mod/forumng:copydiscussion</t>
  </si>
  <si>
    <t>mod/forumng:createattachment</t>
  </si>
  <si>
    <t>Delete any post</t>
  </si>
  <si>
    <t>mod/forumng:deleteanypost</t>
  </si>
  <si>
    <t>mod/forumng:editanypost</t>
  </si>
  <si>
    <t>Forward posts</t>
  </si>
  <si>
    <t>mod/forumng:forwardposts</t>
  </si>
  <si>
    <t>Grade posts</t>
  </si>
  <si>
    <t>mod/forumng:grade</t>
  </si>
  <si>
    <t>Ignore post count limits</t>
  </si>
  <si>
    <t>mod/forumng:ignorepostlimits</t>
  </si>
  <si>
    <t>Mail posts before editing timeout</t>
  </si>
  <si>
    <t>mod/forumng:mailnow</t>
  </si>
  <si>
    <t>Manage discussion options</t>
  </si>
  <si>
    <t>mod/forumng:managediscussions</t>
  </si>
  <si>
    <t>mod/forumng:managesubscriptions</t>
  </si>
  <si>
    <t>mod/forumng:movediscussions</t>
  </si>
  <si>
    <t>Post as anonymous moderator</t>
  </si>
  <si>
    <t>mod/forumng:postanon</t>
  </si>
  <si>
    <t>Indentify self as moderator in post</t>
  </si>
  <si>
    <t>mod/forumng:postasmoderator</t>
  </si>
  <si>
    <t>mod/forumng:rate</t>
  </si>
  <si>
    <t>mod/forumng:replypost</t>
  </si>
  <si>
    <t>Mark posts as important</t>
  </si>
  <si>
    <t>mod/forumng:setimportant</t>
  </si>
  <si>
    <t>mod/forumng:splitdiscussions</t>
  </si>
  <si>
    <t>mod/forumng:startdiscussion</t>
  </si>
  <si>
    <t>View forum</t>
  </si>
  <si>
    <t>mod/forumng:view</t>
  </si>
  <si>
    <t>View hidden and deleted posts</t>
  </si>
  <si>
    <t>mod/forumng:viewallposts</t>
  </si>
  <si>
    <t>View any ratings</t>
  </si>
  <si>
    <t>mod/forumng:viewanyrating</t>
  </si>
  <si>
    <t>mod/forumng:viewdiscussion</t>
  </si>
  <si>
    <t>View ratings of own posts</t>
  </si>
  <si>
    <t>mod/forumng:viewrating</t>
  </si>
  <si>
    <t>See who has read a post</t>
  </si>
  <si>
    <t>mod/forumng:viewreadinfo</t>
  </si>
  <si>
    <t>mod/forumng:viewsubscribers</t>
  </si>
  <si>
    <t>mod/glossary:approve</t>
  </si>
  <si>
    <t>Create comments</t>
  </si>
  <si>
    <t>mod/glossary:comment</t>
  </si>
  <si>
    <t>Export entries</t>
  </si>
  <si>
    <t>mod/glossary:export</t>
  </si>
  <si>
    <t>Export single entry</t>
  </si>
  <si>
    <t>mod/glossary:exportentry</t>
  </si>
  <si>
    <t>Export single entry of yours</t>
  </si>
  <si>
    <t>mod/glossary:exportownentry</t>
  </si>
  <si>
    <t>Import entries</t>
  </si>
  <si>
    <t>mod/glossary:import</t>
  </si>
  <si>
    <t>mod/glossary:managecategories</t>
  </si>
  <si>
    <t>mod/glossary:managecomments</t>
  </si>
  <si>
    <t>mod/glossary:manageentries</t>
  </si>
  <si>
    <t>mod/glossary:rate</t>
  </si>
  <si>
    <t>View glossary</t>
  </si>
  <si>
    <t>mod/glossary:view</t>
  </si>
  <si>
    <t>mod/glossary:viewallratings</t>
  </si>
  <si>
    <t>mod/glossary:viewanyrating</t>
  </si>
  <si>
    <t>mod/glossary:viewrating</t>
  </si>
  <si>
    <t>Create new entries</t>
  </si>
  <si>
    <t>mod/glossary:write</t>
  </si>
  <si>
    <t>Attempt a HotPot activity and submit results</t>
  </si>
  <si>
    <t>mod/hotpot:attempt</t>
  </si>
  <si>
    <t>Delete any user's attempts at a HotPot activity</t>
  </si>
  <si>
    <t>mod/hotpot:deleteallattempts</t>
  </si>
  <si>
    <t>Delete your own attempts at a HotPot activity</t>
  </si>
  <si>
    <t>mod/hotpot:deletemyattempts</t>
  </si>
  <si>
    <t>Change the settings of a HotPot activity</t>
  </si>
  <si>
    <t>mod/hotpot:manage</t>
  </si>
  <si>
    <t>Preview a HotPot activity</t>
  </si>
  <si>
    <t>mod/hotpot:preview</t>
  </si>
  <si>
    <t>View any user's attempts at a HotPot activity</t>
  </si>
  <si>
    <t>mod/hotpot:reviewallattempts</t>
  </si>
  <si>
    <t>View your own attempts at a HotPot activity</t>
  </si>
  <si>
    <t>mod/hotpot:reviewmyattempts</t>
  </si>
  <si>
    <t>View the entry page of a HotPot activity</t>
  </si>
  <si>
    <t>mod/hotpot:view</t>
  </si>
  <si>
    <t>mod/hsuforum:addnews</t>
  </si>
  <si>
    <t>mod/hsuforum:addquestion</t>
  </si>
  <si>
    <t>mod/hsuforum:allowforcesubscribe</t>
  </si>
  <si>
    <t>Allow user to respond privately</t>
  </si>
  <si>
    <t>mod/hsuforum:allowprivate</t>
  </si>
  <si>
    <t>mod/hsuforum:createattachment</t>
  </si>
  <si>
    <t>mod/hsuforum:deleteanypost</t>
  </si>
  <si>
    <t>mod/hsuforum:deleteownpost</t>
  </si>
  <si>
    <t>mod/hsuforum:editanypost</t>
  </si>
  <si>
    <t>mod/hsuforum:exportdiscussion</t>
  </si>
  <si>
    <t>mod/hsuforum:exportownpost</t>
  </si>
  <si>
    <t>mod/hsuforum:exportpost</t>
  </si>
  <si>
    <t>mod/hsuforum:managesubscriptions</t>
  </si>
  <si>
    <t>mod/hsuforum:movediscussions</t>
  </si>
  <si>
    <t>mod/hsuforum:postwithoutthrottling</t>
  </si>
  <si>
    <t>mod/hsuforum:rate</t>
  </si>
  <si>
    <t>mod/hsuforum:replynews</t>
  </si>
  <si>
    <t>mod/hsuforum:replypost</t>
  </si>
  <si>
    <t>Reveal yourself in an anonymous forum</t>
  </si>
  <si>
    <t>mod/hsuforum:revealpost</t>
  </si>
  <si>
    <t>mod/hsuforum:splitdiscussions</t>
  </si>
  <si>
    <t>mod/hsuforum:startdiscussion</t>
  </si>
  <si>
    <t>mod/hsuforum:viewallratings</t>
  </si>
  <si>
    <t>mod/hsuforum:viewanyrating</t>
  </si>
  <si>
    <t>mod/hsuforum:viewdiscussion</t>
  </si>
  <si>
    <t>View post flags</t>
  </si>
  <si>
    <t>mod/hsuforum:viewflags</t>
  </si>
  <si>
    <t>mod/hsuforum:viewhiddentimedposts</t>
  </si>
  <si>
    <t>View forum posters</t>
  </si>
  <si>
    <t>mod/hsuforum:viewposters</t>
  </si>
  <si>
    <t>mod/hsuforum:viewqandawithoutposting</t>
  </si>
  <si>
    <t>mod/hsuforum:viewrating</t>
  </si>
  <si>
    <t>mod/hsuforum:viewsubscribers</t>
  </si>
  <si>
    <t>Add journal entries</t>
  </si>
  <si>
    <t>mod/journal:addentries</t>
  </si>
  <si>
    <t>Manage journal entries</t>
  </si>
  <si>
    <t>mod/journal:manageentries</t>
  </si>
  <si>
    <t>Edit a lesson activity</t>
  </si>
  <si>
    <t>mod/lesson:edit</t>
  </si>
  <si>
    <t>Manage a lesson activity</t>
  </si>
  <si>
    <t>mod/lesson:manage</t>
  </si>
  <si>
    <t>Add comment to lightbox gallery</t>
  </si>
  <si>
    <t>mod/lightboxgallery:addcomment</t>
  </si>
  <si>
    <t>Add image to lightbox gallery</t>
  </si>
  <si>
    <t>mod/lightboxgallery:addimage</t>
  </si>
  <si>
    <t>Edit a lightbox gallery</t>
  </si>
  <si>
    <t>mod/lightboxgallery:edit</t>
  </si>
  <si>
    <t>Submit a lightbox gallery</t>
  </si>
  <si>
    <t>mod/lightboxgallery:submit</t>
  </si>
  <si>
    <t>View lightbox gallery comments</t>
  </si>
  <si>
    <t>mod/lightboxgallery:viewcomments</t>
  </si>
  <si>
    <t>View grades returned by the external tool</t>
  </si>
  <si>
    <t>mod/lti:grade</t>
  </si>
  <si>
    <t>Be an Instructor when the tool is launched</t>
  </si>
  <si>
    <t>mod/lti:manage</t>
  </si>
  <si>
    <t>Launch external tool activities</t>
  </si>
  <si>
    <t>mod/lti:view</t>
  </si>
  <si>
    <t>Grade NanoGong voice</t>
  </si>
  <si>
    <t>mod/nanogong:grade</t>
  </si>
  <si>
    <t>Submit NanoGong voice</t>
  </si>
  <si>
    <t>mod/nanogong:submit</t>
  </si>
  <si>
    <t>View NanoGong voice</t>
  </si>
  <si>
    <t>mod/nanogong:view</t>
  </si>
  <si>
    <t>View deleted posts and old versions</t>
  </si>
  <si>
    <t>mod/oublog:audit</t>
  </si>
  <si>
    <t>Comment on a post</t>
  </si>
  <si>
    <t>mod/oublog:comment</t>
  </si>
  <si>
    <t>mod/oublog:exportownpost</t>
  </si>
  <si>
    <t>mod/oublog:exportpost</t>
  </si>
  <si>
    <t>Grade OU Blog user participation</t>
  </si>
  <si>
    <t>mod/oublog:grade</t>
  </si>
  <si>
    <t>mod/oublog:managecomments</t>
  </si>
  <si>
    <t>Manage links</t>
  </si>
  <si>
    <t>mod/oublog:managelinks</t>
  </si>
  <si>
    <t>Manage posts</t>
  </si>
  <si>
    <t>mod/oublog:manageposts</t>
  </si>
  <si>
    <t>Create a new post</t>
  </si>
  <si>
    <t>mod/oublog:post</t>
  </si>
  <si>
    <t>View posts</t>
  </si>
  <si>
    <t>mod/oublog:view</t>
  </si>
  <si>
    <t>View individual blogs</t>
  </si>
  <si>
    <t>mod/oublog:viewindividual</t>
  </si>
  <si>
    <t>View OU Blog user participation</t>
  </si>
  <si>
    <t>mod/oublog:viewparticipation</t>
  </si>
  <si>
    <t>Allowed to annotate</t>
  </si>
  <si>
    <t>mod/ouwiki:annotate</t>
  </si>
  <si>
    <t>Annotate any sub-wiki that can be viewed</t>
  </si>
  <si>
    <t>mod/ouwiki:annotateothers</t>
  </si>
  <si>
    <t>Delete wiki pages</t>
  </si>
  <si>
    <t>mod/ouwiki:deletepage</t>
  </si>
  <si>
    <t>Edit wiki pages</t>
  </si>
  <si>
    <t>mod/ouwiki:edit</t>
  </si>
  <si>
    <t>Edit the content of any sub-wiki that can be viewed</t>
  </si>
  <si>
    <t>mod/ouwiki:editothers</t>
  </si>
  <si>
    <t>Grade users who have have access to wiki</t>
  </si>
  <si>
    <t>mod/ouwiki:grade</t>
  </si>
  <si>
    <t>Allowed to lock and unlock pages</t>
  </si>
  <si>
    <t>mod/ouwiki:lock</t>
  </si>
  <si>
    <t>Override locked pages</t>
  </si>
  <si>
    <t>mod/ouwiki:overridelock</t>
  </si>
  <si>
    <t>View wikis</t>
  </si>
  <si>
    <t>mod/ouwiki:view</t>
  </si>
  <si>
    <t>Per-user subwikis: view all</t>
  </si>
  <si>
    <t>mod/ouwiki:viewallindividuals</t>
  </si>
  <si>
    <t>Per-user subwikis: view same group</t>
  </si>
  <si>
    <t>mod/ouwiki:viewgroupindividuals</t>
  </si>
  <si>
    <t>View participation of all enrolled users who have access to wiki</t>
  </si>
  <si>
    <t>mod/ouwiki:viewparticipation</t>
  </si>
  <si>
    <t>Create public questionnaires</t>
  </si>
  <si>
    <t>mod/questionnaire:createpublic</t>
  </si>
  <si>
    <t>Create template questionnaires</t>
  </si>
  <si>
    <t>mod/questionnaire:createtemplates</t>
  </si>
  <si>
    <t>Delete any response</t>
  </si>
  <si>
    <t>mod/questionnaire:deleteresponses</t>
  </si>
  <si>
    <t>Download responses in a CSV file</t>
  </si>
  <si>
    <t>mod/questionnaire:downloadresponses</t>
  </si>
  <si>
    <t>Create and edit questionnaire questions</t>
  </si>
  <si>
    <t>mod/questionnaire:editquestions</t>
  </si>
  <si>
    <t>Create and edit questionnaires</t>
  </si>
  <si>
    <t>mod/questionnaire:manage</t>
  </si>
  <si>
    <t>Send message to non-respondents</t>
  </si>
  <si>
    <t>mod/questionnaire:message</t>
  </si>
  <si>
    <t>Preview questionnaires</t>
  </si>
  <si>
    <t>mod/questionnaire:preview</t>
  </si>
  <si>
    <t>Print blank questionnaire</t>
  </si>
  <si>
    <t>mod/questionnaire:printblank</t>
  </si>
  <si>
    <t>Read all responses any time</t>
  </si>
  <si>
    <t>mod/questionnaire:readallresponseanytime</t>
  </si>
  <si>
    <t>Read response summaries, subject to open times</t>
  </si>
  <si>
    <t>mod/questionnaire:readallresponses</t>
  </si>
  <si>
    <t>Read own responses</t>
  </si>
  <si>
    <t>mod/questionnaire:readownresponses</t>
  </si>
  <si>
    <t>Complete and submit a questionnaire</t>
  </si>
  <si>
    <t>mod/questionnaire:submit</t>
  </si>
  <si>
    <t>View a questionnaire</t>
  </si>
  <si>
    <t>mod/questionnaire:view</t>
  </si>
  <si>
    <t>View complete individual responses</t>
  </si>
  <si>
    <t>mod/questionnaire:viewsingleresponse</t>
  </si>
  <si>
    <t>Attempt quizzes</t>
  </si>
  <si>
    <t>mod/quiz:attempt</t>
  </si>
  <si>
    <t>Delete quiz attempts</t>
  </si>
  <si>
    <t>mod/quiz:deleteattempts</t>
  </si>
  <si>
    <t>Get a confirmation message when submitting</t>
  </si>
  <si>
    <t>mod/quiz:emailconfirmsubmission</t>
  </si>
  <si>
    <t>Get a notification message when an attempt is submitted</t>
  </si>
  <si>
    <t>mod/quiz:emailnotifysubmission</t>
  </si>
  <si>
    <t>Get a notification message when an attempt becomes overdue and needs to be submitted.</t>
  </si>
  <si>
    <t>mod/quiz:emailwarnoverdue</t>
  </si>
  <si>
    <t>Grade quizzes manually</t>
  </si>
  <si>
    <t>mod/quiz:grade</t>
  </si>
  <si>
    <t>Ignores time limit on quizzes</t>
  </si>
  <si>
    <t>mod/quiz:ignoretimelimits</t>
  </si>
  <si>
    <t>Manage quizzes</t>
  </si>
  <si>
    <t>mod/quiz:manage</t>
  </si>
  <si>
    <t>Manage quiz overrides</t>
  </si>
  <si>
    <t>mod/quiz:manageoverrides</t>
  </si>
  <si>
    <t>Preview quizzes</t>
  </si>
  <si>
    <t>mod/quiz:preview</t>
  </si>
  <si>
    <t>Regrade quiz attempts</t>
  </si>
  <si>
    <t>mod/quiz:regrade</t>
  </si>
  <si>
    <t>Review your own attempts</t>
  </si>
  <si>
    <t>mod/quiz:reviewmyattempts</t>
  </si>
  <si>
    <t>View quiz information</t>
  </si>
  <si>
    <t>mod/quiz:view</t>
  </si>
  <si>
    <t>View quiz reports</t>
  </si>
  <si>
    <t>mod/quiz:viewreports</t>
  </si>
  <si>
    <t>Appoint</t>
  </si>
  <si>
    <t>mod/scheduler:appoint</t>
  </si>
  <si>
    <t>Attend students</t>
  </si>
  <si>
    <t>mod/scheduler:attend</t>
  </si>
  <si>
    <t>Schedule appointments for other staff members</t>
  </si>
  <si>
    <t>mod/scheduler:canscheduletootherteachers</t>
  </si>
  <si>
    <t>See and browse other teachers booking</t>
  </si>
  <si>
    <t>mod/scheduler:canseeotherteachersbooking</t>
  </si>
  <si>
    <t>Drop all appointments (students)</t>
  </si>
  <si>
    <t>mod/scheduler:disengage</t>
  </si>
  <si>
    <t>Manage your slots and appointments</t>
  </si>
  <si>
    <t>mod/scheduler:manage</t>
  </si>
  <si>
    <t>Manage all scheduler data</t>
  </si>
  <si>
    <t>mod/scheduler:manageallappointments</t>
  </si>
  <si>
    <t>See other student booking on the slot</t>
  </si>
  <si>
    <t>mod/scheduler:seeotherstudentsbooking</t>
  </si>
  <si>
    <t>See other slot student's result</t>
  </si>
  <si>
    <t>mod/scheduler:seeotherstudentsresults</t>
  </si>
  <si>
    <t>Delete own attempts</t>
  </si>
  <si>
    <t>mod/scorm:deleteownresponses</t>
  </si>
  <si>
    <t>Delete SCORM attempts</t>
  </si>
  <si>
    <t>mod/scorm:deleteresponses</t>
  </si>
  <si>
    <t>Save tracks</t>
  </si>
  <si>
    <t>mod/scorm:savetrack</t>
  </si>
  <si>
    <t>Skip overview</t>
  </si>
  <si>
    <t>mod/scorm:skipview</t>
  </si>
  <si>
    <t>mod/scorm:viewreport</t>
  </si>
  <si>
    <t>View scores</t>
  </si>
  <si>
    <t>mod/scorm:viewscores</t>
  </si>
  <si>
    <t>[[subcourse:begraded]]</t>
  </si>
  <si>
    <t>mod/subcourse:begraded</t>
  </si>
  <si>
    <t>[[subcourse:fetchgrades]]</t>
  </si>
  <si>
    <t>mod/subcourse:fetchgrades</t>
  </si>
  <si>
    <t>mod/survey:download</t>
  </si>
  <si>
    <t>Respond to survey</t>
  </si>
  <si>
    <t>mod/survey:participate</t>
  </si>
  <si>
    <t>View responses</t>
  </si>
  <si>
    <t>mod/survey:readresponses</t>
  </si>
  <si>
    <t>Add a new Tab Display</t>
  </si>
  <si>
    <t>mod/tab:addinstance</t>
  </si>
  <si>
    <t>Add Turnitin Tool Activity</t>
  </si>
  <si>
    <t>mod/turnitintool:addinstance</t>
  </si>
  <si>
    <t>Grade Turnitin Tool Assignments</t>
  </si>
  <si>
    <t>mod/turnitintool:grade</t>
  </si>
  <si>
    <t>Submit to Turnitin Tool Assignments</t>
  </si>
  <si>
    <t>mod/turnitintool:submit</t>
  </si>
  <si>
    <t>View Turnitin Tool Assignments</t>
  </si>
  <si>
    <t>mod/turnitintool:view</t>
  </si>
  <si>
    <t>Create new wiki pages</t>
  </si>
  <si>
    <t>mod/wiki:createpage</t>
  </si>
  <si>
    <t>Add comments to pages</t>
  </si>
  <si>
    <t>mod/wiki:editcomment</t>
  </si>
  <si>
    <t>Save wiki pages</t>
  </si>
  <si>
    <t>mod/wiki:editpage</t>
  </si>
  <si>
    <t>Manage wiki comments</t>
  </si>
  <si>
    <t>mod/wiki:managecomment</t>
  </si>
  <si>
    <t>Manage wiki files</t>
  </si>
  <si>
    <t>mod/wiki:managefiles</t>
  </si>
  <si>
    <t>Manage wiki settings</t>
  </si>
  <si>
    <t>mod/wiki:managewiki</t>
  </si>
  <si>
    <t>Override wiki locks</t>
  </si>
  <si>
    <t>mod/wiki:overridelock</t>
  </si>
  <si>
    <t>View page comments</t>
  </si>
  <si>
    <t>mod/wiki:viewcomment</t>
  </si>
  <si>
    <t>View wiki pages</t>
  </si>
  <si>
    <t>mod/wiki:viewpage</t>
  </si>
  <si>
    <t>Allocate submissions for review</t>
  </si>
  <si>
    <t>mod/workshop:allocate</t>
  </si>
  <si>
    <t>Edit assessment forms</t>
  </si>
  <si>
    <t>mod/workshop:editdimensions</t>
  </si>
  <si>
    <t>Ignore time restrictions</t>
  </si>
  <si>
    <t>mod/workshop:ignoredeadlines</t>
  </si>
  <si>
    <t>Manage example submissions</t>
  </si>
  <si>
    <t>mod/workshop:manageexamples</t>
  </si>
  <si>
    <t>Override calculated grades</t>
  </si>
  <si>
    <t>mod/workshop:overridegrades</t>
  </si>
  <si>
    <t>Peer assess</t>
  </si>
  <si>
    <t>mod/workshop:peerassess</t>
  </si>
  <si>
    <t>Publish submissions</t>
  </si>
  <si>
    <t>mod/workshop:publishsubmissions</t>
  </si>
  <si>
    <t>Submit</t>
  </si>
  <si>
    <t>mod/workshop:submit</t>
  </si>
  <si>
    <t>Switch phase</t>
  </si>
  <si>
    <t>mod/workshop:switchphase</t>
  </si>
  <si>
    <t>View workshop</t>
  </si>
  <si>
    <t>mod/workshop:view</t>
  </si>
  <si>
    <t>View all assessments</t>
  </si>
  <si>
    <t>mod/workshop:viewallassessments</t>
  </si>
  <si>
    <t>View all submissions</t>
  </si>
  <si>
    <t>mod/workshop:viewallsubmissions</t>
  </si>
  <si>
    <t>View author names</t>
  </si>
  <si>
    <t>mod/workshop:viewauthornames</t>
  </si>
  <si>
    <t>View authors of published submissions</t>
  </si>
  <si>
    <t>mod/workshop:viewauthorpublished</t>
  </si>
  <si>
    <t>View published submissions</t>
  </si>
  <si>
    <t>mod/workshop:viewpublishedsubmissions</t>
  </si>
  <si>
    <t>View reviewer names</t>
  </si>
  <si>
    <t>mod/workshop:viewreviewernames</t>
  </si>
  <si>
    <t>Backup activities</t>
  </si>
  <si>
    <t>moodle/backup:backupactivity</t>
  </si>
  <si>
    <t>Hide/show activities</t>
  </si>
  <si>
    <t>moodle/course:activityvisibility</t>
  </si>
  <si>
    <t>Manage activities</t>
  </si>
  <si>
    <t>moodle/course:manageactivities</t>
  </si>
  <si>
    <t>View hidden activities</t>
  </si>
  <si>
    <t>moodle/course:viewhiddenactivities</t>
  </si>
  <si>
    <t>See student idnumbers while grading</t>
  </si>
  <si>
    <t>quiz/grading:viewidnumber</t>
  </si>
  <si>
    <t>See student names while grading</t>
  </si>
  <si>
    <t>quiz/grading:viewstudentnames</t>
  </si>
  <si>
    <t>View statistics report</t>
  </si>
  <si>
    <t>quiz/statistics:view</t>
  </si>
  <si>
    <t>repository/helix_media_lib:searchall ???</t>
  </si>
  <si>
    <t>repository/helix_media_lib:searchall</t>
  </si>
  <si>
    <t>repository/helix_media_lib:view ???</t>
  </si>
  <si>
    <t>repository/helix_media_lib:view</t>
  </si>
  <si>
    <t>Add a new activities block</t>
  </si>
  <si>
    <t>block/activity_modules:addinstance</t>
  </si>
  <si>
    <t>Add a new admin bookmarks block</t>
  </si>
  <si>
    <t>block/admin_bookmarks:addinstance</t>
  </si>
  <si>
    <t>[[aspirelists:addinstance]]</t>
  </si>
  <si>
    <t>block/aspirelists:addinstance</t>
  </si>
  <si>
    <t>Add a new Attendance and Punctuality Block</t>
  </si>
  <si>
    <t>block/attendance_punctuality:addinstance</t>
  </si>
  <si>
    <t>Add a new My latest badges block</t>
  </si>
  <si>
    <t>block/badges:addinstance</t>
  </si>
  <si>
    <t>Add a new blog menu block</t>
  </si>
  <si>
    <t>block/blog_menu:addinstance</t>
  </si>
  <si>
    <t>Add a new recent blog entries block</t>
  </si>
  <si>
    <t>block/blog_recent:addinstance</t>
  </si>
  <si>
    <t>Add a new blog tags block</t>
  </si>
  <si>
    <t>block/blog_tags:addinstance</t>
  </si>
  <si>
    <t>Add a new calendar block</t>
  </si>
  <si>
    <t>block/calendar_month:addinstance</t>
  </si>
  <si>
    <t>Add a new upcoming events block</t>
  </si>
  <si>
    <t>block/calendar_upcoming:addinstance</t>
  </si>
  <si>
    <t>Add Checklist block to My Moodle page</t>
  </si>
  <si>
    <t>block/checklist:addinstance</t>
  </si>
  <si>
    <t>Add a new comments block</t>
  </si>
  <si>
    <t>block/comments:addinstance</t>
  </si>
  <si>
    <t>Add a new community finder block</t>
  </si>
  <si>
    <t>block/community:addinstance</t>
  </si>
  <si>
    <t>Add a new course completion status block</t>
  </si>
  <si>
    <t>block/completionstatus:addinstance</t>
  </si>
  <si>
    <t>Add a new Contact Lesoco Block</t>
  </si>
  <si>
    <t>block/contact_lesoco:addinstance</t>
  </si>
  <si>
    <t>Add a new course contents block</t>
  </si>
  <si>
    <t>block/course_contents:addinstance</t>
  </si>
  <si>
    <t>Add a new courses block</t>
  </si>
  <si>
    <t>block/course_list:addinstance</t>
  </si>
  <si>
    <t>Add a new course overview block</t>
  </si>
  <si>
    <t>block/course_overview:addinstance</t>
  </si>
  <si>
    <t>Add a new course overview campus block</t>
  </si>
  <si>
    <t>block/course_overview_campus:addinstance</t>
  </si>
  <si>
    <t>Add a new Course Reports Block</t>
  </si>
  <si>
    <t>block/course_reports:addinstance</t>
  </si>
  <si>
    <t>Add a new course/site summary block</t>
  </si>
  <si>
    <t>block/course_summary:addinstance</t>
  </si>
  <si>
    <t>Add a new course tree block</t>
  </si>
  <si>
    <t>block/course_tree_list:addinstance</t>
  </si>
  <si>
    <t>[[cpfusion:addinstance]]</t>
  </si>
  <si>
    <t>block/cpfusion:addinstance</t>
  </si>
  <si>
    <t>View EchoCenter as EchoSystem Instructor</t>
  </si>
  <si>
    <t>block/echo360_configuration:viewasinstructor</t>
  </si>
  <si>
    <t>View EchoCenter as Student</t>
  </si>
  <si>
    <t>block/echo360_configuration:viewasstudent</t>
  </si>
  <si>
    <t>Add a new Blackboard Collaborate block</t>
  </si>
  <si>
    <t>block/elluminate:addinstance</t>
  </si>
  <si>
    <t>Add EQUELLA search block</t>
  </si>
  <si>
    <t>block/equella_search:addinstance</t>
  </si>
  <si>
    <t>[[equella_search:search]]</t>
  </si>
  <si>
    <t>block/equella_search:search</t>
  </si>
  <si>
    <t>View EQUELLA search block</t>
  </si>
  <si>
    <t>block/equella_search:view</t>
  </si>
  <si>
    <t>[[equella_tasks:addinstance]]</t>
  </si>
  <si>
    <t>block/equella_tasks:addinstance</t>
  </si>
  <si>
    <t>Add a new feedback block</t>
  </si>
  <si>
    <t>block/feedback:addinstance</t>
  </si>
  <si>
    <t>Add new formal languages block to current module</t>
  </si>
  <si>
    <t>block/formal_langs:addinstance</t>
  </si>
  <si>
    <t>Can add new formal language</t>
  </si>
  <si>
    <t>block/formal_langs:addlanguage</t>
  </si>
  <si>
    <t>Can change language visibility in forms</t>
  </si>
  <si>
    <t>block/formal_langs:changelanguagevisibility</t>
  </si>
  <si>
    <t>Can edit all registered formal languages (except for system)</t>
  </si>
  <si>
    <t>block/formal_langs:editalllanguages</t>
  </si>
  <si>
    <t>Can edit only own created formal languages</t>
  </si>
  <si>
    <t>block/formal_langs:editownlanguages</t>
  </si>
  <si>
    <t>Can view formal language list</t>
  </si>
  <si>
    <t>block/formal_langs:viewlanguagelist</t>
  </si>
  <si>
    <t>Add a new random glossary entry block</t>
  </si>
  <si>
    <t>block/glossary_random:addinstance</t>
  </si>
  <si>
    <t>[[gsb:addinstance]]</t>
  </si>
  <si>
    <t>block/gsb:addinstance</t>
  </si>
  <si>
    <t>[[gsb:myaddinstance]]</t>
  </si>
  <si>
    <t>block/gsb:myaddinstance</t>
  </si>
  <si>
    <t>View the Course Medal</t>
  </si>
  <si>
    <t>block/gsb:viewgsb</t>
  </si>
  <si>
    <t>Add a new HTML block</t>
  </si>
  <si>
    <t>block/html:addinstance</t>
  </si>
  <si>
    <t>Add a new ILP block</t>
  </si>
  <si>
    <t>block/ilp:addinstance</t>
  </si>
  <si>
    <t>Delete a report entry</t>
  </si>
  <si>
    <t>block/ilp:deletereport</t>
  </si>
  <si>
    <t>Edit a report entry</t>
  </si>
  <si>
    <t>block/ilp:editreport</t>
  </si>
  <si>
    <t>View others ilp</t>
  </si>
  <si>
    <t>block/ilp:viewotherilp</t>
  </si>
  <si>
    <t>Add a Jump To Menu</t>
  </si>
  <si>
    <t>block/jumpto_menu:addinstance</t>
  </si>
  <si>
    <t>Add a new login block</t>
  </si>
  <si>
    <t>block/login:addinstance</t>
  </si>
  <si>
    <t>Add a new Mass Actions block</t>
  </si>
  <si>
    <t>block/massaction:addinstance</t>
  </si>
  <si>
    <t>Use the Mass Actions block</t>
  </si>
  <si>
    <t>block/massaction:use</t>
  </si>
  <si>
    <t>Add a new mentees block</t>
  </si>
  <si>
    <t>block/mentees:addinstance</t>
  </si>
  <si>
    <t>Add a new messages block</t>
  </si>
  <si>
    <t>block/messages:addinstance</t>
  </si>
  <si>
    <t>[[mnet_enrol:addinstance]]</t>
  </si>
  <si>
    <t>block/mnet_enrol:addinstance</t>
  </si>
  <si>
    <t>Add a new network servers block</t>
  </si>
  <si>
    <t>block/mnet_hosts:addinstance</t>
  </si>
  <si>
    <t>Add a new Moodletxt block</t>
  </si>
  <si>
    <t>block/moodletxt:addinstance</t>
  </si>
  <si>
    <t>Create Addressbooks</t>
  </si>
  <si>
    <t>block/moodletxt:addressbooks</t>
  </si>
  <si>
    <t>Create Global Addressbooks</t>
  </si>
  <si>
    <t>block/moodletxt:globaladdressbooks</t>
  </si>
  <si>
    <t>Send Messages</t>
  </si>
  <si>
    <t>block/moodletxt:sendmessages</t>
  </si>
  <si>
    <t>View user statistics</t>
  </si>
  <si>
    <t>block/moodletxt:viewstats</t>
  </si>
  <si>
    <t>Add MRBS block to My Moodle page</t>
  </si>
  <si>
    <t>block/mrbs:addinstance</t>
  </si>
  <si>
    <t>Add a new logged in user block</t>
  </si>
  <si>
    <t>block/myprofile:addinstance</t>
  </si>
  <si>
    <t>Add a new navigation block</t>
  </si>
  <si>
    <t>block/navigation:addinstance</t>
  </si>
  <si>
    <t>Add a new latest news block</t>
  </si>
  <si>
    <t>block/news_items:addinstance</t>
  </si>
  <si>
    <t>Add a new online users block</t>
  </si>
  <si>
    <t>block/online_users:addinstance</t>
  </si>
  <si>
    <t>Add a new people block</t>
  </si>
  <si>
    <t>block/participants:addinstance</t>
  </si>
  <si>
    <t>[[print_reports:viewlist]]</t>
  </si>
  <si>
    <t>block/print_reports:viewlist</t>
  </si>
  <si>
    <t>Add a new private files block</t>
  </si>
  <si>
    <t>block/private_files:addinstance</t>
  </si>
  <si>
    <t>Add a new Progress Bar block</t>
  </si>
  <si>
    <t>block/progress:addinstance</t>
  </si>
  <si>
    <t>Add a new Quickmail block</t>
  </si>
  <si>
    <t>block/quickmail:addinstance</t>
  </si>
  <si>
    <t>Add a new QuickScan instance</t>
  </si>
  <si>
    <t>block/quickscan:addinstance</t>
  </si>
  <si>
    <t>Add a new quiz results block</t>
  </si>
  <si>
    <t>block/quiz_results:addinstance</t>
  </si>
  <si>
    <t>Add a new recent activity block</t>
  </si>
  <si>
    <t>block/recent_activity:addinstance</t>
  </si>
  <si>
    <t>Add a new remote RSS feeds block</t>
  </si>
  <si>
    <t>block/rss_client:addinstance</t>
  </si>
  <si>
    <t>Manage any RSS feeds</t>
  </si>
  <si>
    <t>block/rss_client:manageanyfeeds</t>
  </si>
  <si>
    <t>Manage own RSS feeds</t>
  </si>
  <si>
    <t>block/rss_client:manageownfeeds</t>
  </si>
  <si>
    <t>Add a new search forums block</t>
  </si>
  <si>
    <t>block/search_forums:addinstance</t>
  </si>
  <si>
    <t>Add a new section links block</t>
  </si>
  <si>
    <t>block/section_links:addinstance</t>
  </si>
  <si>
    <t>Add a new self completion block</t>
  </si>
  <si>
    <t>block/selfcompletion:addinstance</t>
  </si>
  <si>
    <t>Add a new administration block</t>
  </si>
  <si>
    <t>block/settings:addinstance</t>
  </si>
  <si>
    <t>[[sgul_navigation:addinstance]]</t>
  </si>
  <si>
    <t>block/sgul_navigation:addinstance</t>
  </si>
  <si>
    <t>Add a new Sharing Cart block</t>
  </si>
  <si>
    <t>block/sharing_cart:addinstance</t>
  </si>
  <si>
    <t>[[side_bar:addinstance]]</t>
  </si>
  <si>
    <t>block/side_bar:addinstance</t>
  </si>
  <si>
    <t>Add a new main menu block</t>
  </si>
  <si>
    <t>block/site_main_menu:addinstance</t>
  </si>
  <si>
    <t>Add a new slideshow block</t>
  </si>
  <si>
    <t>block/slideshow:addinstance</t>
  </si>
  <si>
    <t>Add a new social activities block</t>
  </si>
  <si>
    <t>block/social_activities:addinstance</t>
  </si>
  <si>
    <t>Add a new tags block</t>
  </si>
  <si>
    <t>block/tags:addinstance</t>
  </si>
  <si>
    <t>Add a new flickr block</t>
  </si>
  <si>
    <t>block/tag_flickr:addinstance</t>
  </si>
  <si>
    <t>Add a new youtube block</t>
  </si>
  <si>
    <t>block/tag_youtube:addinstance</t>
  </si>
  <si>
    <t>Edit a block's settings</t>
  </si>
  <si>
    <t>moodle/block:edit</t>
  </si>
  <si>
    <t>Manage blocks on a page</t>
  </si>
  <si>
    <t>moodle/site:manageblocks</t>
  </si>
  <si>
    <t>Sub-Administrator</t>
  </si>
  <si>
    <t>Manager</t>
  </si>
  <si>
    <t>Course creator</t>
  </si>
  <si>
    <t>CALT</t>
  </si>
  <si>
    <t>Course Administrator</t>
  </si>
  <si>
    <t>Participant</t>
  </si>
  <si>
    <t>UCL Support Staff</t>
  </si>
  <si>
    <t>Enrolment keyholder</t>
  </si>
  <si>
    <t>Service Desk Administrator</t>
  </si>
  <si>
    <t>questionsharer</t>
  </si>
  <si>
    <t>Overviewing Advisor</t>
  </si>
  <si>
    <t>Report Reader</t>
  </si>
  <si>
    <t>Report Writer</t>
  </si>
  <si>
    <t>[[course_menu:myaddinstance]]</t>
  </si>
  <si>
    <t>block/course_menu:myaddinstance</t>
  </si>
  <si>
    <t>block/email_list:createfolder ???</t>
  </si>
  <si>
    <t>block/email_list:createfolder</t>
  </si>
  <si>
    <t>block/email_list:editsettings ???</t>
  </si>
  <si>
    <t>block/email_list:editsettings</t>
  </si>
  <si>
    <t>block/email_list:sendmessage ???</t>
  </si>
  <si>
    <t>block/email_list:sendmessage</t>
  </si>
  <si>
    <t>Add a new Free Text block to My home</t>
  </si>
  <si>
    <t>[[library_resources:myaddinstance]]</t>
  </si>
  <si>
    <t>block/library_resources:myaddinstance</t>
  </si>
  <si>
    <t>[[library_search:myaddinstance]]</t>
  </si>
  <si>
    <t>block/library_search:myaddinstance</t>
  </si>
  <si>
    <t>Add a new Portico Enrolments mapping block to my home</t>
  </si>
  <si>
    <t>block/portico_enrolments:myaddinstance</t>
  </si>
  <si>
    <t>Add a new Quickmail block to the /my page</t>
  </si>
  <si>
    <t>[[timetable:myaddinstance]]</t>
  </si>
  <si>
    <t>block/timetable:myaddinstance</t>
  </si>
  <si>
    <t>[[imsenterprise:unenrol]]</t>
  </si>
  <si>
    <t>enrol/imsenterprise:unenrol</t>
  </si>
  <si>
    <t>enrol/imsenterprise:unenrolself</t>
  </si>
  <si>
    <t>Enrol users to a course by CSV file</t>
  </si>
  <si>
    <t>local/mass_enroll:enrol</t>
  </si>
  <si>
    <t>Unenrol users from a course by CSV file</t>
  </si>
  <si>
    <t>local/mass_enroll:unenrol</t>
  </si>
  <si>
    <t>Upload Files to Repository</t>
  </si>
  <si>
    <t>local/repositoryfileupload:upload</t>
  </si>
  <si>
    <t>Create Test User Accounts</t>
  </si>
  <si>
    <t>local/testaccount_automation:create</t>
  </si>
  <si>
    <t>Add a new resource list</t>
  </si>
  <si>
    <t>mod/aspirelist:addinstance</t>
  </si>
  <si>
    <t>[[hotquestion:addinstance]]</t>
  </si>
  <si>
    <t>mod/hotquestion:addinstance</t>
  </si>
  <si>
    <t>[[slideshow:addinstance]]</t>
  </si>
  <si>
    <t>mod/slideshow:addinstance</t>
  </si>
  <si>
    <t>View resource list content</t>
  </si>
  <si>
    <t>mod/aspirelist:view</t>
  </si>
  <si>
    <t>Ask questions</t>
  </si>
  <si>
    <t>mod/hotquestion:ask</t>
  </si>
  <si>
    <t>Manage questions</t>
  </si>
  <si>
    <t>mod/hotquestion:manage</t>
  </si>
  <si>
    <t>View questions</t>
  </si>
  <si>
    <t>mod/hotquestion:view</t>
  </si>
  <si>
    <t>Vote on questions</t>
  </si>
  <si>
    <t>mod/hotquestion:vote</t>
  </si>
  <si>
    <t>Reveal your identity in an anonymous forum</t>
  </si>
  <si>
    <t>[[slideshow:manage]]</t>
  </si>
  <si>
    <t>mod/slideshow:manage</t>
  </si>
  <si>
    <t>[[slideshow:preview]]</t>
  </si>
  <si>
    <t>mod/slideshow:preview</t>
  </si>
  <si>
    <t>[[slideshow:view]]</t>
  </si>
  <si>
    <t>mod/slideshow:view</t>
  </si>
  <si>
    <t>mod/turnitintooltwo:addinstance</t>
  </si>
  <si>
    <t>mod/turnitintooltwo:grade</t>
  </si>
  <si>
    <t>Read Turnitin Tool Assignments</t>
  </si>
  <si>
    <t>mod/turnitintooltwo:read</t>
  </si>
  <si>
    <t>mod/turnitintooltwo:submit</t>
  </si>
  <si>
    <t>mod/turnitintooltwo:view</t>
  </si>
  <si>
    <t>Add a new configurable reports block</t>
  </si>
  <si>
    <t>block/configurable_reports:addinstance</t>
  </si>
  <si>
    <t>Manage own reports</t>
  </si>
  <si>
    <t>block/configurable_reports:manageownreports</t>
  </si>
  <si>
    <t>Manage reports</t>
  </si>
  <si>
    <t>block/configurable_reports:managereports</t>
  </si>
  <si>
    <t>Manage SQL reports</t>
  </si>
  <si>
    <t>block/configurable_reports:managesqlreports</t>
  </si>
  <si>
    <t>Add a new configurable reports block to MY HOME page</t>
  </si>
  <si>
    <t>block/configurable_reports:myaddinstance</t>
  </si>
  <si>
    <t>block/configurable_reports:viewreports</t>
  </si>
  <si>
    <t>[[course_menu:addinstance]]</t>
  </si>
  <si>
    <t>block/course_menu:addinstance</t>
  </si>
  <si>
    <t>Add a new Course Visibility block</t>
  </si>
  <si>
    <t>block/course_visibility:addinstance</t>
  </si>
  <si>
    <t>View settings link</t>
  </si>
  <si>
    <t>block/course_visibility:viewsettingslink</t>
  </si>
  <si>
    <t>block/echo360_configuration:viewasinstructor ???</t>
  </si>
  <si>
    <t>block/echo360_configuration:viewasstudent ???</t>
  </si>
  <si>
    <t>Add a new Free Text block</t>
  </si>
  <si>
    <t>[[library_resources:addinstance]]</t>
  </si>
  <si>
    <t>block/library_resources:addinstance</t>
  </si>
  <si>
    <t>[[library_search:addinstance]]</t>
  </si>
  <si>
    <t>block/library_search:addinstance</t>
  </si>
  <si>
    <t>Add a new Portico Enrolments mapping block:</t>
  </si>
  <si>
    <t>block/portico_enrolments:addinstance</t>
  </si>
  <si>
    <t>Visibility of mapping editor within Portico Enrolments block</t>
  </si>
  <si>
    <t>block/portico_enrolments:mappingeditor</t>
  </si>
  <si>
    <t>Add a new Quickmail block to a course page</t>
  </si>
  <si>
    <t>Add a new settings block</t>
  </si>
  <si>
    <t>[[timetable:addinstance]]</t>
  </si>
  <si>
    <t>block/timetable:addinstance</t>
  </si>
  <si>
    <t>Sort order</t>
  </si>
  <si>
    <t>Description</t>
  </si>
  <si>
    <t>IOE Capabilities</t>
  </si>
  <si>
    <t>UCL Capabilities</t>
  </si>
  <si>
    <t>Missing from IOE</t>
  </si>
  <si>
    <t>Missing from UCL</t>
  </si>
  <si>
    <t>Capabilities in both systems</t>
  </si>
  <si>
    <t>Only IOE</t>
  </si>
  <si>
    <t>Only UCL</t>
  </si>
  <si>
    <t>UCL Cap available at IOE</t>
  </si>
  <si>
    <t>IOE Cap available at UCL</t>
  </si>
  <si>
    <t>Cap available in both</t>
  </si>
  <si>
    <t>Short name</t>
  </si>
  <si>
    <t>Controls site settings, user management, and role assignment, as well as course settings.</t>
  </si>
  <si>
    <t>admin</t>
  </si>
  <si>
    <t>At site level can manage all courses, categories, users and home page; at category level they can manage all courses in assigned category.</t>
  </si>
  <si>
    <t>course_admin</t>
  </si>
  <si>
    <t>Course creators can create new courses.</t>
  </si>
  <si>
    <t>coursecreator</t>
  </si>
  <si>
    <t>enrol_students</t>
  </si>
  <si>
    <t>At site level can access courses and users, and log in as other users.</t>
  </si>
  <si>
    <t>it_support</t>
  </si>
  <si>
    <t>At site level can access all courses and upload resources.</t>
  </si>
  <si>
    <t>media_admin</t>
  </si>
  <si>
    <t>library_admin</t>
  </si>
  <si>
    <t>A flexible role for any users who require access to every course but no editing privileges.</t>
  </si>
  <si>
    <t>viewer</t>
  </si>
  <si>
    <t>Can do anything within a course, and is responsible for managing course settings and resets.</t>
  </si>
  <si>
    <t>course_leader</t>
  </si>
  <si>
    <t>prog_admin</t>
  </si>
  <si>
    <t>Teachers can do anything within a course, including changing the activities and grading students.</t>
  </si>
  <si>
    <t>editingteacher</t>
  </si>
  <si>
    <t>Report Dashboard Viewers can view Student Assessment Report and access their students grades and feedbacks.</t>
  </si>
  <si>
    <t>report_viewer</t>
  </si>
  <si>
    <t>Non-editing teachers can teach in courses and grade students, but may not alter activities.</t>
  </si>
  <si>
    <t>teacher</t>
  </si>
  <si>
    <t>Students generally have fewer privileges within a course.</t>
  </si>
  <si>
    <t>student</t>
  </si>
  <si>
    <t>Guests have minimal privileges and usually can not enter text anywhere.</t>
  </si>
  <si>
    <t>guest</t>
  </si>
  <si>
    <t>All logged in users.</t>
  </si>
  <si>
    <t>user</t>
  </si>
  <si>
    <t>All logged in users in the frontpage course.</t>
  </si>
  <si>
    <t>frontpage</t>
  </si>
  <si>
    <t>Used in a module context to allow non-editors to moderate course forums.</t>
  </si>
  <si>
    <t>forum_moderator</t>
  </si>
  <si>
    <t>read only role for upgrade.</t>
  </si>
  <si>
    <t>ror</t>
  </si>
  <si>
    <t>The presenter of a meeting and can present content, share a screen, send text messages, moderate questions, create text notes, broadcast audio and video, and push content from web links</t>
  </si>
  <si>
    <t>adobeconnectpresenter</t>
  </si>
  <si>
    <t>Can view, but cannot modify any of the meeting settings</t>
  </si>
  <si>
    <t>adobeconnectparticipant</t>
  </si>
  <si>
    <t>The host can give other users privileges, start and stop a meeting in addition to what a persenter can do</t>
  </si>
  <si>
    <t>adobeconnecthost</t>
  </si>
  <si>
    <t>Users with this role (at the system level) can view the MRBS timetable, but cannot make any changes</t>
  </si>
  <si>
    <t>mrbsviewer</t>
  </si>
  <si>
    <t>Users with this role (at the system level) can make bookings using MRBS and edit their own bookings</t>
  </si>
  <si>
    <t>mrbseditor</t>
  </si>
  <si>
    <t>Users with this role (at the system level) can fully configure an MRBS timetable: create areas and rooms, edit other people's bookings, force bookings and double-book rooms</t>
  </si>
  <si>
    <t>mrbsadmin</t>
  </si>
  <si>
    <t>Guest accounts to not allow change of password</t>
  </si>
  <si>
    <t>guestunabletochangepassword</t>
  </si>
  <si>
    <t>Add-on role with privileges to enrol students, and only students. Only works on course or category level.</t>
  </si>
  <si>
    <t>Role</t>
  </si>
  <si>
    <t>IOE</t>
  </si>
  <si>
    <t>UCL</t>
  </si>
  <si>
    <t>A site-wide admin role, only for ISD staff but for ensuring we can use Moodle like Site-Admins used to.</t>
  </si>
  <si>
    <t>subadmin</t>
  </si>
  <si>
    <t>Managers can access course and modify them, they usually do not participate in courses.</t>
  </si>
  <si>
    <t>manager</t>
  </si>
  <si>
    <t>Course creators can create new courses. As this role enables the user to delete courses, only one course creator is allowed per department. Before being assigned course creator rights, the user must attend a briefing session with a member of the Learning Technologies Support Service (LTSS), who will explain how to create new courses using either a departmental template or the standard UCL academic module template. If a course creator needs to teach or administer a course, they must assign themselves as a tutor or course administrator first.</t>
  </si>
  <si>
    <t>CALT team members can view courses within the School they are responsible for supporting, but may not grade students, edit content or alter activities.</t>
  </si>
  <si>
    <t>calt</t>
  </si>
  <si>
    <t>Course Administrators can do anything within a course, including enrolling students, editing content, adding activities and grading students. This role is identical to the tutor role, but with an alternative name. Used for non-academic staff who require edit access.</t>
  </si>
  <si>
    <t>courseadmin</t>
  </si>
  <si>
    <t>Tutors can do anything within a course, including enrolling students, editing content, adding activities and grading students. This role is identical to the Course Administrator role, but with an alternative name. Used for academic staff who require edit access.</t>
  </si>
  <si>
    <t>Non-editing tutors can teach in courses and grade students, but may not edit content or alter activities. It is used for academic staff, external examiners and Teaching Assistants who can grade student work but DO NOT require edit access.</t>
  </si>
  <si>
    <t>Students can view course content, participate in activities, submit coursework and view their own grades. This role is identical to the Participant role, but with an alternative name. It is used for students currently enrolled in a course.</t>
  </si>
  <si>
    <t>Participants can view course content, participate in activities, submit coursework and view their own grades. This role is identical to the student role, but with an alternative name. It is used for voluntary membership clubs, networks, non-academic Moodle courses and for adding past students to academic Moodle courses.</t>
  </si>
  <si>
    <t>participant</t>
  </si>
  <si>
    <t>UCL Support Staff have read-only access and are NOT able to grade student work or see hidden activities and sections. It is used for Subject Librarians, Faculty Information Support Officers, Personal Tutors, Teaching Assistants and External Examiners who do not need to grade student work.</t>
  </si>
  <si>
    <t>supportstaff</t>
  </si>
  <si>
    <t>Guests have minimal privileges, including not being able to see participants lists or user profiles. They have read-only access and cannot participate in any activities. Guests do not need to log in to UCL Moodle to access courses that have been made available to guests, either with an enrolment key (password) or without one.</t>
  </si>
  <si>
    <t>All logged in users. All UCL staff and students will automatically be assigned this role as soon as they log in to Moodle.</t>
  </si>
  <si>
    <t>The enrolment key holder has no permissions and only exists for the purpose of assigning a named enrolment key holder in multi-tutor courses that students will be prompted to contact should they require the enrolment key (password) to access the course. This role may only be assigned to one user per course. If more than one user is assigned the first person in the list will be used. This role is usually assigned to the administrator or academic responsible for communicating the enrolment key to students.</t>
  </si>
  <si>
    <t>keyholder</t>
  </si>
  <si>
    <t>Service Desk Administrators have Course Creator rights and additionally can update user profile details (e.g. names).</t>
  </si>
  <si>
    <t>servicedeskadmin</t>
  </si>
  <si>
    <t>A role that allows questions to be shared amongst courses in a category. To assign this role, go to the category and assign roles from the Settings menu. This will allows tutors in a department to share their quiz questions.</t>
  </si>
  <si>
    <t>role created to give non-editing teaching rights at a system level to ELE staff.</t>
  </si>
  <si>
    <t>overviewingadvisor</t>
  </si>
  <si>
    <t>Staff assigned to this role are able to read the reports that are written using the block_configurable_reports.</t>
  </si>
  <si>
    <t>report_reader</t>
  </si>
  <si>
    <t>Staff assigned to this role are able to write reports using the block_configurable_reports.</t>
  </si>
  <si>
    <t>report_writer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</si>
</sst>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2"/>
      <color theme="1"/>
      <name val="Calibri"/>
      <family val="2"/>
      <scheme val="minor"/>
    </font>
    <font>
      <b/>
      <sz val="12"/>
      <color theme="1"/>
      <name val="Calibri"/>
      <family val="2"/>
      <scheme val="minor"/>
    </font>
    <font>
      <u/>
      <sz val="12"/>
      <color theme="1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17">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0" borderId="0" xfId="0" applyAlignment="1">
      <alignment textRotation="60"/>
    </xf>
    <xf numFmtId="0" fontId="1" fillId="0" borderId="0" xfId="0" applyFont="1"/>
    <xf numFmtId="0" fontId="1" fillId="2" borderId="0" xfId="0" applyFont="1" applyFill="1"/>
    <xf numFmtId="0" fontId="0" fillId="2" borderId="0" xfId="0" applyFill="1"/>
  </cellXfs>
  <cellStyles count="117">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Normal" xfId="0" builtinId="0"/>
  </cellStyles>
  <dxfs count="6">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9"/>
  <sheetViews>
    <sheetView tabSelected="1" workbookViewId="0"/>
  </sheetViews>
  <sheetFormatPr baseColWidth="10" defaultRowHeight="15" x14ac:dyDescent="0"/>
  <cols>
    <col min="1" max="1" width="28.33203125" bestFit="1" customWidth="1"/>
    <col min="2" max="2" width="26.6640625" bestFit="1" customWidth="1"/>
    <col min="3" max="3" width="155.33203125" bestFit="1" customWidth="1"/>
  </cols>
  <sheetData>
    <row r="1" spans="1:3" s="4" customFormat="1">
      <c r="A1" s="3" t="s">
        <v>1866</v>
      </c>
    </row>
    <row r="2" spans="1:3" s="4" customFormat="1">
      <c r="A2" s="3" t="s">
        <v>1865</v>
      </c>
      <c r="B2" s="3" t="s">
        <v>1814</v>
      </c>
      <c r="C2" s="3" t="s">
        <v>1803</v>
      </c>
    </row>
    <row r="3" spans="1:3">
      <c r="A3" t="s">
        <v>249</v>
      </c>
      <c r="B3" t="s">
        <v>1816</v>
      </c>
      <c r="C3" t="s">
        <v>1815</v>
      </c>
    </row>
    <row r="4" spans="1:3">
      <c r="A4" t="s">
        <v>250</v>
      </c>
      <c r="B4" t="s">
        <v>1818</v>
      </c>
      <c r="C4" t="s">
        <v>1817</v>
      </c>
    </row>
    <row r="5" spans="1:3">
      <c r="A5" t="s">
        <v>251</v>
      </c>
      <c r="B5" t="s">
        <v>1820</v>
      </c>
      <c r="C5" t="s">
        <v>1819</v>
      </c>
    </row>
    <row r="6" spans="1:3">
      <c r="A6" t="s">
        <v>252</v>
      </c>
      <c r="B6" t="s">
        <v>1821</v>
      </c>
      <c r="C6" t="s">
        <v>1864</v>
      </c>
    </row>
    <row r="7" spans="1:3">
      <c r="A7" t="s">
        <v>253</v>
      </c>
      <c r="B7" t="s">
        <v>1823</v>
      </c>
      <c r="C7" t="s">
        <v>1822</v>
      </c>
    </row>
    <row r="8" spans="1:3">
      <c r="A8" t="s">
        <v>254</v>
      </c>
      <c r="B8" t="s">
        <v>1825</v>
      </c>
      <c r="C8" t="s">
        <v>1824</v>
      </c>
    </row>
    <row r="9" spans="1:3">
      <c r="A9" t="s">
        <v>255</v>
      </c>
      <c r="B9" t="s">
        <v>1826</v>
      </c>
      <c r="C9" t="s">
        <v>1824</v>
      </c>
    </row>
    <row r="10" spans="1:3">
      <c r="A10" t="s">
        <v>256</v>
      </c>
      <c r="B10" t="s">
        <v>1828</v>
      </c>
      <c r="C10" t="s">
        <v>1827</v>
      </c>
    </row>
    <row r="11" spans="1:3">
      <c r="A11" t="s">
        <v>257</v>
      </c>
      <c r="B11" t="s">
        <v>1830</v>
      </c>
      <c r="C11" t="s">
        <v>1829</v>
      </c>
    </row>
    <row r="12" spans="1:3">
      <c r="A12" t="s">
        <v>258</v>
      </c>
      <c r="B12" t="s">
        <v>1831</v>
      </c>
      <c r="C12" t="s">
        <v>1829</v>
      </c>
    </row>
    <row r="13" spans="1:3">
      <c r="A13" t="s">
        <v>259</v>
      </c>
      <c r="B13" t="s">
        <v>1833</v>
      </c>
      <c r="C13" t="s">
        <v>1832</v>
      </c>
    </row>
    <row r="14" spans="1:3">
      <c r="A14" t="s">
        <v>260</v>
      </c>
      <c r="B14" t="s">
        <v>1835</v>
      </c>
      <c r="C14" t="s">
        <v>1834</v>
      </c>
    </row>
    <row r="15" spans="1:3">
      <c r="A15" t="s">
        <v>261</v>
      </c>
      <c r="B15" t="s">
        <v>1837</v>
      </c>
      <c r="C15" t="s">
        <v>1836</v>
      </c>
    </row>
    <row r="16" spans="1:3">
      <c r="A16" t="s">
        <v>262</v>
      </c>
      <c r="B16" t="s">
        <v>1839</v>
      </c>
      <c r="C16" t="s">
        <v>1838</v>
      </c>
    </row>
    <row r="17" spans="1:3">
      <c r="A17" t="s">
        <v>263</v>
      </c>
      <c r="B17" t="s">
        <v>1841</v>
      </c>
      <c r="C17" t="s">
        <v>1840</v>
      </c>
    </row>
    <row r="18" spans="1:3">
      <c r="A18" t="s">
        <v>264</v>
      </c>
      <c r="B18" t="s">
        <v>1843</v>
      </c>
      <c r="C18" t="s">
        <v>1842</v>
      </c>
    </row>
    <row r="19" spans="1:3">
      <c r="A19" t="s">
        <v>265</v>
      </c>
      <c r="B19" t="s">
        <v>1845</v>
      </c>
      <c r="C19" t="s">
        <v>1844</v>
      </c>
    </row>
    <row r="20" spans="1:3">
      <c r="A20" t="s">
        <v>266</v>
      </c>
      <c r="B20" t="s">
        <v>1847</v>
      </c>
      <c r="C20" t="s">
        <v>1846</v>
      </c>
    </row>
    <row r="21" spans="1:3">
      <c r="A21" t="s">
        <v>267</v>
      </c>
      <c r="B21" t="s">
        <v>1849</v>
      </c>
      <c r="C21" t="s">
        <v>1848</v>
      </c>
    </row>
    <row r="22" spans="1:3">
      <c r="A22" t="s">
        <v>268</v>
      </c>
      <c r="B22" t="s">
        <v>1851</v>
      </c>
      <c r="C22" t="s">
        <v>1850</v>
      </c>
    </row>
    <row r="23" spans="1:3">
      <c r="A23" t="s">
        <v>269</v>
      </c>
      <c r="B23" t="s">
        <v>1853</v>
      </c>
      <c r="C23" t="s">
        <v>1852</v>
      </c>
    </row>
    <row r="24" spans="1:3">
      <c r="A24" t="s">
        <v>270</v>
      </c>
      <c r="B24" t="s">
        <v>1855</v>
      </c>
      <c r="C24" t="s">
        <v>1854</v>
      </c>
    </row>
    <row r="25" spans="1:3">
      <c r="A25" t="s">
        <v>271</v>
      </c>
      <c r="B25" t="s">
        <v>1857</v>
      </c>
      <c r="C25" t="s">
        <v>1856</v>
      </c>
    </row>
    <row r="26" spans="1:3">
      <c r="A26" t="s">
        <v>272</v>
      </c>
      <c r="B26" t="s">
        <v>1859</v>
      </c>
      <c r="C26" t="s">
        <v>1858</v>
      </c>
    </row>
    <row r="27" spans="1:3">
      <c r="A27" t="s">
        <v>273</v>
      </c>
      <c r="B27" t="s">
        <v>1861</v>
      </c>
      <c r="C27" t="s">
        <v>1860</v>
      </c>
    </row>
    <row r="28" spans="1:3">
      <c r="A28" t="s">
        <v>274</v>
      </c>
      <c r="B28" t="s">
        <v>1863</v>
      </c>
      <c r="C28" t="s">
        <v>1862</v>
      </c>
    </row>
    <row r="30" spans="1:3" s="4" customFormat="1">
      <c r="A30" s="3" t="s">
        <v>1867</v>
      </c>
    </row>
    <row r="31" spans="1:3" s="4" customFormat="1">
      <c r="A31" s="3" t="s">
        <v>1865</v>
      </c>
      <c r="B31" s="3" t="s">
        <v>1814</v>
      </c>
      <c r="C31" s="3" t="s">
        <v>1803</v>
      </c>
    </row>
    <row r="32" spans="1:3">
      <c r="A32" t="s">
        <v>1699</v>
      </c>
      <c r="B32" t="s">
        <v>1869</v>
      </c>
      <c r="C32" t="s">
        <v>1868</v>
      </c>
    </row>
    <row r="33" spans="1:3">
      <c r="A33" t="s">
        <v>1700</v>
      </c>
      <c r="B33" t="s">
        <v>1871</v>
      </c>
      <c r="C33" t="s">
        <v>1870</v>
      </c>
    </row>
    <row r="34" spans="1:3">
      <c r="A34" t="s">
        <v>1701</v>
      </c>
      <c r="B34" t="s">
        <v>1820</v>
      </c>
      <c r="C34" t="s">
        <v>1872</v>
      </c>
    </row>
    <row r="35" spans="1:3">
      <c r="A35" t="s">
        <v>1702</v>
      </c>
      <c r="B35" t="s">
        <v>1874</v>
      </c>
      <c r="C35" t="s">
        <v>1873</v>
      </c>
    </row>
    <row r="36" spans="1:3">
      <c r="A36" t="s">
        <v>1703</v>
      </c>
      <c r="B36" t="s">
        <v>1876</v>
      </c>
      <c r="C36" t="s">
        <v>1875</v>
      </c>
    </row>
    <row r="37" spans="1:3">
      <c r="A37" t="s">
        <v>259</v>
      </c>
      <c r="B37" t="s">
        <v>1833</v>
      </c>
      <c r="C37" t="s">
        <v>1877</v>
      </c>
    </row>
    <row r="38" spans="1:3">
      <c r="A38" t="s">
        <v>261</v>
      </c>
      <c r="B38" t="s">
        <v>1837</v>
      </c>
      <c r="C38" t="s">
        <v>1878</v>
      </c>
    </row>
    <row r="39" spans="1:3">
      <c r="A39" t="s">
        <v>262</v>
      </c>
      <c r="B39" t="s">
        <v>1839</v>
      </c>
      <c r="C39" t="s">
        <v>1879</v>
      </c>
    </row>
    <row r="40" spans="1:3">
      <c r="A40" t="s">
        <v>1704</v>
      </c>
      <c r="B40" t="s">
        <v>1881</v>
      </c>
      <c r="C40" t="s">
        <v>1880</v>
      </c>
    </row>
    <row r="41" spans="1:3">
      <c r="A41" t="s">
        <v>1705</v>
      </c>
      <c r="B41" t="s">
        <v>1883</v>
      </c>
      <c r="C41" t="s">
        <v>1882</v>
      </c>
    </row>
    <row r="42" spans="1:3">
      <c r="A42" t="s">
        <v>263</v>
      </c>
      <c r="B42" t="s">
        <v>1841</v>
      </c>
      <c r="C42" t="s">
        <v>1884</v>
      </c>
    </row>
    <row r="43" spans="1:3">
      <c r="A43" t="s">
        <v>264</v>
      </c>
      <c r="B43" t="s">
        <v>1843</v>
      </c>
      <c r="C43" t="s">
        <v>1885</v>
      </c>
    </row>
    <row r="44" spans="1:3">
      <c r="A44" t="s">
        <v>1706</v>
      </c>
      <c r="B44" t="s">
        <v>1887</v>
      </c>
      <c r="C44" t="s">
        <v>1886</v>
      </c>
    </row>
    <row r="45" spans="1:3">
      <c r="A45" t="s">
        <v>1707</v>
      </c>
      <c r="B45" t="s">
        <v>1889</v>
      </c>
      <c r="C45" t="s">
        <v>1888</v>
      </c>
    </row>
    <row r="46" spans="1:3">
      <c r="A46" t="s">
        <v>1708</v>
      </c>
      <c r="B46" t="s">
        <v>1708</v>
      </c>
      <c r="C46" t="s">
        <v>1890</v>
      </c>
    </row>
    <row r="47" spans="1:3">
      <c r="A47" t="s">
        <v>1709</v>
      </c>
      <c r="B47" t="s">
        <v>1892</v>
      </c>
      <c r="C47" t="s">
        <v>1891</v>
      </c>
    </row>
    <row r="48" spans="1:3">
      <c r="A48" t="s">
        <v>1710</v>
      </c>
      <c r="B48" t="s">
        <v>1894</v>
      </c>
      <c r="C48" t="s">
        <v>1893</v>
      </c>
    </row>
    <row r="49" spans="1:3">
      <c r="A49" t="s">
        <v>1711</v>
      </c>
      <c r="B49" t="s">
        <v>1896</v>
      </c>
      <c r="C49" t="s">
        <v>1895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D874"/>
  <sheetViews>
    <sheetView workbookViewId="0"/>
  </sheetViews>
  <sheetFormatPr baseColWidth="10" defaultRowHeight="15" x14ac:dyDescent="0"/>
  <cols>
    <col min="2" max="2" width="75.1640625" bestFit="1" customWidth="1"/>
    <col min="3" max="3" width="42.1640625" bestFit="1" customWidth="1"/>
    <col min="4" max="4" width="42.1640625" customWidth="1"/>
  </cols>
  <sheetData>
    <row r="1" spans="1:30">
      <c r="A1" t="s">
        <v>1802</v>
      </c>
      <c r="B1" t="s">
        <v>1803</v>
      </c>
      <c r="C1" t="s">
        <v>0</v>
      </c>
    </row>
    <row r="2" spans="1:30" ht="154">
      <c r="E2" s="1" t="s">
        <v>249</v>
      </c>
      <c r="F2" s="1" t="s">
        <v>250</v>
      </c>
      <c r="G2" s="1" t="s">
        <v>251</v>
      </c>
      <c r="H2" s="1" t="s">
        <v>252</v>
      </c>
      <c r="I2" s="1" t="s">
        <v>253</v>
      </c>
      <c r="J2" s="1" t="s">
        <v>254</v>
      </c>
      <c r="K2" s="1" t="s">
        <v>255</v>
      </c>
      <c r="L2" s="1" t="s">
        <v>256</v>
      </c>
      <c r="M2" s="1" t="s">
        <v>257</v>
      </c>
      <c r="N2" s="1" t="s">
        <v>258</v>
      </c>
      <c r="O2" s="1" t="s">
        <v>259</v>
      </c>
      <c r="P2" s="1" t="s">
        <v>260</v>
      </c>
      <c r="Q2" s="1" t="s">
        <v>261</v>
      </c>
      <c r="R2" s="1" t="s">
        <v>262</v>
      </c>
      <c r="S2" s="1" t="s">
        <v>263</v>
      </c>
      <c r="T2" s="1" t="s">
        <v>264</v>
      </c>
      <c r="U2" s="1" t="s">
        <v>265</v>
      </c>
      <c r="V2" s="1" t="s">
        <v>266</v>
      </c>
      <c r="W2" s="1" t="s">
        <v>267</v>
      </c>
      <c r="X2" s="1" t="s">
        <v>268</v>
      </c>
      <c r="Y2" s="1" t="s">
        <v>269</v>
      </c>
      <c r="Z2" s="1" t="s">
        <v>270</v>
      </c>
      <c r="AA2" s="1" t="s">
        <v>271</v>
      </c>
      <c r="AB2" s="1" t="s">
        <v>272</v>
      </c>
      <c r="AC2" s="1" t="s">
        <v>273</v>
      </c>
      <c r="AD2" s="1" t="s">
        <v>274</v>
      </c>
    </row>
    <row r="3" spans="1:30">
      <c r="A3">
        <v>1</v>
      </c>
      <c r="B3" t="s">
        <v>2</v>
      </c>
      <c r="C3" t="s">
        <v>3</v>
      </c>
      <c r="D3" t="str">
        <f>IF(VLOOKUP(C3,'Capabilities Overview'!$A$2:$A$587,1)=C3,"","Not in UCL")</f>
        <v>Not in UCL</v>
      </c>
      <c r="E3" t="s">
        <v>1</v>
      </c>
      <c r="F3" t="s">
        <v>275</v>
      </c>
      <c r="G3" t="s">
        <v>275</v>
      </c>
      <c r="H3" t="s">
        <v>275</v>
      </c>
      <c r="I3" t="s">
        <v>41</v>
      </c>
      <c r="J3" t="s">
        <v>41</v>
      </c>
      <c r="K3" t="s">
        <v>41</v>
      </c>
      <c r="L3" t="s">
        <v>275</v>
      </c>
      <c r="M3" t="s">
        <v>275</v>
      </c>
      <c r="N3" t="s">
        <v>275</v>
      </c>
      <c r="O3" t="s">
        <v>275</v>
      </c>
      <c r="P3" t="s">
        <v>275</v>
      </c>
      <c r="Q3" t="s">
        <v>275</v>
      </c>
      <c r="R3" t="s">
        <v>275</v>
      </c>
      <c r="S3" t="s">
        <v>275</v>
      </c>
      <c r="T3" t="s">
        <v>1</v>
      </c>
      <c r="U3" t="s">
        <v>275</v>
      </c>
      <c r="V3" t="s">
        <v>275</v>
      </c>
      <c r="W3" t="s">
        <v>10</v>
      </c>
      <c r="X3" t="s">
        <v>275</v>
      </c>
      <c r="Y3" t="s">
        <v>275</v>
      </c>
      <c r="Z3" t="s">
        <v>275</v>
      </c>
      <c r="AA3" t="s">
        <v>275</v>
      </c>
      <c r="AB3" t="s">
        <v>275</v>
      </c>
      <c r="AC3" t="s">
        <v>275</v>
      </c>
      <c r="AD3" t="s">
        <v>1</v>
      </c>
    </row>
    <row r="4" spans="1:30">
      <c r="A4">
        <v>2</v>
      </c>
      <c r="B4" t="s">
        <v>4</v>
      </c>
      <c r="C4" t="s">
        <v>5</v>
      </c>
      <c r="D4" t="str">
        <f>IF(VLOOKUP(C4,'Capabilities Overview'!$A$2:$A$587,1)=C4,"","Not in UCL")</f>
        <v>Not in UCL</v>
      </c>
      <c r="E4" t="s">
        <v>1</v>
      </c>
      <c r="F4" t="s">
        <v>275</v>
      </c>
      <c r="G4" t="s">
        <v>275</v>
      </c>
      <c r="H4" t="s">
        <v>275</v>
      </c>
      <c r="I4" t="s">
        <v>41</v>
      </c>
      <c r="J4" t="s">
        <v>41</v>
      </c>
      <c r="K4" t="s">
        <v>41</v>
      </c>
      <c r="L4" t="s">
        <v>275</v>
      </c>
      <c r="M4" t="s">
        <v>275</v>
      </c>
      <c r="N4" t="s">
        <v>275</v>
      </c>
      <c r="O4" t="s">
        <v>275</v>
      </c>
      <c r="P4" t="s">
        <v>275</v>
      </c>
      <c r="Q4" t="s">
        <v>275</v>
      </c>
      <c r="R4" t="s">
        <v>275</v>
      </c>
      <c r="S4" t="s">
        <v>275</v>
      </c>
      <c r="T4" t="s">
        <v>1</v>
      </c>
      <c r="U4" t="s">
        <v>275</v>
      </c>
      <c r="V4" t="s">
        <v>275</v>
      </c>
      <c r="W4" t="s">
        <v>10</v>
      </c>
      <c r="X4" t="s">
        <v>275</v>
      </c>
      <c r="Y4" t="s">
        <v>275</v>
      </c>
      <c r="Z4" t="s">
        <v>275</v>
      </c>
      <c r="AA4" t="s">
        <v>275</v>
      </c>
      <c r="AB4" t="s">
        <v>275</v>
      </c>
      <c r="AC4" t="s">
        <v>275</v>
      </c>
      <c r="AD4" t="s">
        <v>1</v>
      </c>
    </row>
    <row r="5" spans="1:30">
      <c r="A5">
        <v>3</v>
      </c>
      <c r="B5" t="s">
        <v>6</v>
      </c>
      <c r="C5" t="s">
        <v>7</v>
      </c>
      <c r="D5" t="str">
        <f>IF(VLOOKUP(C5,'Capabilities Overview'!$A$2:$A$587,1)=C5,"","Not in UCL")</f>
        <v>Not in UCL</v>
      </c>
      <c r="E5" t="s">
        <v>1</v>
      </c>
      <c r="F5" t="s">
        <v>275</v>
      </c>
      <c r="G5" t="s">
        <v>275</v>
      </c>
      <c r="H5" t="s">
        <v>275</v>
      </c>
      <c r="I5" t="s">
        <v>41</v>
      </c>
      <c r="J5" t="s">
        <v>41</v>
      </c>
      <c r="K5" t="s">
        <v>41</v>
      </c>
      <c r="L5" t="s">
        <v>275</v>
      </c>
      <c r="M5" t="s">
        <v>275</v>
      </c>
      <c r="N5" t="s">
        <v>275</v>
      </c>
      <c r="O5" t="s">
        <v>275</v>
      </c>
      <c r="P5" t="s">
        <v>275</v>
      </c>
      <c r="Q5" t="s">
        <v>275</v>
      </c>
      <c r="R5" t="s">
        <v>275</v>
      </c>
      <c r="S5" t="s">
        <v>275</v>
      </c>
      <c r="T5" t="s">
        <v>1</v>
      </c>
      <c r="U5" t="s">
        <v>275</v>
      </c>
      <c r="V5" t="s">
        <v>275</v>
      </c>
      <c r="W5" t="s">
        <v>10</v>
      </c>
      <c r="X5" t="s">
        <v>275</v>
      </c>
      <c r="Y5" t="s">
        <v>275</v>
      </c>
      <c r="Z5" t="s">
        <v>275</v>
      </c>
      <c r="AA5" t="s">
        <v>275</v>
      </c>
      <c r="AB5" t="s">
        <v>275</v>
      </c>
      <c r="AC5" t="s">
        <v>275</v>
      </c>
      <c r="AD5" t="s">
        <v>1</v>
      </c>
    </row>
    <row r="6" spans="1:30">
      <c r="A6">
        <v>4</v>
      </c>
      <c r="B6" t="s">
        <v>8</v>
      </c>
      <c r="C6" t="s">
        <v>9</v>
      </c>
      <c r="D6" t="str">
        <f>IF(VLOOKUP(C6,'Capabilities Overview'!$A$2:$A$587,1)=C6,"","Not in UCL")</f>
        <v/>
      </c>
      <c r="E6" t="s">
        <v>1</v>
      </c>
      <c r="F6" t="s">
        <v>275</v>
      </c>
      <c r="G6" t="s">
        <v>275</v>
      </c>
      <c r="H6" t="s">
        <v>275</v>
      </c>
      <c r="I6" t="s">
        <v>41</v>
      </c>
      <c r="J6" t="s">
        <v>41</v>
      </c>
      <c r="K6" t="s">
        <v>41</v>
      </c>
      <c r="L6" t="s">
        <v>275</v>
      </c>
      <c r="M6" t="s">
        <v>275</v>
      </c>
      <c r="N6" t="s">
        <v>275</v>
      </c>
      <c r="O6" t="s">
        <v>275</v>
      </c>
      <c r="P6" t="s">
        <v>275</v>
      </c>
      <c r="Q6" t="s">
        <v>275</v>
      </c>
      <c r="R6" t="s">
        <v>275</v>
      </c>
      <c r="S6" t="s">
        <v>275</v>
      </c>
      <c r="T6" t="s">
        <v>1</v>
      </c>
      <c r="U6" t="s">
        <v>275</v>
      </c>
      <c r="V6" t="s">
        <v>275</v>
      </c>
      <c r="W6" t="s">
        <v>10</v>
      </c>
      <c r="X6" t="s">
        <v>275</v>
      </c>
      <c r="Y6" t="s">
        <v>275</v>
      </c>
      <c r="Z6" t="s">
        <v>275</v>
      </c>
      <c r="AA6" t="s">
        <v>275</v>
      </c>
      <c r="AB6" t="s">
        <v>275</v>
      </c>
      <c r="AC6" t="s">
        <v>275</v>
      </c>
      <c r="AD6" t="s">
        <v>10</v>
      </c>
    </row>
    <row r="7" spans="1:30">
      <c r="A7">
        <v>5</v>
      </c>
      <c r="B7" t="s">
        <v>11</v>
      </c>
      <c r="C7" t="s">
        <v>12</v>
      </c>
      <c r="D7" t="str">
        <f>IF(VLOOKUP(C7,'Capabilities Overview'!$A$2:$A$587,1)=C7,"","Not in UCL")</f>
        <v/>
      </c>
      <c r="E7" t="s">
        <v>1</v>
      </c>
      <c r="F7" t="s">
        <v>275</v>
      </c>
      <c r="G7" t="s">
        <v>275</v>
      </c>
      <c r="H7" t="s">
        <v>275</v>
      </c>
      <c r="I7" t="s">
        <v>41</v>
      </c>
      <c r="J7" t="s">
        <v>41</v>
      </c>
      <c r="K7" t="s">
        <v>41</v>
      </c>
      <c r="L7" t="s">
        <v>275</v>
      </c>
      <c r="M7" t="s">
        <v>275</v>
      </c>
      <c r="N7" t="s">
        <v>275</v>
      </c>
      <c r="O7" t="s">
        <v>275</v>
      </c>
      <c r="P7" t="s">
        <v>275</v>
      </c>
      <c r="Q7" t="s">
        <v>275</v>
      </c>
      <c r="R7" t="s">
        <v>275</v>
      </c>
      <c r="S7" t="s">
        <v>275</v>
      </c>
      <c r="T7" t="s">
        <v>1</v>
      </c>
      <c r="U7" t="s">
        <v>275</v>
      </c>
      <c r="V7" t="s">
        <v>275</v>
      </c>
      <c r="W7" t="s">
        <v>10</v>
      </c>
      <c r="X7" t="s">
        <v>275</v>
      </c>
      <c r="Y7" t="s">
        <v>275</v>
      </c>
      <c r="Z7" t="s">
        <v>275</v>
      </c>
      <c r="AA7" t="s">
        <v>275</v>
      </c>
      <c r="AB7" t="s">
        <v>275</v>
      </c>
      <c r="AC7" t="s">
        <v>275</v>
      </c>
      <c r="AD7" t="s">
        <v>1</v>
      </c>
    </row>
    <row r="8" spans="1:30">
      <c r="A8">
        <v>6</v>
      </c>
      <c r="B8" t="s">
        <v>13</v>
      </c>
      <c r="C8" t="s">
        <v>14</v>
      </c>
      <c r="D8" t="str">
        <f>IF(VLOOKUP(C8,'Capabilities Overview'!$A$2:$A$587,1)=C8,"","Not in UCL")</f>
        <v/>
      </c>
      <c r="E8" t="s">
        <v>1</v>
      </c>
      <c r="F8" t="s">
        <v>275</v>
      </c>
      <c r="G8" t="s">
        <v>275</v>
      </c>
      <c r="H8" t="s">
        <v>275</v>
      </c>
      <c r="I8" t="s">
        <v>41</v>
      </c>
      <c r="J8" t="s">
        <v>41</v>
      </c>
      <c r="K8" t="s">
        <v>41</v>
      </c>
      <c r="L8" t="s">
        <v>275</v>
      </c>
      <c r="M8" t="s">
        <v>275</v>
      </c>
      <c r="N8" t="s">
        <v>275</v>
      </c>
      <c r="O8" t="s">
        <v>275</v>
      </c>
      <c r="P8" t="s">
        <v>275</v>
      </c>
      <c r="Q8" t="s">
        <v>275</v>
      </c>
      <c r="R8" t="s">
        <v>275</v>
      </c>
      <c r="S8" t="s">
        <v>275</v>
      </c>
      <c r="T8" t="s">
        <v>1</v>
      </c>
      <c r="U8" t="s">
        <v>275</v>
      </c>
      <c r="V8" t="s">
        <v>275</v>
      </c>
      <c r="W8" t="s">
        <v>10</v>
      </c>
      <c r="X8" t="s">
        <v>275</v>
      </c>
      <c r="Y8" t="s">
        <v>275</v>
      </c>
      <c r="Z8" t="s">
        <v>275</v>
      </c>
      <c r="AA8" t="s">
        <v>275</v>
      </c>
      <c r="AB8" t="s">
        <v>275</v>
      </c>
      <c r="AC8" t="s">
        <v>275</v>
      </c>
      <c r="AD8" t="s">
        <v>1</v>
      </c>
    </row>
    <row r="9" spans="1:30">
      <c r="A9">
        <v>7</v>
      </c>
      <c r="B9" t="s">
        <v>276</v>
      </c>
      <c r="C9" t="s">
        <v>277</v>
      </c>
      <c r="D9" t="str">
        <f>IF(VLOOKUP(C9,'Capabilities Overview'!$A$2:$A$587,1)=C9,"","Not in UCL")</f>
        <v>Not in UCL</v>
      </c>
      <c r="E9" t="s">
        <v>275</v>
      </c>
      <c r="F9" t="s">
        <v>275</v>
      </c>
      <c r="G9" t="s">
        <v>275</v>
      </c>
      <c r="H9" t="s">
        <v>275</v>
      </c>
      <c r="I9" t="s">
        <v>275</v>
      </c>
      <c r="J9" t="s">
        <v>275</v>
      </c>
      <c r="K9" t="s">
        <v>275</v>
      </c>
      <c r="L9" t="s">
        <v>275</v>
      </c>
      <c r="M9" t="s">
        <v>275</v>
      </c>
      <c r="N9" t="s">
        <v>275</v>
      </c>
      <c r="O9" t="s">
        <v>275</v>
      </c>
      <c r="P9" t="s">
        <v>275</v>
      </c>
      <c r="Q9" t="s">
        <v>275</v>
      </c>
      <c r="R9" t="s">
        <v>275</v>
      </c>
      <c r="S9" t="s">
        <v>275</v>
      </c>
      <c r="T9" t="s">
        <v>275</v>
      </c>
      <c r="U9" t="s">
        <v>275</v>
      </c>
      <c r="V9" t="s">
        <v>275</v>
      </c>
      <c r="W9" t="s">
        <v>275</v>
      </c>
      <c r="X9" t="s">
        <v>275</v>
      </c>
      <c r="Y9" t="s">
        <v>275</v>
      </c>
      <c r="Z9" t="s">
        <v>275</v>
      </c>
      <c r="AA9" t="s">
        <v>275</v>
      </c>
      <c r="AB9" t="s">
        <v>275</v>
      </c>
      <c r="AC9" t="s">
        <v>275</v>
      </c>
      <c r="AD9" t="s">
        <v>275</v>
      </c>
    </row>
    <row r="10" spans="1:30">
      <c r="A10">
        <v>8</v>
      </c>
      <c r="B10" t="s">
        <v>15</v>
      </c>
      <c r="C10" t="s">
        <v>16</v>
      </c>
      <c r="D10" t="str">
        <f>IF(VLOOKUP(C10,'Capabilities Overview'!$A$2:$A$587,1)=C10,"","Not in UCL")</f>
        <v/>
      </c>
      <c r="E10" t="s">
        <v>1</v>
      </c>
      <c r="F10" t="s">
        <v>275</v>
      </c>
      <c r="G10" t="s">
        <v>275</v>
      </c>
      <c r="H10" t="s">
        <v>275</v>
      </c>
      <c r="I10" t="s">
        <v>41</v>
      </c>
      <c r="J10" t="s">
        <v>41</v>
      </c>
      <c r="K10" t="s">
        <v>41</v>
      </c>
      <c r="L10" t="s">
        <v>275</v>
      </c>
      <c r="M10" t="s">
        <v>275</v>
      </c>
      <c r="N10" t="s">
        <v>275</v>
      </c>
      <c r="O10" t="s">
        <v>275</v>
      </c>
      <c r="P10" t="s">
        <v>275</v>
      </c>
      <c r="Q10" t="s">
        <v>275</v>
      </c>
      <c r="R10" t="s">
        <v>275</v>
      </c>
      <c r="S10" t="s">
        <v>275</v>
      </c>
      <c r="T10" t="s">
        <v>1</v>
      </c>
      <c r="U10" t="s">
        <v>275</v>
      </c>
      <c r="V10" t="s">
        <v>275</v>
      </c>
      <c r="W10" t="s">
        <v>10</v>
      </c>
      <c r="X10" t="s">
        <v>275</v>
      </c>
      <c r="Y10" t="s">
        <v>275</v>
      </c>
      <c r="Z10" t="s">
        <v>275</v>
      </c>
      <c r="AA10" t="s">
        <v>275</v>
      </c>
      <c r="AB10" t="s">
        <v>275</v>
      </c>
      <c r="AC10" t="s">
        <v>275</v>
      </c>
      <c r="AD10" t="s">
        <v>1</v>
      </c>
    </row>
    <row r="11" spans="1:30">
      <c r="A11">
        <v>9</v>
      </c>
      <c r="B11" t="s">
        <v>17</v>
      </c>
      <c r="C11" t="s">
        <v>18</v>
      </c>
      <c r="D11" t="str">
        <f>IF(VLOOKUP(C11,'Capabilities Overview'!$A$2:$A$587,1)=C11,"","Not in UCL")</f>
        <v/>
      </c>
      <c r="E11" t="s">
        <v>1</v>
      </c>
      <c r="F11" t="s">
        <v>275</v>
      </c>
      <c r="G11" t="s">
        <v>275</v>
      </c>
      <c r="H11" t="s">
        <v>275</v>
      </c>
      <c r="I11" t="s">
        <v>41</v>
      </c>
      <c r="J11" t="s">
        <v>41</v>
      </c>
      <c r="K11" t="s">
        <v>41</v>
      </c>
      <c r="L11" t="s">
        <v>275</v>
      </c>
      <c r="M11" t="s">
        <v>275</v>
      </c>
      <c r="N11" t="s">
        <v>275</v>
      </c>
      <c r="O11" t="s">
        <v>275</v>
      </c>
      <c r="P11" t="s">
        <v>275</v>
      </c>
      <c r="Q11" t="s">
        <v>275</v>
      </c>
      <c r="R11" t="s">
        <v>275</v>
      </c>
      <c r="S11" t="s">
        <v>275</v>
      </c>
      <c r="T11" t="s">
        <v>1</v>
      </c>
      <c r="U11" t="s">
        <v>275</v>
      </c>
      <c r="V11" t="s">
        <v>275</v>
      </c>
      <c r="W11" t="s">
        <v>10</v>
      </c>
      <c r="X11" t="s">
        <v>275</v>
      </c>
      <c r="Y11" t="s">
        <v>275</v>
      </c>
      <c r="Z11" t="s">
        <v>275</v>
      </c>
      <c r="AA11" t="s">
        <v>275</v>
      </c>
      <c r="AB11" t="s">
        <v>275</v>
      </c>
      <c r="AC11" t="s">
        <v>275</v>
      </c>
      <c r="AD11" t="s">
        <v>1</v>
      </c>
    </row>
    <row r="12" spans="1:30">
      <c r="A12">
        <v>10</v>
      </c>
      <c r="B12" t="s">
        <v>19</v>
      </c>
      <c r="C12" t="s">
        <v>20</v>
      </c>
      <c r="D12" t="str">
        <f>IF(VLOOKUP(C12,'Capabilities Overview'!$A$2:$A$587,1)=C12,"","Not in UCL")</f>
        <v>Not in UCL</v>
      </c>
      <c r="E12" t="s">
        <v>1</v>
      </c>
      <c r="F12" t="s">
        <v>275</v>
      </c>
      <c r="G12" t="s">
        <v>275</v>
      </c>
      <c r="H12" t="s">
        <v>275</v>
      </c>
      <c r="I12" t="s">
        <v>41</v>
      </c>
      <c r="J12" t="s">
        <v>41</v>
      </c>
      <c r="K12" t="s">
        <v>41</v>
      </c>
      <c r="L12" t="s">
        <v>275</v>
      </c>
      <c r="M12" t="s">
        <v>275</v>
      </c>
      <c r="N12" t="s">
        <v>275</v>
      </c>
      <c r="O12" t="s">
        <v>275</v>
      </c>
      <c r="P12" t="s">
        <v>275</v>
      </c>
      <c r="Q12" t="s">
        <v>275</v>
      </c>
      <c r="R12" t="s">
        <v>275</v>
      </c>
      <c r="S12" t="s">
        <v>275</v>
      </c>
      <c r="T12" t="s">
        <v>1</v>
      </c>
      <c r="U12" t="s">
        <v>275</v>
      </c>
      <c r="V12" t="s">
        <v>275</v>
      </c>
      <c r="W12" t="s">
        <v>10</v>
      </c>
      <c r="X12" t="s">
        <v>275</v>
      </c>
      <c r="Y12" t="s">
        <v>275</v>
      </c>
      <c r="Z12" t="s">
        <v>275</v>
      </c>
      <c r="AA12" t="s">
        <v>275</v>
      </c>
      <c r="AB12" t="s">
        <v>275</v>
      </c>
      <c r="AC12" t="s">
        <v>275</v>
      </c>
      <c r="AD12" t="s">
        <v>1</v>
      </c>
    </row>
    <row r="13" spans="1:30">
      <c r="A13">
        <v>11</v>
      </c>
      <c r="B13" t="s">
        <v>21</v>
      </c>
      <c r="C13" t="s">
        <v>22</v>
      </c>
      <c r="D13" t="str">
        <f>IF(VLOOKUP(C13,'Capabilities Overview'!$A$2:$A$587,1)=C13,"","Not in UCL")</f>
        <v/>
      </c>
      <c r="E13" t="s">
        <v>1</v>
      </c>
      <c r="F13" t="s">
        <v>275</v>
      </c>
      <c r="G13" t="s">
        <v>275</v>
      </c>
      <c r="H13" t="s">
        <v>275</v>
      </c>
      <c r="I13" t="s">
        <v>41</v>
      </c>
      <c r="J13" t="s">
        <v>41</v>
      </c>
      <c r="K13" t="s">
        <v>41</v>
      </c>
      <c r="L13" t="s">
        <v>275</v>
      </c>
      <c r="M13" t="s">
        <v>275</v>
      </c>
      <c r="N13" t="s">
        <v>275</v>
      </c>
      <c r="O13" t="s">
        <v>275</v>
      </c>
      <c r="P13" t="s">
        <v>275</v>
      </c>
      <c r="Q13" t="s">
        <v>275</v>
      </c>
      <c r="R13" t="s">
        <v>275</v>
      </c>
      <c r="S13" t="s">
        <v>275</v>
      </c>
      <c r="T13" t="s">
        <v>1</v>
      </c>
      <c r="U13" t="s">
        <v>275</v>
      </c>
      <c r="V13" t="s">
        <v>275</v>
      </c>
      <c r="W13" t="s">
        <v>10</v>
      </c>
      <c r="X13" t="s">
        <v>275</v>
      </c>
      <c r="Y13" t="s">
        <v>275</v>
      </c>
      <c r="Z13" t="s">
        <v>275</v>
      </c>
      <c r="AA13" t="s">
        <v>275</v>
      </c>
      <c r="AB13" t="s">
        <v>275</v>
      </c>
      <c r="AC13" t="s">
        <v>275</v>
      </c>
      <c r="AD13" t="s">
        <v>1</v>
      </c>
    </row>
    <row r="14" spans="1:30">
      <c r="A14">
        <v>12</v>
      </c>
      <c r="B14" t="s">
        <v>23</v>
      </c>
      <c r="C14" t="s">
        <v>24</v>
      </c>
      <c r="D14" t="str">
        <f>IF(VLOOKUP(C14,'Capabilities Overview'!$A$2:$A$587,1)=C14,"","Not in UCL")</f>
        <v/>
      </c>
      <c r="E14" t="s">
        <v>1</v>
      </c>
      <c r="F14" t="s">
        <v>275</v>
      </c>
      <c r="G14" t="s">
        <v>275</v>
      </c>
      <c r="H14" t="s">
        <v>275</v>
      </c>
      <c r="I14" t="s">
        <v>41</v>
      </c>
      <c r="J14" t="s">
        <v>41</v>
      </c>
      <c r="K14" t="s">
        <v>41</v>
      </c>
      <c r="L14" t="s">
        <v>275</v>
      </c>
      <c r="M14" t="s">
        <v>275</v>
      </c>
      <c r="N14" t="s">
        <v>275</v>
      </c>
      <c r="O14" t="s">
        <v>275</v>
      </c>
      <c r="P14" t="s">
        <v>275</v>
      </c>
      <c r="Q14" t="s">
        <v>275</v>
      </c>
      <c r="R14" t="s">
        <v>275</v>
      </c>
      <c r="S14" t="s">
        <v>275</v>
      </c>
      <c r="T14" t="s">
        <v>1</v>
      </c>
      <c r="U14" t="s">
        <v>275</v>
      </c>
      <c r="V14" t="s">
        <v>275</v>
      </c>
      <c r="W14" t="s">
        <v>10</v>
      </c>
      <c r="X14" t="s">
        <v>275</v>
      </c>
      <c r="Y14" t="s">
        <v>275</v>
      </c>
      <c r="Z14" t="s">
        <v>275</v>
      </c>
      <c r="AA14" t="s">
        <v>275</v>
      </c>
      <c r="AB14" t="s">
        <v>275</v>
      </c>
      <c r="AC14" t="s">
        <v>275</v>
      </c>
      <c r="AD14" t="s">
        <v>1</v>
      </c>
    </row>
    <row r="15" spans="1:30">
      <c r="A15">
        <v>13</v>
      </c>
      <c r="B15" t="s">
        <v>25</v>
      </c>
      <c r="C15" t="s">
        <v>26</v>
      </c>
      <c r="D15" t="str">
        <f>IF(VLOOKUP(C15,'Capabilities Overview'!$A$2:$A$587,1)=C15,"","Not in UCL")</f>
        <v>Not in UCL</v>
      </c>
      <c r="E15" t="s">
        <v>1</v>
      </c>
      <c r="F15" t="s">
        <v>275</v>
      </c>
      <c r="G15" t="s">
        <v>275</v>
      </c>
      <c r="H15" t="s">
        <v>275</v>
      </c>
      <c r="I15" t="s">
        <v>41</v>
      </c>
      <c r="J15" t="s">
        <v>41</v>
      </c>
      <c r="K15" t="s">
        <v>41</v>
      </c>
      <c r="L15" t="s">
        <v>275</v>
      </c>
      <c r="M15" t="s">
        <v>275</v>
      </c>
      <c r="N15" t="s">
        <v>275</v>
      </c>
      <c r="O15" t="s">
        <v>275</v>
      </c>
      <c r="P15" t="s">
        <v>275</v>
      </c>
      <c r="Q15" t="s">
        <v>275</v>
      </c>
      <c r="R15" t="s">
        <v>275</v>
      </c>
      <c r="S15" t="s">
        <v>275</v>
      </c>
      <c r="T15" t="s">
        <v>1</v>
      </c>
      <c r="U15" t="s">
        <v>275</v>
      </c>
      <c r="V15" t="s">
        <v>275</v>
      </c>
      <c r="W15" t="s">
        <v>10</v>
      </c>
      <c r="X15" t="s">
        <v>275</v>
      </c>
      <c r="Y15" t="s">
        <v>275</v>
      </c>
      <c r="Z15" t="s">
        <v>275</v>
      </c>
      <c r="AA15" t="s">
        <v>275</v>
      </c>
      <c r="AB15" t="s">
        <v>275</v>
      </c>
      <c r="AC15" t="s">
        <v>275</v>
      </c>
      <c r="AD15" t="s">
        <v>1</v>
      </c>
    </row>
    <row r="16" spans="1:30">
      <c r="A16">
        <v>14</v>
      </c>
      <c r="B16" t="s">
        <v>27</v>
      </c>
      <c r="C16" t="s">
        <v>28</v>
      </c>
      <c r="D16" t="str">
        <f>IF(VLOOKUP(C16,'Capabilities Overview'!$A$2:$A$587,1)=C16,"","Not in UCL")</f>
        <v>Not in UCL</v>
      </c>
      <c r="E16" t="s">
        <v>1</v>
      </c>
      <c r="F16" t="s">
        <v>275</v>
      </c>
      <c r="G16" t="s">
        <v>275</v>
      </c>
      <c r="H16" t="s">
        <v>275</v>
      </c>
      <c r="I16" t="s">
        <v>41</v>
      </c>
      <c r="J16" t="s">
        <v>41</v>
      </c>
      <c r="K16" t="s">
        <v>41</v>
      </c>
      <c r="L16" t="s">
        <v>275</v>
      </c>
      <c r="M16" t="s">
        <v>275</v>
      </c>
      <c r="N16" t="s">
        <v>275</v>
      </c>
      <c r="O16" t="s">
        <v>275</v>
      </c>
      <c r="P16" t="s">
        <v>275</v>
      </c>
      <c r="Q16" t="s">
        <v>275</v>
      </c>
      <c r="R16" t="s">
        <v>275</v>
      </c>
      <c r="S16" t="s">
        <v>275</v>
      </c>
      <c r="T16" t="s">
        <v>1</v>
      </c>
      <c r="U16" t="s">
        <v>275</v>
      </c>
      <c r="V16" t="s">
        <v>275</v>
      </c>
      <c r="W16" t="s">
        <v>10</v>
      </c>
      <c r="X16" t="s">
        <v>275</v>
      </c>
      <c r="Y16" t="s">
        <v>275</v>
      </c>
      <c r="Z16" t="s">
        <v>275</v>
      </c>
      <c r="AA16" t="s">
        <v>275</v>
      </c>
      <c r="AB16" t="s">
        <v>275</v>
      </c>
      <c r="AC16" t="s">
        <v>275</v>
      </c>
      <c r="AD16" t="s">
        <v>1</v>
      </c>
    </row>
    <row r="17" spans="1:30">
      <c r="A17">
        <v>15</v>
      </c>
      <c r="B17" t="s">
        <v>29</v>
      </c>
      <c r="C17" t="s">
        <v>30</v>
      </c>
      <c r="D17" t="str">
        <f>IF(VLOOKUP(C17,'Capabilities Overview'!$A$2:$A$587,1)=C17,"","Not in UCL")</f>
        <v>Not in UCL</v>
      </c>
      <c r="E17" t="s">
        <v>1</v>
      </c>
      <c r="F17" t="s">
        <v>275</v>
      </c>
      <c r="G17" t="s">
        <v>275</v>
      </c>
      <c r="H17" t="s">
        <v>275</v>
      </c>
      <c r="I17" t="s">
        <v>41</v>
      </c>
      <c r="J17" t="s">
        <v>41</v>
      </c>
      <c r="K17" t="s">
        <v>41</v>
      </c>
      <c r="L17" t="s">
        <v>275</v>
      </c>
      <c r="M17" t="s">
        <v>275</v>
      </c>
      <c r="N17" t="s">
        <v>275</v>
      </c>
      <c r="O17" t="s">
        <v>275</v>
      </c>
      <c r="P17" t="s">
        <v>275</v>
      </c>
      <c r="Q17" t="s">
        <v>275</v>
      </c>
      <c r="R17" t="s">
        <v>275</v>
      </c>
      <c r="S17" t="s">
        <v>275</v>
      </c>
      <c r="T17" t="s">
        <v>1</v>
      </c>
      <c r="U17" t="s">
        <v>275</v>
      </c>
      <c r="V17" t="s">
        <v>275</v>
      </c>
      <c r="W17" t="s">
        <v>10</v>
      </c>
      <c r="X17" t="s">
        <v>275</v>
      </c>
      <c r="Y17" t="s">
        <v>275</v>
      </c>
      <c r="Z17" t="s">
        <v>275</v>
      </c>
      <c r="AA17" t="s">
        <v>275</v>
      </c>
      <c r="AB17" t="s">
        <v>275</v>
      </c>
      <c r="AC17" t="s">
        <v>275</v>
      </c>
      <c r="AD17" t="s">
        <v>1</v>
      </c>
    </row>
    <row r="18" spans="1:30">
      <c r="A18">
        <v>16</v>
      </c>
      <c r="B18" t="s">
        <v>31</v>
      </c>
      <c r="C18" t="s">
        <v>32</v>
      </c>
      <c r="D18" t="str">
        <f>IF(VLOOKUP(C18,'Capabilities Overview'!$A$2:$A$587,1)=C18,"","Not in UCL")</f>
        <v>Not in UCL</v>
      </c>
      <c r="E18" t="s">
        <v>1</v>
      </c>
      <c r="F18" t="s">
        <v>275</v>
      </c>
      <c r="G18" t="s">
        <v>275</v>
      </c>
      <c r="H18" t="s">
        <v>275</v>
      </c>
      <c r="I18" t="s">
        <v>41</v>
      </c>
      <c r="J18" t="s">
        <v>41</v>
      </c>
      <c r="K18" t="s">
        <v>41</v>
      </c>
      <c r="L18" t="s">
        <v>275</v>
      </c>
      <c r="M18" t="s">
        <v>275</v>
      </c>
      <c r="N18" t="s">
        <v>275</v>
      </c>
      <c r="O18" t="s">
        <v>275</v>
      </c>
      <c r="P18" t="s">
        <v>275</v>
      </c>
      <c r="Q18" t="s">
        <v>275</v>
      </c>
      <c r="R18" t="s">
        <v>275</v>
      </c>
      <c r="S18" t="s">
        <v>275</v>
      </c>
      <c r="T18" t="s">
        <v>1</v>
      </c>
      <c r="U18" t="s">
        <v>275</v>
      </c>
      <c r="V18" t="s">
        <v>275</v>
      </c>
      <c r="W18" t="s">
        <v>10</v>
      </c>
      <c r="X18" t="s">
        <v>275</v>
      </c>
      <c r="Y18" t="s">
        <v>275</v>
      </c>
      <c r="Z18" t="s">
        <v>275</v>
      </c>
      <c r="AA18" t="s">
        <v>275</v>
      </c>
      <c r="AB18" t="s">
        <v>275</v>
      </c>
      <c r="AC18" t="s">
        <v>275</v>
      </c>
      <c r="AD18" t="s">
        <v>1</v>
      </c>
    </row>
    <row r="19" spans="1:30">
      <c r="A19">
        <v>17</v>
      </c>
      <c r="B19" t="s">
        <v>33</v>
      </c>
      <c r="C19" t="s">
        <v>34</v>
      </c>
      <c r="D19" t="str">
        <f>IF(VLOOKUP(C19,'Capabilities Overview'!$A$2:$A$587,1)=C19,"","Not in UCL")</f>
        <v>Not in UCL</v>
      </c>
      <c r="E19" t="s">
        <v>1</v>
      </c>
      <c r="F19" t="s">
        <v>275</v>
      </c>
      <c r="G19" t="s">
        <v>275</v>
      </c>
      <c r="H19" t="s">
        <v>275</v>
      </c>
      <c r="I19" t="s">
        <v>41</v>
      </c>
      <c r="J19" t="s">
        <v>41</v>
      </c>
      <c r="K19" t="s">
        <v>41</v>
      </c>
      <c r="L19" t="s">
        <v>275</v>
      </c>
      <c r="M19" t="s">
        <v>275</v>
      </c>
      <c r="N19" t="s">
        <v>275</v>
      </c>
      <c r="O19" t="s">
        <v>275</v>
      </c>
      <c r="P19" t="s">
        <v>275</v>
      </c>
      <c r="Q19" t="s">
        <v>275</v>
      </c>
      <c r="R19" t="s">
        <v>275</v>
      </c>
      <c r="S19" t="s">
        <v>275</v>
      </c>
      <c r="T19" t="s">
        <v>1</v>
      </c>
      <c r="U19" t="s">
        <v>275</v>
      </c>
      <c r="V19" t="s">
        <v>275</v>
      </c>
      <c r="W19" t="s">
        <v>10</v>
      </c>
      <c r="X19" t="s">
        <v>275</v>
      </c>
      <c r="Y19" t="s">
        <v>275</v>
      </c>
      <c r="Z19" t="s">
        <v>275</v>
      </c>
      <c r="AA19" t="s">
        <v>275</v>
      </c>
      <c r="AB19" t="s">
        <v>275</v>
      </c>
      <c r="AC19" t="s">
        <v>275</v>
      </c>
      <c r="AD19" t="s">
        <v>1</v>
      </c>
    </row>
    <row r="20" spans="1:30">
      <c r="A20">
        <v>18</v>
      </c>
      <c r="B20" t="s">
        <v>35</v>
      </c>
      <c r="C20" t="s">
        <v>36</v>
      </c>
      <c r="D20" t="str">
        <f>IF(VLOOKUP(C20,'Capabilities Overview'!$A$2:$A$587,1)=C20,"","Not in UCL")</f>
        <v/>
      </c>
      <c r="E20" t="s">
        <v>1</v>
      </c>
      <c r="F20" t="s">
        <v>275</v>
      </c>
      <c r="G20" t="s">
        <v>275</v>
      </c>
      <c r="H20" t="s">
        <v>275</v>
      </c>
      <c r="I20" t="s">
        <v>41</v>
      </c>
      <c r="J20" t="s">
        <v>41</v>
      </c>
      <c r="K20" t="s">
        <v>41</v>
      </c>
      <c r="L20" t="s">
        <v>275</v>
      </c>
      <c r="M20" t="s">
        <v>275</v>
      </c>
      <c r="N20" t="s">
        <v>275</v>
      </c>
      <c r="O20" t="s">
        <v>275</v>
      </c>
      <c r="P20" t="s">
        <v>275</v>
      </c>
      <c r="Q20" t="s">
        <v>275</v>
      </c>
      <c r="R20" t="s">
        <v>275</v>
      </c>
      <c r="S20" t="s">
        <v>275</v>
      </c>
      <c r="T20" t="s">
        <v>1</v>
      </c>
      <c r="U20" t="s">
        <v>275</v>
      </c>
      <c r="V20" t="s">
        <v>275</v>
      </c>
      <c r="W20" t="s">
        <v>10</v>
      </c>
      <c r="X20" t="s">
        <v>275</v>
      </c>
      <c r="Y20" t="s">
        <v>275</v>
      </c>
      <c r="Z20" t="s">
        <v>275</v>
      </c>
      <c r="AA20" t="s">
        <v>275</v>
      </c>
      <c r="AB20" t="s">
        <v>275</v>
      </c>
      <c r="AC20" t="s">
        <v>275</v>
      </c>
      <c r="AD20" t="s">
        <v>1</v>
      </c>
    </row>
    <row r="21" spans="1:30">
      <c r="A21">
        <v>19</v>
      </c>
      <c r="B21" t="s">
        <v>37</v>
      </c>
      <c r="C21" t="s">
        <v>38</v>
      </c>
      <c r="D21" t="str">
        <f>IF(VLOOKUP(C21,'Capabilities Overview'!$A$2:$A$587,1)=C21,"","Not in UCL")</f>
        <v/>
      </c>
      <c r="E21" t="s">
        <v>1</v>
      </c>
      <c r="F21" t="s">
        <v>275</v>
      </c>
      <c r="G21" t="s">
        <v>275</v>
      </c>
      <c r="H21" t="s">
        <v>275</v>
      </c>
      <c r="I21" t="s">
        <v>41</v>
      </c>
      <c r="J21" t="s">
        <v>41</v>
      </c>
      <c r="K21" t="s">
        <v>41</v>
      </c>
      <c r="L21" t="s">
        <v>275</v>
      </c>
      <c r="M21" t="s">
        <v>275</v>
      </c>
      <c r="N21" t="s">
        <v>275</v>
      </c>
      <c r="O21" t="s">
        <v>275</v>
      </c>
      <c r="P21" t="s">
        <v>275</v>
      </c>
      <c r="Q21" t="s">
        <v>275</v>
      </c>
      <c r="R21" t="s">
        <v>275</v>
      </c>
      <c r="S21" t="s">
        <v>275</v>
      </c>
      <c r="T21" t="s">
        <v>1</v>
      </c>
      <c r="U21" t="s">
        <v>275</v>
      </c>
      <c r="V21" t="s">
        <v>275</v>
      </c>
      <c r="W21" t="s">
        <v>10</v>
      </c>
      <c r="X21" t="s">
        <v>275</v>
      </c>
      <c r="Y21" t="s">
        <v>275</v>
      </c>
      <c r="Z21" t="s">
        <v>275</v>
      </c>
      <c r="AA21" t="s">
        <v>275</v>
      </c>
      <c r="AB21" t="s">
        <v>275</v>
      </c>
      <c r="AC21" t="s">
        <v>275</v>
      </c>
      <c r="AD21" t="s">
        <v>1</v>
      </c>
    </row>
    <row r="22" spans="1:30">
      <c r="A22">
        <v>20</v>
      </c>
      <c r="B22" t="s">
        <v>278</v>
      </c>
      <c r="C22" t="s">
        <v>279</v>
      </c>
      <c r="D22" t="str">
        <f>IF(VLOOKUP(C22,'Capabilities Overview'!$A$2:$A$587,1)=C22,"","Not in UCL")</f>
        <v>Not in UCL</v>
      </c>
      <c r="E22" t="s">
        <v>1</v>
      </c>
      <c r="F22" t="s">
        <v>275</v>
      </c>
      <c r="G22" t="s">
        <v>275</v>
      </c>
      <c r="H22" t="s">
        <v>275</v>
      </c>
      <c r="I22" t="s">
        <v>275</v>
      </c>
      <c r="J22" t="s">
        <v>275</v>
      </c>
      <c r="K22" t="s">
        <v>275</v>
      </c>
      <c r="L22" t="s">
        <v>275</v>
      </c>
      <c r="M22" t="s">
        <v>275</v>
      </c>
      <c r="N22" t="s">
        <v>275</v>
      </c>
      <c r="O22" t="s">
        <v>275</v>
      </c>
      <c r="P22" t="s">
        <v>275</v>
      </c>
      <c r="Q22" t="s">
        <v>275</v>
      </c>
      <c r="R22" t="s">
        <v>275</v>
      </c>
      <c r="S22" t="s">
        <v>275</v>
      </c>
      <c r="T22" t="s">
        <v>275</v>
      </c>
      <c r="U22" t="s">
        <v>275</v>
      </c>
      <c r="V22" t="s">
        <v>275</v>
      </c>
      <c r="W22" t="s">
        <v>275</v>
      </c>
      <c r="X22" t="s">
        <v>275</v>
      </c>
      <c r="Y22" t="s">
        <v>275</v>
      </c>
      <c r="Z22" t="s">
        <v>275</v>
      </c>
      <c r="AA22" t="s">
        <v>275</v>
      </c>
      <c r="AB22" t="s">
        <v>275</v>
      </c>
      <c r="AC22" t="s">
        <v>275</v>
      </c>
      <c r="AD22" t="s">
        <v>275</v>
      </c>
    </row>
    <row r="23" spans="1:30">
      <c r="A23">
        <v>21</v>
      </c>
      <c r="B23" t="s">
        <v>39</v>
      </c>
      <c r="C23" t="s">
        <v>40</v>
      </c>
      <c r="D23" t="str">
        <f>IF(VLOOKUP(C23,'Capabilities Overview'!$A$2:$A$587,1)=C23,"","Not in UCL")</f>
        <v>Not in UCL</v>
      </c>
      <c r="E23" t="s">
        <v>1</v>
      </c>
      <c r="F23" t="s">
        <v>275</v>
      </c>
      <c r="G23" t="s">
        <v>275</v>
      </c>
      <c r="H23" t="s">
        <v>275</v>
      </c>
      <c r="I23" t="s">
        <v>275</v>
      </c>
      <c r="J23" t="s">
        <v>275</v>
      </c>
      <c r="K23" t="s">
        <v>275</v>
      </c>
      <c r="L23" t="s">
        <v>275</v>
      </c>
      <c r="M23" t="s">
        <v>41</v>
      </c>
      <c r="N23" t="s">
        <v>41</v>
      </c>
      <c r="O23" t="s">
        <v>41</v>
      </c>
      <c r="P23" t="s">
        <v>275</v>
      </c>
      <c r="Q23" t="s">
        <v>275</v>
      </c>
      <c r="R23" t="s">
        <v>41</v>
      </c>
      <c r="S23" t="s">
        <v>275</v>
      </c>
      <c r="T23" t="s">
        <v>41</v>
      </c>
      <c r="U23" t="s">
        <v>275</v>
      </c>
      <c r="V23" t="s">
        <v>275</v>
      </c>
      <c r="W23" t="s">
        <v>275</v>
      </c>
      <c r="X23" t="s">
        <v>275</v>
      </c>
      <c r="Y23" t="s">
        <v>275</v>
      </c>
      <c r="Z23" t="s">
        <v>275</v>
      </c>
      <c r="AA23" t="s">
        <v>275</v>
      </c>
      <c r="AB23" t="s">
        <v>275</v>
      </c>
      <c r="AC23" t="s">
        <v>275</v>
      </c>
      <c r="AD23" t="s">
        <v>41</v>
      </c>
    </row>
    <row r="24" spans="1:30">
      <c r="A24">
        <v>22</v>
      </c>
      <c r="B24" t="s">
        <v>42</v>
      </c>
      <c r="C24" t="s">
        <v>43</v>
      </c>
      <c r="D24" t="str">
        <f>IF(VLOOKUP(C24,'Capabilities Overview'!$A$2:$A$587,1)=C24,"","Not in UCL")</f>
        <v>Not in UCL</v>
      </c>
      <c r="E24" t="s">
        <v>1</v>
      </c>
      <c r="F24" t="s">
        <v>275</v>
      </c>
      <c r="G24" t="s">
        <v>275</v>
      </c>
      <c r="H24" t="s">
        <v>275</v>
      </c>
      <c r="I24" t="s">
        <v>41</v>
      </c>
      <c r="J24" t="s">
        <v>41</v>
      </c>
      <c r="K24" t="s">
        <v>41</v>
      </c>
      <c r="L24" t="s">
        <v>275</v>
      </c>
      <c r="M24" t="s">
        <v>275</v>
      </c>
      <c r="N24" t="s">
        <v>275</v>
      </c>
      <c r="O24" t="s">
        <v>275</v>
      </c>
      <c r="P24" t="s">
        <v>275</v>
      </c>
      <c r="Q24" t="s">
        <v>275</v>
      </c>
      <c r="R24" t="s">
        <v>275</v>
      </c>
      <c r="S24" t="s">
        <v>275</v>
      </c>
      <c r="T24" t="s">
        <v>1</v>
      </c>
      <c r="U24" t="s">
        <v>275</v>
      </c>
      <c r="V24" t="s">
        <v>275</v>
      </c>
      <c r="W24" t="s">
        <v>10</v>
      </c>
      <c r="X24" t="s">
        <v>275</v>
      </c>
      <c r="Y24" t="s">
        <v>275</v>
      </c>
      <c r="Z24" t="s">
        <v>275</v>
      </c>
      <c r="AA24" t="s">
        <v>275</v>
      </c>
      <c r="AB24" t="s">
        <v>275</v>
      </c>
      <c r="AC24" t="s">
        <v>275</v>
      </c>
      <c r="AD24" t="s">
        <v>1</v>
      </c>
    </row>
    <row r="25" spans="1:30">
      <c r="A25">
        <v>23</v>
      </c>
      <c r="B25" t="s">
        <v>44</v>
      </c>
      <c r="C25" t="s">
        <v>45</v>
      </c>
      <c r="D25" t="str">
        <f>IF(VLOOKUP(C25,'Capabilities Overview'!$A$2:$A$587,1)=C25,"","Not in UCL")</f>
        <v/>
      </c>
      <c r="E25" t="s">
        <v>1</v>
      </c>
      <c r="F25" t="s">
        <v>275</v>
      </c>
      <c r="G25" t="s">
        <v>275</v>
      </c>
      <c r="H25" t="s">
        <v>275</v>
      </c>
      <c r="I25" t="s">
        <v>41</v>
      </c>
      <c r="J25" t="s">
        <v>41</v>
      </c>
      <c r="K25" t="s">
        <v>41</v>
      </c>
      <c r="L25" t="s">
        <v>275</v>
      </c>
      <c r="M25" t="s">
        <v>275</v>
      </c>
      <c r="N25" t="s">
        <v>275</v>
      </c>
      <c r="O25" t="s">
        <v>275</v>
      </c>
      <c r="P25" t="s">
        <v>275</v>
      </c>
      <c r="Q25" t="s">
        <v>275</v>
      </c>
      <c r="R25" t="s">
        <v>275</v>
      </c>
      <c r="S25" t="s">
        <v>275</v>
      </c>
      <c r="T25" t="s">
        <v>1</v>
      </c>
      <c r="U25" t="s">
        <v>275</v>
      </c>
      <c r="V25" t="s">
        <v>275</v>
      </c>
      <c r="W25" t="s">
        <v>10</v>
      </c>
      <c r="X25" t="s">
        <v>275</v>
      </c>
      <c r="Y25" t="s">
        <v>275</v>
      </c>
      <c r="Z25" t="s">
        <v>275</v>
      </c>
      <c r="AA25" t="s">
        <v>275</v>
      </c>
      <c r="AB25" t="s">
        <v>275</v>
      </c>
      <c r="AC25" t="s">
        <v>275</v>
      </c>
      <c r="AD25" t="s">
        <v>1</v>
      </c>
    </row>
    <row r="26" spans="1:30">
      <c r="A26">
        <v>24</v>
      </c>
      <c r="B26" t="s">
        <v>46</v>
      </c>
      <c r="C26" t="s">
        <v>47</v>
      </c>
      <c r="D26" t="str">
        <f>IF(VLOOKUP(C26,'Capabilities Overview'!$A$2:$A$587,1)=C26,"","Not in UCL")</f>
        <v/>
      </c>
      <c r="E26" t="s">
        <v>1</v>
      </c>
      <c r="F26" t="s">
        <v>275</v>
      </c>
      <c r="G26" t="s">
        <v>275</v>
      </c>
      <c r="H26" t="s">
        <v>275</v>
      </c>
      <c r="I26" t="s">
        <v>41</v>
      </c>
      <c r="J26" t="s">
        <v>41</v>
      </c>
      <c r="K26" t="s">
        <v>41</v>
      </c>
      <c r="L26" t="s">
        <v>275</v>
      </c>
      <c r="M26" t="s">
        <v>275</v>
      </c>
      <c r="N26" t="s">
        <v>275</v>
      </c>
      <c r="O26" t="s">
        <v>275</v>
      </c>
      <c r="P26" t="s">
        <v>275</v>
      </c>
      <c r="Q26" t="s">
        <v>275</v>
      </c>
      <c r="R26" t="s">
        <v>275</v>
      </c>
      <c r="S26" t="s">
        <v>275</v>
      </c>
      <c r="T26" t="s">
        <v>1</v>
      </c>
      <c r="U26" t="s">
        <v>275</v>
      </c>
      <c r="V26" t="s">
        <v>275</v>
      </c>
      <c r="W26" t="s">
        <v>10</v>
      </c>
      <c r="X26" t="s">
        <v>275</v>
      </c>
      <c r="Y26" t="s">
        <v>275</v>
      </c>
      <c r="Z26" t="s">
        <v>275</v>
      </c>
      <c r="AA26" t="s">
        <v>275</v>
      </c>
      <c r="AB26" t="s">
        <v>275</v>
      </c>
      <c r="AC26" t="s">
        <v>275</v>
      </c>
      <c r="AD26" t="s">
        <v>1</v>
      </c>
    </row>
    <row r="27" spans="1:30">
      <c r="A27">
        <v>25</v>
      </c>
      <c r="B27" t="s">
        <v>48</v>
      </c>
      <c r="C27" t="s">
        <v>49</v>
      </c>
      <c r="D27" t="str">
        <f>IF(VLOOKUP(C27,'Capabilities Overview'!$A$2:$A$587,1)=C27,"","Not in UCL")</f>
        <v/>
      </c>
      <c r="E27" t="s">
        <v>1</v>
      </c>
      <c r="F27" t="s">
        <v>275</v>
      </c>
      <c r="G27" t="s">
        <v>275</v>
      </c>
      <c r="H27" t="s">
        <v>275</v>
      </c>
      <c r="I27" t="s">
        <v>41</v>
      </c>
      <c r="J27" t="s">
        <v>41</v>
      </c>
      <c r="K27" t="s">
        <v>41</v>
      </c>
      <c r="L27" t="s">
        <v>275</v>
      </c>
      <c r="M27" t="s">
        <v>275</v>
      </c>
      <c r="N27" t="s">
        <v>275</v>
      </c>
      <c r="O27" t="s">
        <v>275</v>
      </c>
      <c r="P27" t="s">
        <v>275</v>
      </c>
      <c r="Q27" t="s">
        <v>275</v>
      </c>
      <c r="R27" t="s">
        <v>275</v>
      </c>
      <c r="S27" t="s">
        <v>275</v>
      </c>
      <c r="T27" t="s">
        <v>1</v>
      </c>
      <c r="U27" t="s">
        <v>275</v>
      </c>
      <c r="V27" t="s">
        <v>275</v>
      </c>
      <c r="W27" t="s">
        <v>10</v>
      </c>
      <c r="X27" t="s">
        <v>275</v>
      </c>
      <c r="Y27" t="s">
        <v>275</v>
      </c>
      <c r="Z27" t="s">
        <v>275</v>
      </c>
      <c r="AA27" t="s">
        <v>275</v>
      </c>
      <c r="AB27" t="s">
        <v>275</v>
      </c>
      <c r="AC27" t="s">
        <v>275</v>
      </c>
      <c r="AD27" t="s">
        <v>1</v>
      </c>
    </row>
    <row r="28" spans="1:30">
      <c r="A28">
        <v>26</v>
      </c>
      <c r="B28" t="s">
        <v>280</v>
      </c>
      <c r="C28" t="s">
        <v>281</v>
      </c>
      <c r="D28" t="str">
        <f>IF(VLOOKUP(C28,'Capabilities Overview'!$A$2:$A$587,1)=C28,"","Not in UCL")</f>
        <v>Not in UCL</v>
      </c>
      <c r="E28" t="s">
        <v>1</v>
      </c>
      <c r="F28" t="s">
        <v>275</v>
      </c>
      <c r="G28" t="s">
        <v>275</v>
      </c>
      <c r="H28" t="s">
        <v>275</v>
      </c>
      <c r="I28" t="s">
        <v>275</v>
      </c>
      <c r="J28" t="s">
        <v>275</v>
      </c>
      <c r="K28" t="s">
        <v>275</v>
      </c>
      <c r="L28" t="s">
        <v>275</v>
      </c>
      <c r="M28" t="s">
        <v>41</v>
      </c>
      <c r="N28" t="s">
        <v>41</v>
      </c>
      <c r="O28" t="s">
        <v>41</v>
      </c>
      <c r="P28" t="s">
        <v>275</v>
      </c>
      <c r="Q28" t="s">
        <v>41</v>
      </c>
      <c r="R28" t="s">
        <v>10</v>
      </c>
      <c r="S28" t="s">
        <v>275</v>
      </c>
      <c r="T28" t="s">
        <v>275</v>
      </c>
      <c r="U28" t="s">
        <v>275</v>
      </c>
      <c r="V28" t="s">
        <v>275</v>
      </c>
      <c r="W28" t="s">
        <v>275</v>
      </c>
      <c r="X28" t="s">
        <v>275</v>
      </c>
      <c r="Y28" t="s">
        <v>275</v>
      </c>
      <c r="Z28" t="s">
        <v>275</v>
      </c>
      <c r="AA28" t="s">
        <v>275</v>
      </c>
      <c r="AB28" t="s">
        <v>275</v>
      </c>
      <c r="AC28" t="s">
        <v>275</v>
      </c>
      <c r="AD28" t="s">
        <v>275</v>
      </c>
    </row>
    <row r="29" spans="1:30">
      <c r="A29">
        <v>27</v>
      </c>
      <c r="B29" t="s">
        <v>282</v>
      </c>
      <c r="C29" t="s">
        <v>283</v>
      </c>
      <c r="D29" t="str">
        <f>IF(VLOOKUP(C29,'Capabilities Overview'!$A$2:$A$587,1)=C29,"","Not in UCL")</f>
        <v>Not in UCL</v>
      </c>
      <c r="E29" t="s">
        <v>1</v>
      </c>
      <c r="F29" t="s">
        <v>275</v>
      </c>
      <c r="G29" t="s">
        <v>275</v>
      </c>
      <c r="H29" t="s">
        <v>275</v>
      </c>
      <c r="I29" t="s">
        <v>275</v>
      </c>
      <c r="J29" t="s">
        <v>275</v>
      </c>
      <c r="K29" t="s">
        <v>275</v>
      </c>
      <c r="L29" t="s">
        <v>275</v>
      </c>
      <c r="M29" t="s">
        <v>41</v>
      </c>
      <c r="N29" t="s">
        <v>41</v>
      </c>
      <c r="O29" t="s">
        <v>41</v>
      </c>
      <c r="P29" t="s">
        <v>275</v>
      </c>
      <c r="Q29" t="s">
        <v>41</v>
      </c>
      <c r="R29" t="s">
        <v>10</v>
      </c>
      <c r="S29" t="s">
        <v>275</v>
      </c>
      <c r="T29" t="s">
        <v>275</v>
      </c>
      <c r="U29" t="s">
        <v>275</v>
      </c>
      <c r="V29" t="s">
        <v>275</v>
      </c>
      <c r="W29" t="s">
        <v>275</v>
      </c>
      <c r="X29" t="s">
        <v>275</v>
      </c>
      <c r="Y29" t="s">
        <v>275</v>
      </c>
      <c r="Z29" t="s">
        <v>275</v>
      </c>
      <c r="AA29" t="s">
        <v>275</v>
      </c>
      <c r="AB29" t="s">
        <v>275</v>
      </c>
      <c r="AC29" t="s">
        <v>275</v>
      </c>
      <c r="AD29" t="s">
        <v>275</v>
      </c>
    </row>
    <row r="30" spans="1:30">
      <c r="A30">
        <v>28</v>
      </c>
      <c r="B30" t="s">
        <v>284</v>
      </c>
      <c r="C30" t="s">
        <v>285</v>
      </c>
      <c r="D30" t="str">
        <f>IF(VLOOKUP(C30,'Capabilities Overview'!$A$2:$A$587,1)=C30,"","Not in UCL")</f>
        <v>Not in UCL</v>
      </c>
      <c r="E30" t="s">
        <v>1</v>
      </c>
      <c r="F30" t="s">
        <v>275</v>
      </c>
      <c r="G30" t="s">
        <v>275</v>
      </c>
      <c r="H30" t="s">
        <v>275</v>
      </c>
      <c r="I30" t="s">
        <v>275</v>
      </c>
      <c r="J30" t="s">
        <v>275</v>
      </c>
      <c r="K30" t="s">
        <v>275</v>
      </c>
      <c r="L30" t="s">
        <v>275</v>
      </c>
      <c r="M30" t="s">
        <v>1</v>
      </c>
      <c r="N30" t="s">
        <v>1</v>
      </c>
      <c r="O30" t="s">
        <v>1</v>
      </c>
      <c r="P30" t="s">
        <v>275</v>
      </c>
      <c r="Q30" t="s">
        <v>1</v>
      </c>
      <c r="R30" t="s">
        <v>10</v>
      </c>
      <c r="S30" t="s">
        <v>275</v>
      </c>
      <c r="T30" t="s">
        <v>275</v>
      </c>
      <c r="U30" t="s">
        <v>275</v>
      </c>
      <c r="V30" t="s">
        <v>275</v>
      </c>
      <c r="W30" t="s">
        <v>275</v>
      </c>
      <c r="X30" t="s">
        <v>275</v>
      </c>
      <c r="Y30" t="s">
        <v>275</v>
      </c>
      <c r="Z30" t="s">
        <v>275</v>
      </c>
      <c r="AA30" t="s">
        <v>275</v>
      </c>
      <c r="AB30" t="s">
        <v>275</v>
      </c>
      <c r="AC30" t="s">
        <v>275</v>
      </c>
      <c r="AD30" t="s">
        <v>275</v>
      </c>
    </row>
    <row r="31" spans="1:30">
      <c r="A31">
        <v>29</v>
      </c>
      <c r="B31" t="s">
        <v>286</v>
      </c>
      <c r="C31" t="s">
        <v>287</v>
      </c>
      <c r="D31" t="str">
        <f>IF(VLOOKUP(C31,'Capabilities Overview'!$A$2:$A$587,1)=C31,"","Not in UCL")</f>
        <v>Not in UCL</v>
      </c>
      <c r="E31" t="s">
        <v>1</v>
      </c>
      <c r="F31" t="s">
        <v>275</v>
      </c>
      <c r="G31" t="s">
        <v>275</v>
      </c>
      <c r="H31" t="s">
        <v>275</v>
      </c>
      <c r="I31" t="s">
        <v>275</v>
      </c>
      <c r="J31" t="s">
        <v>275</v>
      </c>
      <c r="K31" t="s">
        <v>275</v>
      </c>
      <c r="L31" t="s">
        <v>275</v>
      </c>
      <c r="M31" t="s">
        <v>1</v>
      </c>
      <c r="N31" t="s">
        <v>1</v>
      </c>
      <c r="O31" t="s">
        <v>1</v>
      </c>
      <c r="P31" t="s">
        <v>275</v>
      </c>
      <c r="Q31" t="s">
        <v>1</v>
      </c>
      <c r="R31" t="s">
        <v>10</v>
      </c>
      <c r="S31" t="s">
        <v>275</v>
      </c>
      <c r="T31" t="s">
        <v>275</v>
      </c>
      <c r="U31" t="s">
        <v>275</v>
      </c>
      <c r="V31" t="s">
        <v>275</v>
      </c>
      <c r="W31" t="s">
        <v>275</v>
      </c>
      <c r="X31" t="s">
        <v>275</v>
      </c>
      <c r="Y31" t="s">
        <v>275</v>
      </c>
      <c r="Z31" t="s">
        <v>275</v>
      </c>
      <c r="AA31" t="s">
        <v>275</v>
      </c>
      <c r="AB31" t="s">
        <v>275</v>
      </c>
      <c r="AC31" t="s">
        <v>275</v>
      </c>
      <c r="AD31" t="s">
        <v>275</v>
      </c>
    </row>
    <row r="32" spans="1:30">
      <c r="A32">
        <v>30</v>
      </c>
      <c r="B32" t="s">
        <v>288</v>
      </c>
      <c r="C32" t="s">
        <v>289</v>
      </c>
      <c r="D32" t="str">
        <f>IF(VLOOKUP(C32,'Capabilities Overview'!$A$2:$A$587,1)=C32,"","Not in UCL")</f>
        <v>Not in UCL</v>
      </c>
      <c r="E32" t="s">
        <v>1</v>
      </c>
      <c r="F32" t="s">
        <v>275</v>
      </c>
      <c r="G32" t="s">
        <v>275</v>
      </c>
      <c r="H32" t="s">
        <v>275</v>
      </c>
      <c r="I32" t="s">
        <v>275</v>
      </c>
      <c r="J32" t="s">
        <v>275</v>
      </c>
      <c r="K32" t="s">
        <v>275</v>
      </c>
      <c r="L32" t="s">
        <v>275</v>
      </c>
      <c r="M32" t="s">
        <v>1</v>
      </c>
      <c r="N32" t="s">
        <v>1</v>
      </c>
      <c r="O32" t="s">
        <v>1</v>
      </c>
      <c r="P32" t="s">
        <v>275</v>
      </c>
      <c r="Q32" t="s">
        <v>1</v>
      </c>
      <c r="R32" t="s">
        <v>10</v>
      </c>
      <c r="S32" t="s">
        <v>275</v>
      </c>
      <c r="T32" t="s">
        <v>275</v>
      </c>
      <c r="U32" t="s">
        <v>275</v>
      </c>
      <c r="V32" t="s">
        <v>275</v>
      </c>
      <c r="W32" t="s">
        <v>275</v>
      </c>
      <c r="X32" t="s">
        <v>275</v>
      </c>
      <c r="Y32" t="s">
        <v>275</v>
      </c>
      <c r="Z32" t="s">
        <v>275</v>
      </c>
      <c r="AA32" t="s">
        <v>275</v>
      </c>
      <c r="AB32" t="s">
        <v>275</v>
      </c>
      <c r="AC32" t="s">
        <v>275</v>
      </c>
      <c r="AD32" t="s">
        <v>275</v>
      </c>
    </row>
    <row r="33" spans="1:30">
      <c r="A33">
        <v>31</v>
      </c>
      <c r="B33" t="s">
        <v>290</v>
      </c>
      <c r="C33" t="s">
        <v>291</v>
      </c>
      <c r="D33" t="str">
        <f>IF(VLOOKUP(C33,'Capabilities Overview'!$A$2:$A$587,1)=C33,"","Not in UCL")</f>
        <v>Not in UCL</v>
      </c>
      <c r="E33" t="s">
        <v>1</v>
      </c>
      <c r="F33" t="s">
        <v>275</v>
      </c>
      <c r="G33" t="s">
        <v>275</v>
      </c>
      <c r="H33" t="s">
        <v>275</v>
      </c>
      <c r="I33" t="s">
        <v>275</v>
      </c>
      <c r="J33" t="s">
        <v>275</v>
      </c>
      <c r="K33" t="s">
        <v>275</v>
      </c>
      <c r="L33" t="s">
        <v>275</v>
      </c>
      <c r="M33" t="s">
        <v>275</v>
      </c>
      <c r="N33" t="s">
        <v>275</v>
      </c>
      <c r="O33" t="s">
        <v>275</v>
      </c>
      <c r="P33" t="s">
        <v>275</v>
      </c>
      <c r="Q33" t="s">
        <v>275</v>
      </c>
      <c r="R33" t="s">
        <v>275</v>
      </c>
      <c r="S33" t="s">
        <v>275</v>
      </c>
      <c r="T33" t="s">
        <v>275</v>
      </c>
      <c r="U33" t="s">
        <v>275</v>
      </c>
      <c r="V33" t="s">
        <v>275</v>
      </c>
      <c r="W33" t="s">
        <v>275</v>
      </c>
      <c r="X33" t="s">
        <v>275</v>
      </c>
      <c r="Y33" t="s">
        <v>275</v>
      </c>
      <c r="Z33" t="s">
        <v>275</v>
      </c>
      <c r="AA33" t="s">
        <v>275</v>
      </c>
      <c r="AB33" t="s">
        <v>275</v>
      </c>
      <c r="AC33" t="s">
        <v>1</v>
      </c>
      <c r="AD33" t="s">
        <v>275</v>
      </c>
    </row>
    <row r="34" spans="1:30">
      <c r="A34">
        <v>32</v>
      </c>
      <c r="B34" t="s">
        <v>292</v>
      </c>
      <c r="C34" t="s">
        <v>293</v>
      </c>
      <c r="D34" t="str">
        <f>IF(VLOOKUP(C34,'Capabilities Overview'!$A$2:$A$587,1)=C34,"","Not in UCL")</f>
        <v>Not in UCL</v>
      </c>
      <c r="E34" t="s">
        <v>1</v>
      </c>
      <c r="F34" t="s">
        <v>275</v>
      </c>
      <c r="G34" t="s">
        <v>275</v>
      </c>
      <c r="H34" t="s">
        <v>275</v>
      </c>
      <c r="I34" t="s">
        <v>275</v>
      </c>
      <c r="J34" t="s">
        <v>275</v>
      </c>
      <c r="K34" t="s">
        <v>275</v>
      </c>
      <c r="L34" t="s">
        <v>275</v>
      </c>
      <c r="M34" t="s">
        <v>275</v>
      </c>
      <c r="N34" t="s">
        <v>275</v>
      </c>
      <c r="O34" t="s">
        <v>275</v>
      </c>
      <c r="P34" t="s">
        <v>275</v>
      </c>
      <c r="Q34" t="s">
        <v>275</v>
      </c>
      <c r="R34" t="s">
        <v>275</v>
      </c>
      <c r="S34" t="s">
        <v>275</v>
      </c>
      <c r="T34" t="s">
        <v>275</v>
      </c>
      <c r="U34" t="s">
        <v>275</v>
      </c>
      <c r="V34" t="s">
        <v>275</v>
      </c>
      <c r="W34" t="s">
        <v>275</v>
      </c>
      <c r="X34" t="s">
        <v>275</v>
      </c>
      <c r="Y34" t="s">
        <v>275</v>
      </c>
      <c r="Z34" t="s">
        <v>275</v>
      </c>
      <c r="AA34" t="s">
        <v>275</v>
      </c>
      <c r="AB34" t="s">
        <v>275</v>
      </c>
      <c r="AC34" t="s">
        <v>1</v>
      </c>
      <c r="AD34" t="s">
        <v>275</v>
      </c>
    </row>
    <row r="35" spans="1:30">
      <c r="A35">
        <v>33</v>
      </c>
      <c r="B35" t="s">
        <v>294</v>
      </c>
      <c r="C35" t="s">
        <v>295</v>
      </c>
      <c r="D35" t="str">
        <f>IF(VLOOKUP(C35,'Capabilities Overview'!$A$2:$A$587,1)=C35,"","Not in UCL")</f>
        <v>Not in UCL</v>
      </c>
      <c r="E35" t="s">
        <v>1</v>
      </c>
      <c r="F35" t="s">
        <v>275</v>
      </c>
      <c r="G35" t="s">
        <v>1</v>
      </c>
      <c r="H35" t="s">
        <v>275</v>
      </c>
      <c r="I35" t="s">
        <v>275</v>
      </c>
      <c r="J35" t="s">
        <v>275</v>
      </c>
      <c r="K35" t="s">
        <v>275</v>
      </c>
      <c r="L35" t="s">
        <v>275</v>
      </c>
      <c r="M35" t="s">
        <v>1</v>
      </c>
      <c r="N35" t="s">
        <v>1</v>
      </c>
      <c r="O35" t="s">
        <v>1</v>
      </c>
      <c r="P35" t="s">
        <v>275</v>
      </c>
      <c r="Q35" t="s">
        <v>1</v>
      </c>
      <c r="R35" t="s">
        <v>275</v>
      </c>
      <c r="S35" t="s">
        <v>275</v>
      </c>
      <c r="T35" t="s">
        <v>275</v>
      </c>
      <c r="U35" t="s">
        <v>275</v>
      </c>
      <c r="V35" t="s">
        <v>275</v>
      </c>
      <c r="W35" t="s">
        <v>275</v>
      </c>
      <c r="X35" t="s">
        <v>275</v>
      </c>
      <c r="Y35" t="s">
        <v>275</v>
      </c>
      <c r="Z35" t="s">
        <v>275</v>
      </c>
      <c r="AA35" t="s">
        <v>275</v>
      </c>
      <c r="AB35" t="s">
        <v>1</v>
      </c>
      <c r="AC35" t="s">
        <v>1</v>
      </c>
      <c r="AD35" t="s">
        <v>275</v>
      </c>
    </row>
    <row r="36" spans="1:30">
      <c r="A36">
        <v>34</v>
      </c>
      <c r="B36" t="s">
        <v>296</v>
      </c>
      <c r="C36" t="s">
        <v>297</v>
      </c>
      <c r="D36" t="str">
        <f>IF(VLOOKUP(C36,'Capabilities Overview'!$A$2:$A$587,1)=C36,"","Not in UCL")</f>
        <v>Not in UCL</v>
      </c>
      <c r="E36" t="s">
        <v>275</v>
      </c>
      <c r="F36" t="s">
        <v>275</v>
      </c>
      <c r="G36" t="s">
        <v>275</v>
      </c>
      <c r="H36" t="s">
        <v>275</v>
      </c>
      <c r="I36" t="s">
        <v>275</v>
      </c>
      <c r="J36" t="s">
        <v>275</v>
      </c>
      <c r="K36" t="s">
        <v>275</v>
      </c>
      <c r="L36" t="s">
        <v>275</v>
      </c>
      <c r="M36" t="s">
        <v>275</v>
      </c>
      <c r="N36" t="s">
        <v>275</v>
      </c>
      <c r="O36" t="s">
        <v>275</v>
      </c>
      <c r="P36" t="s">
        <v>275</v>
      </c>
      <c r="Q36" t="s">
        <v>275</v>
      </c>
      <c r="R36" t="s">
        <v>275</v>
      </c>
      <c r="S36" t="s">
        <v>275</v>
      </c>
      <c r="T36" t="s">
        <v>275</v>
      </c>
      <c r="U36" t="s">
        <v>275</v>
      </c>
      <c r="V36" t="s">
        <v>275</v>
      </c>
      <c r="W36" t="s">
        <v>275</v>
      </c>
      <c r="X36" t="s">
        <v>275</v>
      </c>
      <c r="Y36" t="s">
        <v>275</v>
      </c>
      <c r="Z36" t="s">
        <v>275</v>
      </c>
      <c r="AA36" t="s">
        <v>275</v>
      </c>
      <c r="AB36" t="s">
        <v>275</v>
      </c>
      <c r="AC36" t="s">
        <v>275</v>
      </c>
      <c r="AD36" t="s">
        <v>275</v>
      </c>
    </row>
    <row r="37" spans="1:30">
      <c r="A37">
        <v>35</v>
      </c>
      <c r="B37" t="s">
        <v>298</v>
      </c>
      <c r="C37" t="s">
        <v>299</v>
      </c>
      <c r="D37" t="str">
        <f>IF(VLOOKUP(C37,'Capabilities Overview'!$A$2:$A$587,1)=C37,"","Not in UCL")</f>
        <v>Not in UCL</v>
      </c>
      <c r="E37" t="s">
        <v>1</v>
      </c>
      <c r="F37" t="s">
        <v>275</v>
      </c>
      <c r="G37" t="s">
        <v>275</v>
      </c>
      <c r="H37" t="s">
        <v>275</v>
      </c>
      <c r="I37" t="s">
        <v>275</v>
      </c>
      <c r="J37" t="s">
        <v>275</v>
      </c>
      <c r="K37" t="s">
        <v>275</v>
      </c>
      <c r="L37" t="s">
        <v>275</v>
      </c>
      <c r="M37" t="s">
        <v>275</v>
      </c>
      <c r="N37" t="s">
        <v>275</v>
      </c>
      <c r="O37" t="s">
        <v>275</v>
      </c>
      <c r="P37" t="s">
        <v>275</v>
      </c>
      <c r="Q37" t="s">
        <v>275</v>
      </c>
      <c r="R37" t="s">
        <v>275</v>
      </c>
      <c r="S37" t="s">
        <v>275</v>
      </c>
      <c r="T37" t="s">
        <v>275</v>
      </c>
      <c r="U37" t="s">
        <v>275</v>
      </c>
      <c r="V37" t="s">
        <v>275</v>
      </c>
      <c r="W37" t="s">
        <v>275</v>
      </c>
      <c r="X37" t="s">
        <v>275</v>
      </c>
      <c r="Y37" t="s">
        <v>275</v>
      </c>
      <c r="Z37" t="s">
        <v>275</v>
      </c>
      <c r="AA37" t="s">
        <v>275</v>
      </c>
      <c r="AB37" t="s">
        <v>275</v>
      </c>
      <c r="AC37" t="s">
        <v>1</v>
      </c>
      <c r="AD37" t="s">
        <v>275</v>
      </c>
    </row>
    <row r="38" spans="1:30">
      <c r="A38">
        <v>36</v>
      </c>
      <c r="B38" t="s">
        <v>300</v>
      </c>
      <c r="C38" t="s">
        <v>301</v>
      </c>
      <c r="D38" t="str">
        <f>IF(VLOOKUP(C38,'Capabilities Overview'!$A$2:$A$587,1)=C38,"","Not in UCL")</f>
        <v>Not in UCL</v>
      </c>
      <c r="E38" t="s">
        <v>1</v>
      </c>
      <c r="F38" t="s">
        <v>275</v>
      </c>
      <c r="G38" t="s">
        <v>275</v>
      </c>
      <c r="H38" t="s">
        <v>275</v>
      </c>
      <c r="I38" t="s">
        <v>275</v>
      </c>
      <c r="J38" t="s">
        <v>275</v>
      </c>
      <c r="K38" t="s">
        <v>275</v>
      </c>
      <c r="L38" t="s">
        <v>275</v>
      </c>
      <c r="M38" t="s">
        <v>275</v>
      </c>
      <c r="N38" t="s">
        <v>275</v>
      </c>
      <c r="O38" t="s">
        <v>275</v>
      </c>
      <c r="P38" t="s">
        <v>275</v>
      </c>
      <c r="Q38" t="s">
        <v>275</v>
      </c>
      <c r="R38" t="s">
        <v>275</v>
      </c>
      <c r="S38" t="s">
        <v>275</v>
      </c>
      <c r="T38" t="s">
        <v>275</v>
      </c>
      <c r="U38" t="s">
        <v>275</v>
      </c>
      <c r="V38" t="s">
        <v>275</v>
      </c>
      <c r="W38" t="s">
        <v>275</v>
      </c>
      <c r="X38" t="s">
        <v>275</v>
      </c>
      <c r="Y38" t="s">
        <v>275</v>
      </c>
      <c r="Z38" t="s">
        <v>275</v>
      </c>
      <c r="AA38" t="s">
        <v>275</v>
      </c>
      <c r="AB38" t="s">
        <v>275</v>
      </c>
      <c r="AC38" t="s">
        <v>275</v>
      </c>
      <c r="AD38" t="s">
        <v>275</v>
      </c>
    </row>
    <row r="39" spans="1:30">
      <c r="A39">
        <v>37</v>
      </c>
      <c r="B39" t="s">
        <v>302</v>
      </c>
      <c r="C39" t="s">
        <v>303</v>
      </c>
      <c r="D39" t="str">
        <f>IF(VLOOKUP(C39,'Capabilities Overview'!$A$2:$A$587,1)=C39,"","Not in UCL")</f>
        <v>Not in UCL</v>
      </c>
      <c r="E39" t="s">
        <v>275</v>
      </c>
      <c r="F39" t="s">
        <v>275</v>
      </c>
      <c r="G39" t="s">
        <v>275</v>
      </c>
      <c r="H39" t="s">
        <v>275</v>
      </c>
      <c r="I39" t="s">
        <v>275</v>
      </c>
      <c r="J39" t="s">
        <v>275</v>
      </c>
      <c r="K39" t="s">
        <v>275</v>
      </c>
      <c r="L39" t="s">
        <v>275</v>
      </c>
      <c r="M39" t="s">
        <v>275</v>
      </c>
      <c r="N39" t="s">
        <v>275</v>
      </c>
      <c r="O39" t="s">
        <v>275</v>
      </c>
      <c r="P39" t="s">
        <v>275</v>
      </c>
      <c r="Q39" t="s">
        <v>275</v>
      </c>
      <c r="R39" t="s">
        <v>275</v>
      </c>
      <c r="S39" t="s">
        <v>275</v>
      </c>
      <c r="T39" t="s">
        <v>275</v>
      </c>
      <c r="U39" t="s">
        <v>275</v>
      </c>
      <c r="V39" t="s">
        <v>275</v>
      </c>
      <c r="W39" t="s">
        <v>275</v>
      </c>
      <c r="X39" t="s">
        <v>275</v>
      </c>
      <c r="Y39" t="s">
        <v>275</v>
      </c>
      <c r="Z39" t="s">
        <v>275</v>
      </c>
      <c r="AA39" t="s">
        <v>275</v>
      </c>
      <c r="AB39" t="s">
        <v>275</v>
      </c>
      <c r="AC39" t="s">
        <v>275</v>
      </c>
      <c r="AD39" t="s">
        <v>275</v>
      </c>
    </row>
    <row r="40" spans="1:30">
      <c r="A40">
        <v>38</v>
      </c>
      <c r="B40" t="s">
        <v>304</v>
      </c>
      <c r="C40" t="s">
        <v>305</v>
      </c>
      <c r="D40" t="str">
        <f>IF(VLOOKUP(C40,'Capabilities Overview'!$A$2:$A$587,1)=C40,"","Not in UCL")</f>
        <v>Not in UCL</v>
      </c>
      <c r="E40" t="s">
        <v>1</v>
      </c>
      <c r="F40" t="s">
        <v>275</v>
      </c>
      <c r="G40" t="s">
        <v>1</v>
      </c>
      <c r="H40" t="s">
        <v>275</v>
      </c>
      <c r="I40" t="s">
        <v>275</v>
      </c>
      <c r="J40" t="s">
        <v>275</v>
      </c>
      <c r="K40" t="s">
        <v>275</v>
      </c>
      <c r="L40" t="s">
        <v>275</v>
      </c>
      <c r="M40" t="s">
        <v>1</v>
      </c>
      <c r="N40" t="s">
        <v>1</v>
      </c>
      <c r="O40" t="s">
        <v>1</v>
      </c>
      <c r="P40" t="s">
        <v>275</v>
      </c>
      <c r="Q40" t="s">
        <v>1</v>
      </c>
      <c r="R40" t="s">
        <v>275</v>
      </c>
      <c r="S40" t="s">
        <v>275</v>
      </c>
      <c r="T40" t="s">
        <v>275</v>
      </c>
      <c r="U40" t="s">
        <v>275</v>
      </c>
      <c r="V40" t="s">
        <v>275</v>
      </c>
      <c r="W40" t="s">
        <v>275</v>
      </c>
      <c r="X40" t="s">
        <v>275</v>
      </c>
      <c r="Y40" t="s">
        <v>275</v>
      </c>
      <c r="Z40" t="s">
        <v>275</v>
      </c>
      <c r="AA40" t="s">
        <v>275</v>
      </c>
      <c r="AB40" t="s">
        <v>275</v>
      </c>
      <c r="AC40" t="s">
        <v>1</v>
      </c>
      <c r="AD40" t="s">
        <v>275</v>
      </c>
    </row>
    <row r="41" spans="1:30">
      <c r="A41">
        <v>39</v>
      </c>
      <c r="B41" t="s">
        <v>306</v>
      </c>
      <c r="C41" t="s">
        <v>307</v>
      </c>
      <c r="D41" t="str">
        <f>IF(VLOOKUP(C41,'Capabilities Overview'!$A$2:$A$587,1)=C41,"","Not in UCL")</f>
        <v>Not in UCL</v>
      </c>
      <c r="E41" t="s">
        <v>1</v>
      </c>
      <c r="F41" t="s">
        <v>275</v>
      </c>
      <c r="G41" t="s">
        <v>1</v>
      </c>
      <c r="H41" t="s">
        <v>275</v>
      </c>
      <c r="I41" t="s">
        <v>275</v>
      </c>
      <c r="J41" t="s">
        <v>275</v>
      </c>
      <c r="K41" t="s">
        <v>275</v>
      </c>
      <c r="L41" t="s">
        <v>275</v>
      </c>
      <c r="M41" t="s">
        <v>1</v>
      </c>
      <c r="N41" t="s">
        <v>1</v>
      </c>
      <c r="O41" t="s">
        <v>1</v>
      </c>
      <c r="P41" t="s">
        <v>275</v>
      </c>
      <c r="Q41" t="s">
        <v>1</v>
      </c>
      <c r="R41" t="s">
        <v>1</v>
      </c>
      <c r="S41" t="s">
        <v>275</v>
      </c>
      <c r="T41" t="s">
        <v>275</v>
      </c>
      <c r="U41" t="s">
        <v>275</v>
      </c>
      <c r="V41" t="s">
        <v>275</v>
      </c>
      <c r="W41" t="s">
        <v>275</v>
      </c>
      <c r="X41" t="s">
        <v>275</v>
      </c>
      <c r="Y41" t="s">
        <v>275</v>
      </c>
      <c r="Z41" t="s">
        <v>275</v>
      </c>
      <c r="AA41" t="s">
        <v>1</v>
      </c>
      <c r="AB41" t="s">
        <v>1</v>
      </c>
      <c r="AC41" t="s">
        <v>1</v>
      </c>
      <c r="AD41" t="s">
        <v>275</v>
      </c>
    </row>
    <row r="42" spans="1:30">
      <c r="A42">
        <v>40</v>
      </c>
      <c r="B42" t="s">
        <v>50</v>
      </c>
      <c r="C42" t="s">
        <v>51</v>
      </c>
      <c r="D42" t="str">
        <f>IF(VLOOKUP(C42,'Capabilities Overview'!$A$2:$A$587,1)=C42,"","Not in UCL")</f>
        <v/>
      </c>
      <c r="E42" t="s">
        <v>1</v>
      </c>
      <c r="F42" t="s">
        <v>275</v>
      </c>
      <c r="G42" t="s">
        <v>275</v>
      </c>
      <c r="H42" t="s">
        <v>275</v>
      </c>
      <c r="I42" t="s">
        <v>41</v>
      </c>
      <c r="J42" t="s">
        <v>41</v>
      </c>
      <c r="K42" t="s">
        <v>41</v>
      </c>
      <c r="L42" t="s">
        <v>275</v>
      </c>
      <c r="M42" t="s">
        <v>275</v>
      </c>
      <c r="N42" t="s">
        <v>275</v>
      </c>
      <c r="O42" t="s">
        <v>275</v>
      </c>
      <c r="P42" t="s">
        <v>275</v>
      </c>
      <c r="Q42" t="s">
        <v>275</v>
      </c>
      <c r="R42" t="s">
        <v>275</v>
      </c>
      <c r="S42" t="s">
        <v>275</v>
      </c>
      <c r="T42" t="s">
        <v>1</v>
      </c>
      <c r="U42" t="s">
        <v>275</v>
      </c>
      <c r="V42" t="s">
        <v>275</v>
      </c>
      <c r="W42" t="s">
        <v>10</v>
      </c>
      <c r="X42" t="s">
        <v>275</v>
      </c>
      <c r="Y42" t="s">
        <v>275</v>
      </c>
      <c r="Z42" t="s">
        <v>275</v>
      </c>
      <c r="AA42" t="s">
        <v>275</v>
      </c>
      <c r="AB42" t="s">
        <v>275</v>
      </c>
      <c r="AC42" t="s">
        <v>275</v>
      </c>
      <c r="AD42" t="s">
        <v>1</v>
      </c>
    </row>
    <row r="43" spans="1:30">
      <c r="A43">
        <v>41</v>
      </c>
      <c r="B43" t="s">
        <v>52</v>
      </c>
      <c r="C43" t="s">
        <v>53</v>
      </c>
      <c r="D43" t="str">
        <f>IF(VLOOKUP(C43,'Capabilities Overview'!$A$2:$A$587,1)=C43,"","Not in UCL")</f>
        <v/>
      </c>
      <c r="E43" t="s">
        <v>1</v>
      </c>
      <c r="F43" t="s">
        <v>275</v>
      </c>
      <c r="G43" t="s">
        <v>275</v>
      </c>
      <c r="H43" t="s">
        <v>275</v>
      </c>
      <c r="I43" t="s">
        <v>41</v>
      </c>
      <c r="J43" t="s">
        <v>41</v>
      </c>
      <c r="K43" t="s">
        <v>41</v>
      </c>
      <c r="L43" t="s">
        <v>275</v>
      </c>
      <c r="M43" t="s">
        <v>275</v>
      </c>
      <c r="N43" t="s">
        <v>275</v>
      </c>
      <c r="O43" t="s">
        <v>275</v>
      </c>
      <c r="P43" t="s">
        <v>275</v>
      </c>
      <c r="Q43" t="s">
        <v>275</v>
      </c>
      <c r="R43" t="s">
        <v>275</v>
      </c>
      <c r="S43" t="s">
        <v>275</v>
      </c>
      <c r="T43" t="s">
        <v>1</v>
      </c>
      <c r="U43" t="s">
        <v>275</v>
      </c>
      <c r="V43" t="s">
        <v>275</v>
      </c>
      <c r="W43" t="s">
        <v>10</v>
      </c>
      <c r="X43" t="s">
        <v>275</v>
      </c>
      <c r="Y43" t="s">
        <v>275</v>
      </c>
      <c r="Z43" t="s">
        <v>275</v>
      </c>
      <c r="AA43" t="s">
        <v>275</v>
      </c>
      <c r="AB43" t="s">
        <v>275</v>
      </c>
      <c r="AC43" t="s">
        <v>275</v>
      </c>
      <c r="AD43" t="s">
        <v>1</v>
      </c>
    </row>
    <row r="44" spans="1:30">
      <c r="A44">
        <v>42</v>
      </c>
      <c r="B44" t="s">
        <v>54</v>
      </c>
      <c r="C44" t="s">
        <v>55</v>
      </c>
      <c r="D44" t="str">
        <f>IF(VLOOKUP(C44,'Capabilities Overview'!$A$2:$A$587,1)=C44,"","Not in UCL")</f>
        <v/>
      </c>
      <c r="E44" t="s">
        <v>1</v>
      </c>
      <c r="F44" t="s">
        <v>275</v>
      </c>
      <c r="G44" t="s">
        <v>275</v>
      </c>
      <c r="H44" t="s">
        <v>275</v>
      </c>
      <c r="I44" t="s">
        <v>41</v>
      </c>
      <c r="J44" t="s">
        <v>41</v>
      </c>
      <c r="K44" t="s">
        <v>41</v>
      </c>
      <c r="L44" t="s">
        <v>275</v>
      </c>
      <c r="M44" t="s">
        <v>275</v>
      </c>
      <c r="N44" t="s">
        <v>275</v>
      </c>
      <c r="O44" t="s">
        <v>275</v>
      </c>
      <c r="P44" t="s">
        <v>275</v>
      </c>
      <c r="Q44" t="s">
        <v>275</v>
      </c>
      <c r="R44" t="s">
        <v>275</v>
      </c>
      <c r="S44" t="s">
        <v>275</v>
      </c>
      <c r="T44" t="s">
        <v>1</v>
      </c>
      <c r="U44" t="s">
        <v>275</v>
      </c>
      <c r="V44" t="s">
        <v>275</v>
      </c>
      <c r="W44" t="s">
        <v>10</v>
      </c>
      <c r="X44" t="s">
        <v>275</v>
      </c>
      <c r="Y44" t="s">
        <v>275</v>
      </c>
      <c r="Z44" t="s">
        <v>275</v>
      </c>
      <c r="AA44" t="s">
        <v>275</v>
      </c>
      <c r="AB44" t="s">
        <v>275</v>
      </c>
      <c r="AC44" t="s">
        <v>275</v>
      </c>
      <c r="AD44" t="s">
        <v>1</v>
      </c>
    </row>
    <row r="45" spans="1:30">
      <c r="A45">
        <v>43</v>
      </c>
      <c r="B45" t="s">
        <v>56</v>
      </c>
      <c r="C45" t="s">
        <v>57</v>
      </c>
      <c r="D45" t="str">
        <f>IF(VLOOKUP(C45,'Capabilities Overview'!$A$2:$A$587,1)=C45,"","Not in UCL")</f>
        <v/>
      </c>
      <c r="E45" t="s">
        <v>1</v>
      </c>
      <c r="F45" t="s">
        <v>275</v>
      </c>
      <c r="G45" t="s">
        <v>275</v>
      </c>
      <c r="H45" t="s">
        <v>275</v>
      </c>
      <c r="I45" t="s">
        <v>41</v>
      </c>
      <c r="J45" t="s">
        <v>41</v>
      </c>
      <c r="K45" t="s">
        <v>41</v>
      </c>
      <c r="L45" t="s">
        <v>275</v>
      </c>
      <c r="M45" t="s">
        <v>275</v>
      </c>
      <c r="N45" t="s">
        <v>275</v>
      </c>
      <c r="O45" t="s">
        <v>275</v>
      </c>
      <c r="P45" t="s">
        <v>275</v>
      </c>
      <c r="Q45" t="s">
        <v>275</v>
      </c>
      <c r="R45" t="s">
        <v>275</v>
      </c>
      <c r="S45" t="s">
        <v>275</v>
      </c>
      <c r="T45" t="s">
        <v>1</v>
      </c>
      <c r="U45" t="s">
        <v>275</v>
      </c>
      <c r="V45" t="s">
        <v>275</v>
      </c>
      <c r="W45" t="s">
        <v>10</v>
      </c>
      <c r="X45" t="s">
        <v>275</v>
      </c>
      <c r="Y45" t="s">
        <v>275</v>
      </c>
      <c r="Z45" t="s">
        <v>275</v>
      </c>
      <c r="AA45" t="s">
        <v>275</v>
      </c>
      <c r="AB45" t="s">
        <v>275</v>
      </c>
      <c r="AC45" t="s">
        <v>275</v>
      </c>
      <c r="AD45" t="s">
        <v>1</v>
      </c>
    </row>
    <row r="46" spans="1:30">
      <c r="A46">
        <v>44</v>
      </c>
      <c r="B46" t="s">
        <v>58</v>
      </c>
      <c r="C46" t="s">
        <v>59</v>
      </c>
      <c r="D46" t="str">
        <f>IF(VLOOKUP(C46,'Capabilities Overview'!$A$2:$A$587,1)=C46,"","Not in UCL")</f>
        <v/>
      </c>
      <c r="E46" t="s">
        <v>1</v>
      </c>
      <c r="F46" t="s">
        <v>275</v>
      </c>
      <c r="G46" t="s">
        <v>275</v>
      </c>
      <c r="H46" t="s">
        <v>275</v>
      </c>
      <c r="I46" t="s">
        <v>41</v>
      </c>
      <c r="J46" t="s">
        <v>41</v>
      </c>
      <c r="K46" t="s">
        <v>41</v>
      </c>
      <c r="L46" t="s">
        <v>275</v>
      </c>
      <c r="M46" t="s">
        <v>275</v>
      </c>
      <c r="N46" t="s">
        <v>275</v>
      </c>
      <c r="O46" t="s">
        <v>275</v>
      </c>
      <c r="P46" t="s">
        <v>275</v>
      </c>
      <c r="Q46" t="s">
        <v>275</v>
      </c>
      <c r="R46" t="s">
        <v>275</v>
      </c>
      <c r="S46" t="s">
        <v>275</v>
      </c>
      <c r="T46" t="s">
        <v>1</v>
      </c>
      <c r="U46" t="s">
        <v>275</v>
      </c>
      <c r="V46" t="s">
        <v>275</v>
      </c>
      <c r="W46" t="s">
        <v>10</v>
      </c>
      <c r="X46" t="s">
        <v>275</v>
      </c>
      <c r="Y46" t="s">
        <v>275</v>
      </c>
      <c r="Z46" t="s">
        <v>275</v>
      </c>
      <c r="AA46" t="s">
        <v>275</v>
      </c>
      <c r="AB46" t="s">
        <v>275</v>
      </c>
      <c r="AC46" t="s">
        <v>275</v>
      </c>
      <c r="AD46" t="s">
        <v>1</v>
      </c>
    </row>
    <row r="47" spans="1:30">
      <c r="A47">
        <v>45</v>
      </c>
      <c r="B47" t="s">
        <v>60</v>
      </c>
      <c r="C47" t="s">
        <v>61</v>
      </c>
      <c r="D47" t="str">
        <f>IF(VLOOKUP(C47,'Capabilities Overview'!$A$2:$A$587,1)=C47,"","Not in UCL")</f>
        <v/>
      </c>
      <c r="E47" t="s">
        <v>1</v>
      </c>
      <c r="F47" t="s">
        <v>275</v>
      </c>
      <c r="G47" t="s">
        <v>275</v>
      </c>
      <c r="H47" t="s">
        <v>275</v>
      </c>
      <c r="I47" t="s">
        <v>41</v>
      </c>
      <c r="J47" t="s">
        <v>41</v>
      </c>
      <c r="K47" t="s">
        <v>41</v>
      </c>
      <c r="L47" t="s">
        <v>275</v>
      </c>
      <c r="M47" t="s">
        <v>275</v>
      </c>
      <c r="N47" t="s">
        <v>275</v>
      </c>
      <c r="O47" t="s">
        <v>275</v>
      </c>
      <c r="P47" t="s">
        <v>275</v>
      </c>
      <c r="Q47" t="s">
        <v>275</v>
      </c>
      <c r="R47" t="s">
        <v>275</v>
      </c>
      <c r="S47" t="s">
        <v>275</v>
      </c>
      <c r="T47" t="s">
        <v>1</v>
      </c>
      <c r="U47" t="s">
        <v>275</v>
      </c>
      <c r="V47" t="s">
        <v>275</v>
      </c>
      <c r="W47" t="s">
        <v>10</v>
      </c>
      <c r="X47" t="s">
        <v>275</v>
      </c>
      <c r="Y47" t="s">
        <v>275</v>
      </c>
      <c r="Z47" t="s">
        <v>275</v>
      </c>
      <c r="AA47" t="s">
        <v>275</v>
      </c>
      <c r="AB47" t="s">
        <v>275</v>
      </c>
      <c r="AC47" t="s">
        <v>275</v>
      </c>
      <c r="AD47" t="s">
        <v>1</v>
      </c>
    </row>
    <row r="48" spans="1:30">
      <c r="A48">
        <v>46</v>
      </c>
      <c r="B48" t="s">
        <v>62</v>
      </c>
      <c r="C48" t="s">
        <v>63</v>
      </c>
      <c r="D48" t="str">
        <f>IF(VLOOKUP(C48,'Capabilities Overview'!$A$2:$A$587,1)=C48,"","Not in UCL")</f>
        <v>Not in UCL</v>
      </c>
      <c r="E48" t="s">
        <v>1</v>
      </c>
      <c r="F48" t="s">
        <v>275</v>
      </c>
      <c r="G48" t="s">
        <v>275</v>
      </c>
      <c r="H48" t="s">
        <v>275</v>
      </c>
      <c r="I48" t="s">
        <v>41</v>
      </c>
      <c r="J48" t="s">
        <v>41</v>
      </c>
      <c r="K48" t="s">
        <v>41</v>
      </c>
      <c r="L48" t="s">
        <v>275</v>
      </c>
      <c r="M48" t="s">
        <v>275</v>
      </c>
      <c r="N48" t="s">
        <v>275</v>
      </c>
      <c r="O48" t="s">
        <v>275</v>
      </c>
      <c r="P48" t="s">
        <v>275</v>
      </c>
      <c r="Q48" t="s">
        <v>275</v>
      </c>
      <c r="R48" t="s">
        <v>275</v>
      </c>
      <c r="S48" t="s">
        <v>275</v>
      </c>
      <c r="T48" t="s">
        <v>1</v>
      </c>
      <c r="U48" t="s">
        <v>275</v>
      </c>
      <c r="V48" t="s">
        <v>275</v>
      </c>
      <c r="W48" t="s">
        <v>10</v>
      </c>
      <c r="X48" t="s">
        <v>275</v>
      </c>
      <c r="Y48" t="s">
        <v>275</v>
      </c>
      <c r="Z48" t="s">
        <v>275</v>
      </c>
      <c r="AA48" t="s">
        <v>275</v>
      </c>
      <c r="AB48" t="s">
        <v>275</v>
      </c>
      <c r="AC48" t="s">
        <v>275</v>
      </c>
      <c r="AD48" t="s">
        <v>1</v>
      </c>
    </row>
    <row r="49" spans="1:30">
      <c r="A49">
        <v>47</v>
      </c>
      <c r="B49" t="s">
        <v>308</v>
      </c>
      <c r="C49" t="s">
        <v>309</v>
      </c>
      <c r="D49" t="str">
        <f>IF(VLOOKUP(C49,'Capabilities Overview'!$A$2:$A$587,1)=C49,"","Not in UCL")</f>
        <v>Not in UCL</v>
      </c>
      <c r="E49" t="s">
        <v>1</v>
      </c>
      <c r="F49" t="s">
        <v>1</v>
      </c>
      <c r="G49" t="s">
        <v>275</v>
      </c>
      <c r="H49" t="s">
        <v>275</v>
      </c>
      <c r="I49" t="s">
        <v>275</v>
      </c>
      <c r="J49" t="s">
        <v>275</v>
      </c>
      <c r="K49" t="s">
        <v>275</v>
      </c>
      <c r="L49" t="s">
        <v>275</v>
      </c>
      <c r="M49" t="s">
        <v>1</v>
      </c>
      <c r="N49" t="s">
        <v>1</v>
      </c>
      <c r="O49" t="s">
        <v>1</v>
      </c>
      <c r="P49" t="s">
        <v>275</v>
      </c>
      <c r="Q49" t="s">
        <v>275</v>
      </c>
      <c r="R49" t="s">
        <v>275</v>
      </c>
      <c r="S49" t="s">
        <v>275</v>
      </c>
      <c r="T49" t="s">
        <v>275</v>
      </c>
      <c r="U49" t="s">
        <v>275</v>
      </c>
      <c r="V49" t="s">
        <v>275</v>
      </c>
      <c r="W49" t="s">
        <v>10</v>
      </c>
      <c r="X49" t="s">
        <v>275</v>
      </c>
      <c r="Y49" t="s">
        <v>275</v>
      </c>
      <c r="Z49" t="s">
        <v>275</v>
      </c>
      <c r="AA49" t="s">
        <v>275</v>
      </c>
      <c r="AB49" t="s">
        <v>275</v>
      </c>
      <c r="AC49" t="s">
        <v>275</v>
      </c>
      <c r="AD49" t="s">
        <v>275</v>
      </c>
    </row>
    <row r="50" spans="1:30">
      <c r="A50">
        <v>48</v>
      </c>
      <c r="B50" t="s">
        <v>310</v>
      </c>
      <c r="C50" t="s">
        <v>311</v>
      </c>
      <c r="D50" t="str">
        <f>IF(VLOOKUP(C50,'Capabilities Overview'!$A$2:$A$587,1)=C50,"","Not in UCL")</f>
        <v>Not in UCL</v>
      </c>
      <c r="E50" t="s">
        <v>1</v>
      </c>
      <c r="F50" t="s">
        <v>275</v>
      </c>
      <c r="G50" t="s">
        <v>275</v>
      </c>
      <c r="H50" t="s">
        <v>275</v>
      </c>
      <c r="I50" t="s">
        <v>275</v>
      </c>
      <c r="J50" t="s">
        <v>275</v>
      </c>
      <c r="K50" t="s">
        <v>275</v>
      </c>
      <c r="L50" t="s">
        <v>275</v>
      </c>
      <c r="M50" t="s">
        <v>275</v>
      </c>
      <c r="N50" t="s">
        <v>275</v>
      </c>
      <c r="O50" t="s">
        <v>275</v>
      </c>
      <c r="P50" t="s">
        <v>275</v>
      </c>
      <c r="Q50" t="s">
        <v>275</v>
      </c>
      <c r="R50" t="s">
        <v>275</v>
      </c>
      <c r="S50" t="s">
        <v>275</v>
      </c>
      <c r="T50" t="s">
        <v>275</v>
      </c>
      <c r="U50" t="s">
        <v>275</v>
      </c>
      <c r="V50" t="s">
        <v>275</v>
      </c>
      <c r="W50" t="s">
        <v>275</v>
      </c>
      <c r="X50" t="s">
        <v>275</v>
      </c>
      <c r="Y50" t="s">
        <v>275</v>
      </c>
      <c r="Z50" t="s">
        <v>275</v>
      </c>
      <c r="AA50" t="s">
        <v>275</v>
      </c>
      <c r="AB50" t="s">
        <v>275</v>
      </c>
      <c r="AC50" t="s">
        <v>275</v>
      </c>
      <c r="AD50" t="s">
        <v>275</v>
      </c>
    </row>
    <row r="51" spans="1:30">
      <c r="A51">
        <v>49</v>
      </c>
      <c r="B51" t="s">
        <v>64</v>
      </c>
      <c r="C51" t="s">
        <v>65</v>
      </c>
      <c r="D51" t="str">
        <f>IF(VLOOKUP(C51,'Capabilities Overview'!$A$2:$A$587,1)=C51,"","Not in UCL")</f>
        <v/>
      </c>
      <c r="E51" t="s">
        <v>1</v>
      </c>
      <c r="F51" t="s">
        <v>275</v>
      </c>
      <c r="G51" t="s">
        <v>275</v>
      </c>
      <c r="H51" t="s">
        <v>275</v>
      </c>
      <c r="I51" t="s">
        <v>41</v>
      </c>
      <c r="J51" t="s">
        <v>41</v>
      </c>
      <c r="K51" t="s">
        <v>41</v>
      </c>
      <c r="L51" t="s">
        <v>275</v>
      </c>
      <c r="M51" t="s">
        <v>275</v>
      </c>
      <c r="N51" t="s">
        <v>275</v>
      </c>
      <c r="O51" t="s">
        <v>275</v>
      </c>
      <c r="P51" t="s">
        <v>275</v>
      </c>
      <c r="Q51" t="s">
        <v>275</v>
      </c>
      <c r="R51" t="s">
        <v>275</v>
      </c>
      <c r="S51" t="s">
        <v>275</v>
      </c>
      <c r="T51" t="s">
        <v>1</v>
      </c>
      <c r="U51" t="s">
        <v>275</v>
      </c>
      <c r="V51" t="s">
        <v>275</v>
      </c>
      <c r="W51" t="s">
        <v>10</v>
      </c>
      <c r="X51" t="s">
        <v>275</v>
      </c>
      <c r="Y51" t="s">
        <v>275</v>
      </c>
      <c r="Z51" t="s">
        <v>275</v>
      </c>
      <c r="AA51" t="s">
        <v>275</v>
      </c>
      <c r="AB51" t="s">
        <v>275</v>
      </c>
      <c r="AC51" t="s">
        <v>275</v>
      </c>
      <c r="AD51" t="s">
        <v>1</v>
      </c>
    </row>
    <row r="52" spans="1:30">
      <c r="A52">
        <v>50</v>
      </c>
      <c r="B52" t="s">
        <v>66</v>
      </c>
      <c r="C52" t="s">
        <v>67</v>
      </c>
      <c r="D52" t="str">
        <f>IF(VLOOKUP(C52,'Capabilities Overview'!$A$2:$A$587,1)=C52,"","Not in UCL")</f>
        <v/>
      </c>
      <c r="E52" t="s">
        <v>1</v>
      </c>
      <c r="F52" t="s">
        <v>275</v>
      </c>
      <c r="G52" t="s">
        <v>275</v>
      </c>
      <c r="H52" t="s">
        <v>275</v>
      </c>
      <c r="I52" t="s">
        <v>41</v>
      </c>
      <c r="J52" t="s">
        <v>41</v>
      </c>
      <c r="K52" t="s">
        <v>41</v>
      </c>
      <c r="L52" t="s">
        <v>275</v>
      </c>
      <c r="M52" t="s">
        <v>275</v>
      </c>
      <c r="N52" t="s">
        <v>275</v>
      </c>
      <c r="O52" t="s">
        <v>275</v>
      </c>
      <c r="P52" t="s">
        <v>275</v>
      </c>
      <c r="Q52" t="s">
        <v>275</v>
      </c>
      <c r="R52" t="s">
        <v>275</v>
      </c>
      <c r="S52" t="s">
        <v>275</v>
      </c>
      <c r="T52" t="s">
        <v>1</v>
      </c>
      <c r="U52" t="s">
        <v>275</v>
      </c>
      <c r="V52" t="s">
        <v>275</v>
      </c>
      <c r="W52" t="s">
        <v>10</v>
      </c>
      <c r="X52" t="s">
        <v>275</v>
      </c>
      <c r="Y52" t="s">
        <v>275</v>
      </c>
      <c r="Z52" t="s">
        <v>275</v>
      </c>
      <c r="AA52" t="s">
        <v>275</v>
      </c>
      <c r="AB52" t="s">
        <v>275</v>
      </c>
      <c r="AC52" t="s">
        <v>275</v>
      </c>
      <c r="AD52" t="s">
        <v>1</v>
      </c>
    </row>
    <row r="53" spans="1:30">
      <c r="A53">
        <v>51</v>
      </c>
      <c r="B53" t="s">
        <v>68</v>
      </c>
      <c r="C53" t="s">
        <v>69</v>
      </c>
      <c r="D53" t="str">
        <f>IF(VLOOKUP(C53,'Capabilities Overview'!$A$2:$A$587,1)=C53,"","Not in UCL")</f>
        <v>Not in UCL</v>
      </c>
      <c r="E53" t="s">
        <v>1</v>
      </c>
      <c r="F53" t="s">
        <v>275</v>
      </c>
      <c r="G53" t="s">
        <v>275</v>
      </c>
      <c r="H53" t="s">
        <v>275</v>
      </c>
      <c r="I53" t="s">
        <v>41</v>
      </c>
      <c r="J53" t="s">
        <v>41</v>
      </c>
      <c r="K53" t="s">
        <v>41</v>
      </c>
      <c r="L53" t="s">
        <v>275</v>
      </c>
      <c r="M53" t="s">
        <v>275</v>
      </c>
      <c r="N53" t="s">
        <v>275</v>
      </c>
      <c r="O53" t="s">
        <v>275</v>
      </c>
      <c r="P53" t="s">
        <v>275</v>
      </c>
      <c r="Q53" t="s">
        <v>275</v>
      </c>
      <c r="R53" t="s">
        <v>275</v>
      </c>
      <c r="S53" t="s">
        <v>275</v>
      </c>
      <c r="T53" t="s">
        <v>1</v>
      </c>
      <c r="U53" t="s">
        <v>275</v>
      </c>
      <c r="V53" t="s">
        <v>275</v>
      </c>
      <c r="W53" t="s">
        <v>10</v>
      </c>
      <c r="X53" t="s">
        <v>275</v>
      </c>
      <c r="Y53" t="s">
        <v>275</v>
      </c>
      <c r="Z53" t="s">
        <v>275</v>
      </c>
      <c r="AA53" t="s">
        <v>275</v>
      </c>
      <c r="AB53" t="s">
        <v>275</v>
      </c>
      <c r="AC53" t="s">
        <v>275</v>
      </c>
      <c r="AD53" t="s">
        <v>1</v>
      </c>
    </row>
    <row r="54" spans="1:30">
      <c r="A54">
        <v>52</v>
      </c>
      <c r="B54" t="s">
        <v>70</v>
      </c>
      <c r="C54" t="s">
        <v>71</v>
      </c>
      <c r="D54" t="str">
        <f>IF(VLOOKUP(C54,'Capabilities Overview'!$A$2:$A$587,1)=C54,"","Not in UCL")</f>
        <v>Not in UCL</v>
      </c>
      <c r="E54" t="s">
        <v>1</v>
      </c>
      <c r="F54" t="s">
        <v>275</v>
      </c>
      <c r="G54" t="s">
        <v>275</v>
      </c>
      <c r="H54" t="s">
        <v>275</v>
      </c>
      <c r="I54" t="s">
        <v>41</v>
      </c>
      <c r="J54" t="s">
        <v>41</v>
      </c>
      <c r="K54" t="s">
        <v>41</v>
      </c>
      <c r="L54" t="s">
        <v>275</v>
      </c>
      <c r="M54" t="s">
        <v>275</v>
      </c>
      <c r="N54" t="s">
        <v>275</v>
      </c>
      <c r="O54" t="s">
        <v>275</v>
      </c>
      <c r="P54" t="s">
        <v>275</v>
      </c>
      <c r="Q54" t="s">
        <v>275</v>
      </c>
      <c r="R54" t="s">
        <v>275</v>
      </c>
      <c r="S54" t="s">
        <v>275</v>
      </c>
      <c r="T54" t="s">
        <v>1</v>
      </c>
      <c r="U54" t="s">
        <v>275</v>
      </c>
      <c r="V54" t="s">
        <v>275</v>
      </c>
      <c r="W54" t="s">
        <v>10</v>
      </c>
      <c r="X54" t="s">
        <v>275</v>
      </c>
      <c r="Y54" t="s">
        <v>275</v>
      </c>
      <c r="Z54" t="s">
        <v>275</v>
      </c>
      <c r="AA54" t="s">
        <v>275</v>
      </c>
      <c r="AB54" t="s">
        <v>275</v>
      </c>
      <c r="AC54" t="s">
        <v>275</v>
      </c>
      <c r="AD54" t="s">
        <v>1</v>
      </c>
    </row>
    <row r="55" spans="1:30">
      <c r="A55">
        <v>53</v>
      </c>
      <c r="B55" t="s">
        <v>72</v>
      </c>
      <c r="C55" t="s">
        <v>73</v>
      </c>
      <c r="D55" t="str">
        <f>IF(VLOOKUP(C55,'Capabilities Overview'!$A$2:$A$587,1)=C55,"","Not in UCL")</f>
        <v/>
      </c>
      <c r="E55" t="s">
        <v>1</v>
      </c>
      <c r="F55" t="s">
        <v>275</v>
      </c>
      <c r="G55" t="s">
        <v>275</v>
      </c>
      <c r="H55" t="s">
        <v>275</v>
      </c>
      <c r="I55" t="s">
        <v>41</v>
      </c>
      <c r="J55" t="s">
        <v>41</v>
      </c>
      <c r="K55" t="s">
        <v>41</v>
      </c>
      <c r="L55" t="s">
        <v>275</v>
      </c>
      <c r="M55" t="s">
        <v>275</v>
      </c>
      <c r="N55" t="s">
        <v>275</v>
      </c>
      <c r="O55" t="s">
        <v>275</v>
      </c>
      <c r="P55" t="s">
        <v>275</v>
      </c>
      <c r="Q55" t="s">
        <v>275</v>
      </c>
      <c r="R55" t="s">
        <v>275</v>
      </c>
      <c r="S55" t="s">
        <v>275</v>
      </c>
      <c r="T55" t="s">
        <v>1</v>
      </c>
      <c r="U55" t="s">
        <v>275</v>
      </c>
      <c r="V55" t="s">
        <v>275</v>
      </c>
      <c r="W55" t="s">
        <v>10</v>
      </c>
      <c r="X55" t="s">
        <v>275</v>
      </c>
      <c r="Y55" t="s">
        <v>275</v>
      </c>
      <c r="Z55" t="s">
        <v>275</v>
      </c>
      <c r="AA55" t="s">
        <v>275</v>
      </c>
      <c r="AB55" t="s">
        <v>275</v>
      </c>
      <c r="AC55" t="s">
        <v>275</v>
      </c>
      <c r="AD55" t="s">
        <v>1</v>
      </c>
    </row>
    <row r="56" spans="1:30">
      <c r="A56">
        <v>54</v>
      </c>
      <c r="B56" t="s">
        <v>74</v>
      </c>
      <c r="C56" t="s">
        <v>75</v>
      </c>
      <c r="D56" t="str">
        <f>IF(VLOOKUP(C56,'Capabilities Overview'!$A$2:$A$587,1)=C56,"","Not in UCL")</f>
        <v>Not in UCL</v>
      </c>
      <c r="E56" t="s">
        <v>275</v>
      </c>
      <c r="F56" t="s">
        <v>275</v>
      </c>
      <c r="G56" t="s">
        <v>275</v>
      </c>
      <c r="H56" t="s">
        <v>275</v>
      </c>
      <c r="I56" t="s">
        <v>275</v>
      </c>
      <c r="J56" t="s">
        <v>275</v>
      </c>
      <c r="K56" t="s">
        <v>275</v>
      </c>
      <c r="L56" t="s">
        <v>275</v>
      </c>
      <c r="M56" t="s">
        <v>275</v>
      </c>
      <c r="N56" t="s">
        <v>275</v>
      </c>
      <c r="O56" t="s">
        <v>275</v>
      </c>
      <c r="P56" t="s">
        <v>275</v>
      </c>
      <c r="Q56" t="s">
        <v>275</v>
      </c>
      <c r="R56" t="s">
        <v>275</v>
      </c>
      <c r="S56" t="s">
        <v>275</v>
      </c>
      <c r="T56" t="s">
        <v>10</v>
      </c>
      <c r="U56" t="s">
        <v>275</v>
      </c>
      <c r="V56" t="s">
        <v>275</v>
      </c>
      <c r="W56" t="s">
        <v>275</v>
      </c>
      <c r="X56" t="s">
        <v>275</v>
      </c>
      <c r="Y56" t="s">
        <v>275</v>
      </c>
      <c r="Z56" t="s">
        <v>275</v>
      </c>
      <c r="AA56" t="s">
        <v>275</v>
      </c>
      <c r="AB56" t="s">
        <v>275</v>
      </c>
      <c r="AC56" t="s">
        <v>275</v>
      </c>
      <c r="AD56" t="s">
        <v>10</v>
      </c>
    </row>
    <row r="57" spans="1:30">
      <c r="A57">
        <v>55</v>
      </c>
      <c r="B57" t="s">
        <v>76</v>
      </c>
      <c r="C57" t="s">
        <v>77</v>
      </c>
      <c r="D57" t="str">
        <f>IF(VLOOKUP(C57,'Capabilities Overview'!$A$2:$A$587,1)=C57,"","Not in UCL")</f>
        <v>Not in UCL</v>
      </c>
      <c r="E57" t="s">
        <v>1</v>
      </c>
      <c r="F57" t="s">
        <v>275</v>
      </c>
      <c r="G57" t="s">
        <v>275</v>
      </c>
      <c r="H57" t="s">
        <v>275</v>
      </c>
      <c r="I57" t="s">
        <v>41</v>
      </c>
      <c r="J57" t="s">
        <v>41</v>
      </c>
      <c r="K57" t="s">
        <v>41</v>
      </c>
      <c r="L57" t="s">
        <v>275</v>
      </c>
      <c r="M57" t="s">
        <v>275</v>
      </c>
      <c r="N57" t="s">
        <v>275</v>
      </c>
      <c r="O57" t="s">
        <v>275</v>
      </c>
      <c r="P57" t="s">
        <v>275</v>
      </c>
      <c r="Q57" t="s">
        <v>275</v>
      </c>
      <c r="R57" t="s">
        <v>275</v>
      </c>
      <c r="S57" t="s">
        <v>275</v>
      </c>
      <c r="T57" t="s">
        <v>1</v>
      </c>
      <c r="U57" t="s">
        <v>275</v>
      </c>
      <c r="V57" t="s">
        <v>275</v>
      </c>
      <c r="W57" t="s">
        <v>10</v>
      </c>
      <c r="X57" t="s">
        <v>275</v>
      </c>
      <c r="Y57" t="s">
        <v>275</v>
      </c>
      <c r="Z57" t="s">
        <v>275</v>
      </c>
      <c r="AA57" t="s">
        <v>275</v>
      </c>
      <c r="AB57" t="s">
        <v>275</v>
      </c>
      <c r="AC57" t="s">
        <v>275</v>
      </c>
      <c r="AD57" t="s">
        <v>1</v>
      </c>
    </row>
    <row r="58" spans="1:30">
      <c r="A58">
        <v>56</v>
      </c>
      <c r="B58" t="s">
        <v>312</v>
      </c>
      <c r="C58" t="s">
        <v>313</v>
      </c>
      <c r="D58" t="str">
        <f>IF(VLOOKUP(C58,'Capabilities Overview'!$A$2:$A$587,1)=C58,"","Not in UCL")</f>
        <v/>
      </c>
      <c r="E58" t="s">
        <v>1</v>
      </c>
      <c r="F58" t="s">
        <v>275</v>
      </c>
      <c r="G58" t="s">
        <v>275</v>
      </c>
      <c r="H58" t="s">
        <v>275</v>
      </c>
      <c r="I58" t="s">
        <v>41</v>
      </c>
      <c r="J58" t="s">
        <v>41</v>
      </c>
      <c r="K58" t="s">
        <v>41</v>
      </c>
      <c r="L58" t="s">
        <v>275</v>
      </c>
      <c r="M58" t="s">
        <v>275</v>
      </c>
      <c r="N58" t="s">
        <v>275</v>
      </c>
      <c r="O58" t="s">
        <v>275</v>
      </c>
      <c r="P58" t="s">
        <v>275</v>
      </c>
      <c r="Q58" t="s">
        <v>275</v>
      </c>
      <c r="R58" t="s">
        <v>275</v>
      </c>
      <c r="S58" t="s">
        <v>275</v>
      </c>
      <c r="T58" t="s">
        <v>275</v>
      </c>
      <c r="U58" t="s">
        <v>275</v>
      </c>
      <c r="V58" t="s">
        <v>275</v>
      </c>
      <c r="W58" t="s">
        <v>10</v>
      </c>
      <c r="X58" t="s">
        <v>275</v>
      </c>
      <c r="Y58" t="s">
        <v>275</v>
      </c>
      <c r="Z58" t="s">
        <v>275</v>
      </c>
      <c r="AA58" t="s">
        <v>275</v>
      </c>
      <c r="AB58" t="s">
        <v>275</v>
      </c>
      <c r="AC58" t="s">
        <v>275</v>
      </c>
      <c r="AD58" t="s">
        <v>275</v>
      </c>
    </row>
    <row r="59" spans="1:30">
      <c r="A59">
        <v>57</v>
      </c>
      <c r="B59" t="s">
        <v>314</v>
      </c>
      <c r="C59" t="s">
        <v>315</v>
      </c>
      <c r="D59" t="str">
        <f>IF(VLOOKUP(C59,'Capabilities Overview'!$A$2:$A$587,1)=C59,"","Not in UCL")</f>
        <v>Not in UCL</v>
      </c>
      <c r="E59" t="s">
        <v>1</v>
      </c>
      <c r="F59" t="s">
        <v>275</v>
      </c>
      <c r="G59" t="s">
        <v>275</v>
      </c>
      <c r="H59" t="s">
        <v>275</v>
      </c>
      <c r="I59" t="s">
        <v>275</v>
      </c>
      <c r="J59" t="s">
        <v>275</v>
      </c>
      <c r="K59" t="s">
        <v>275</v>
      </c>
      <c r="L59" t="s">
        <v>275</v>
      </c>
      <c r="M59" t="s">
        <v>275</v>
      </c>
      <c r="N59" t="s">
        <v>275</v>
      </c>
      <c r="O59" t="s">
        <v>275</v>
      </c>
      <c r="P59" t="s">
        <v>275</v>
      </c>
      <c r="Q59" t="s">
        <v>275</v>
      </c>
      <c r="R59" t="s">
        <v>275</v>
      </c>
      <c r="S59" t="s">
        <v>275</v>
      </c>
      <c r="T59" t="s">
        <v>275</v>
      </c>
      <c r="U59" t="s">
        <v>275</v>
      </c>
      <c r="V59" t="s">
        <v>275</v>
      </c>
      <c r="W59" t="s">
        <v>275</v>
      </c>
      <c r="X59" t="s">
        <v>275</v>
      </c>
      <c r="Y59" t="s">
        <v>275</v>
      </c>
      <c r="Z59" t="s">
        <v>275</v>
      </c>
      <c r="AA59" t="s">
        <v>275</v>
      </c>
      <c r="AB59" t="s">
        <v>275</v>
      </c>
      <c r="AC59" t="s">
        <v>275</v>
      </c>
      <c r="AD59" t="s">
        <v>275</v>
      </c>
    </row>
    <row r="60" spans="1:30">
      <c r="A60">
        <v>58</v>
      </c>
      <c r="B60" t="s">
        <v>316</v>
      </c>
      <c r="C60" t="s">
        <v>317</v>
      </c>
      <c r="D60" t="str">
        <f>IF(VLOOKUP(C60,'Capabilities Overview'!$A$2:$A$587,1)=C60,"","Not in UCL")</f>
        <v>Not in UCL</v>
      </c>
      <c r="E60" t="s">
        <v>1</v>
      </c>
      <c r="F60" t="s">
        <v>1</v>
      </c>
      <c r="G60" t="s">
        <v>275</v>
      </c>
      <c r="H60" t="s">
        <v>275</v>
      </c>
      <c r="I60" t="s">
        <v>275</v>
      </c>
      <c r="J60" t="s">
        <v>275</v>
      </c>
      <c r="K60" t="s">
        <v>275</v>
      </c>
      <c r="L60" t="s">
        <v>275</v>
      </c>
      <c r="M60" t="s">
        <v>275</v>
      </c>
      <c r="N60" t="s">
        <v>275</v>
      </c>
      <c r="O60" t="s">
        <v>275</v>
      </c>
      <c r="P60" t="s">
        <v>275</v>
      </c>
      <c r="Q60" t="s">
        <v>275</v>
      </c>
      <c r="R60" t="s">
        <v>275</v>
      </c>
      <c r="S60" t="s">
        <v>275</v>
      </c>
      <c r="T60" t="s">
        <v>275</v>
      </c>
      <c r="U60" t="s">
        <v>275</v>
      </c>
      <c r="V60" t="s">
        <v>275</v>
      </c>
      <c r="W60" t="s">
        <v>10</v>
      </c>
      <c r="X60" t="s">
        <v>275</v>
      </c>
      <c r="Y60" t="s">
        <v>275</v>
      </c>
      <c r="Z60" t="s">
        <v>275</v>
      </c>
      <c r="AA60" t="s">
        <v>275</v>
      </c>
      <c r="AB60" t="s">
        <v>275</v>
      </c>
      <c r="AC60" t="s">
        <v>275</v>
      </c>
      <c r="AD60" t="s">
        <v>275</v>
      </c>
    </row>
    <row r="61" spans="1:30">
      <c r="A61">
        <v>59</v>
      </c>
      <c r="B61" t="s">
        <v>78</v>
      </c>
      <c r="C61" t="s">
        <v>79</v>
      </c>
      <c r="D61" t="str">
        <f>IF(VLOOKUP(C61,'Capabilities Overview'!$A$2:$A$587,1)=C61,"","Not in UCL")</f>
        <v>Not in UCL</v>
      </c>
      <c r="E61" t="s">
        <v>41</v>
      </c>
      <c r="F61" t="s">
        <v>275</v>
      </c>
      <c r="G61" t="s">
        <v>275</v>
      </c>
      <c r="H61" t="s">
        <v>275</v>
      </c>
      <c r="I61" t="s">
        <v>275</v>
      </c>
      <c r="J61" t="s">
        <v>275</v>
      </c>
      <c r="K61" t="s">
        <v>275</v>
      </c>
      <c r="L61" t="s">
        <v>275</v>
      </c>
      <c r="M61" t="s">
        <v>41</v>
      </c>
      <c r="N61" t="s">
        <v>41</v>
      </c>
      <c r="O61" t="s">
        <v>41</v>
      </c>
      <c r="P61" t="s">
        <v>275</v>
      </c>
      <c r="Q61" t="s">
        <v>275</v>
      </c>
      <c r="R61" t="s">
        <v>275</v>
      </c>
      <c r="S61" t="s">
        <v>275</v>
      </c>
      <c r="T61" t="s">
        <v>1</v>
      </c>
      <c r="U61" t="s">
        <v>275</v>
      </c>
      <c r="V61" t="s">
        <v>275</v>
      </c>
      <c r="W61" t="s">
        <v>275</v>
      </c>
      <c r="X61" t="s">
        <v>275</v>
      </c>
      <c r="Y61" t="s">
        <v>275</v>
      </c>
      <c r="Z61" t="s">
        <v>275</v>
      </c>
      <c r="AA61" t="s">
        <v>275</v>
      </c>
      <c r="AB61" t="s">
        <v>275</v>
      </c>
      <c r="AC61" t="s">
        <v>275</v>
      </c>
      <c r="AD61" t="s">
        <v>1</v>
      </c>
    </row>
    <row r="62" spans="1:30">
      <c r="A62">
        <v>60</v>
      </c>
      <c r="B62" t="s">
        <v>80</v>
      </c>
      <c r="C62" t="s">
        <v>81</v>
      </c>
      <c r="D62" t="str">
        <f>IF(VLOOKUP(C62,'Capabilities Overview'!$A$2:$A$587,1)=C62,"","Not in UCL")</f>
        <v>Not in UCL</v>
      </c>
      <c r="E62" t="s">
        <v>275</v>
      </c>
      <c r="F62" t="s">
        <v>275</v>
      </c>
      <c r="G62" t="s">
        <v>275</v>
      </c>
      <c r="H62" t="s">
        <v>275</v>
      </c>
      <c r="I62" t="s">
        <v>275</v>
      </c>
      <c r="J62" t="s">
        <v>275</v>
      </c>
      <c r="K62" t="s">
        <v>275</v>
      </c>
      <c r="L62" t="s">
        <v>275</v>
      </c>
      <c r="M62" t="s">
        <v>275</v>
      </c>
      <c r="N62" t="s">
        <v>275</v>
      </c>
      <c r="O62" t="s">
        <v>275</v>
      </c>
      <c r="P62" t="s">
        <v>275</v>
      </c>
      <c r="Q62" t="s">
        <v>275</v>
      </c>
      <c r="R62" t="s">
        <v>275</v>
      </c>
      <c r="S62" t="s">
        <v>275</v>
      </c>
      <c r="T62" t="s">
        <v>1</v>
      </c>
      <c r="U62" t="s">
        <v>275</v>
      </c>
      <c r="V62" t="s">
        <v>275</v>
      </c>
      <c r="W62" t="s">
        <v>275</v>
      </c>
      <c r="X62" t="s">
        <v>275</v>
      </c>
      <c r="Y62" t="s">
        <v>275</v>
      </c>
      <c r="Z62" t="s">
        <v>275</v>
      </c>
      <c r="AA62" t="s">
        <v>275</v>
      </c>
      <c r="AB62" t="s">
        <v>275</v>
      </c>
      <c r="AC62" t="s">
        <v>275</v>
      </c>
      <c r="AD62" t="s">
        <v>1</v>
      </c>
    </row>
    <row r="63" spans="1:30">
      <c r="A63">
        <v>61</v>
      </c>
      <c r="B63" t="s">
        <v>82</v>
      </c>
      <c r="C63" t="s">
        <v>83</v>
      </c>
      <c r="D63" t="str">
        <f>IF(VLOOKUP(C63,'Capabilities Overview'!$A$2:$A$587,1)=C63,"","Not in UCL")</f>
        <v>Not in UCL</v>
      </c>
      <c r="E63" t="s">
        <v>275</v>
      </c>
      <c r="F63" t="s">
        <v>275</v>
      </c>
      <c r="G63" t="s">
        <v>275</v>
      </c>
      <c r="H63" t="s">
        <v>275</v>
      </c>
      <c r="I63" t="s">
        <v>275</v>
      </c>
      <c r="J63" t="s">
        <v>275</v>
      </c>
      <c r="K63" t="s">
        <v>275</v>
      </c>
      <c r="L63" t="s">
        <v>275</v>
      </c>
      <c r="M63" t="s">
        <v>275</v>
      </c>
      <c r="N63" t="s">
        <v>275</v>
      </c>
      <c r="O63" t="s">
        <v>275</v>
      </c>
      <c r="P63" t="s">
        <v>275</v>
      </c>
      <c r="Q63" t="s">
        <v>275</v>
      </c>
      <c r="R63" t="s">
        <v>275</v>
      </c>
      <c r="S63" t="s">
        <v>275</v>
      </c>
      <c r="T63" t="s">
        <v>1</v>
      </c>
      <c r="U63" t="s">
        <v>275</v>
      </c>
      <c r="V63" t="s">
        <v>275</v>
      </c>
      <c r="W63" t="s">
        <v>275</v>
      </c>
      <c r="X63" t="s">
        <v>275</v>
      </c>
      <c r="Y63" t="s">
        <v>275</v>
      </c>
      <c r="Z63" t="s">
        <v>275</v>
      </c>
      <c r="AA63" t="s">
        <v>275</v>
      </c>
      <c r="AB63" t="s">
        <v>275</v>
      </c>
      <c r="AC63" t="s">
        <v>275</v>
      </c>
      <c r="AD63" t="s">
        <v>1</v>
      </c>
    </row>
    <row r="64" spans="1:30">
      <c r="A64">
        <v>62</v>
      </c>
      <c r="B64" t="s">
        <v>84</v>
      </c>
      <c r="C64" t="s">
        <v>85</v>
      </c>
      <c r="D64" t="str">
        <f>IF(VLOOKUP(C64,'Capabilities Overview'!$A$2:$A$587,1)=C64,"","Not in UCL")</f>
        <v>Not in UCL</v>
      </c>
      <c r="E64" t="s">
        <v>275</v>
      </c>
      <c r="F64" t="s">
        <v>275</v>
      </c>
      <c r="G64" t="s">
        <v>275</v>
      </c>
      <c r="H64" t="s">
        <v>275</v>
      </c>
      <c r="I64" t="s">
        <v>275</v>
      </c>
      <c r="J64" t="s">
        <v>275</v>
      </c>
      <c r="K64" t="s">
        <v>275</v>
      </c>
      <c r="L64" t="s">
        <v>275</v>
      </c>
      <c r="M64" t="s">
        <v>275</v>
      </c>
      <c r="N64" t="s">
        <v>275</v>
      </c>
      <c r="O64" t="s">
        <v>275</v>
      </c>
      <c r="P64" t="s">
        <v>275</v>
      </c>
      <c r="Q64" t="s">
        <v>275</v>
      </c>
      <c r="R64" t="s">
        <v>275</v>
      </c>
      <c r="S64" t="s">
        <v>275</v>
      </c>
      <c r="T64" t="s">
        <v>1</v>
      </c>
      <c r="U64" t="s">
        <v>275</v>
      </c>
      <c r="V64" t="s">
        <v>275</v>
      </c>
      <c r="W64" t="s">
        <v>275</v>
      </c>
      <c r="X64" t="s">
        <v>275</v>
      </c>
      <c r="Y64" t="s">
        <v>275</v>
      </c>
      <c r="Z64" t="s">
        <v>275</v>
      </c>
      <c r="AA64" t="s">
        <v>275</v>
      </c>
      <c r="AB64" t="s">
        <v>275</v>
      </c>
      <c r="AC64" t="s">
        <v>275</v>
      </c>
      <c r="AD64" t="s">
        <v>1</v>
      </c>
    </row>
    <row r="65" spans="1:30">
      <c r="A65">
        <v>63</v>
      </c>
      <c r="B65" t="s">
        <v>318</v>
      </c>
      <c r="C65" t="s">
        <v>319</v>
      </c>
      <c r="D65" t="str">
        <f>IF(VLOOKUP(C65,'Capabilities Overview'!$A$2:$A$587,1)=C65,"","Not in UCL")</f>
        <v>Not in UCL</v>
      </c>
      <c r="E65" t="s">
        <v>275</v>
      </c>
      <c r="F65" t="s">
        <v>275</v>
      </c>
      <c r="G65" t="s">
        <v>275</v>
      </c>
      <c r="H65" t="s">
        <v>275</v>
      </c>
      <c r="I65" t="s">
        <v>275</v>
      </c>
      <c r="J65" t="s">
        <v>275</v>
      </c>
      <c r="K65" t="s">
        <v>275</v>
      </c>
      <c r="L65" t="s">
        <v>275</v>
      </c>
      <c r="M65" t="s">
        <v>275</v>
      </c>
      <c r="N65" t="s">
        <v>275</v>
      </c>
      <c r="O65" t="s">
        <v>275</v>
      </c>
      <c r="P65" t="s">
        <v>275</v>
      </c>
      <c r="Q65" t="s">
        <v>275</v>
      </c>
      <c r="R65" t="s">
        <v>275</v>
      </c>
      <c r="S65" t="s">
        <v>275</v>
      </c>
      <c r="T65" t="s">
        <v>275</v>
      </c>
      <c r="U65" t="s">
        <v>275</v>
      </c>
      <c r="V65" t="s">
        <v>275</v>
      </c>
      <c r="W65" t="s">
        <v>275</v>
      </c>
      <c r="X65" t="s">
        <v>275</v>
      </c>
      <c r="Y65" t="s">
        <v>275</v>
      </c>
      <c r="Z65" t="s">
        <v>275</v>
      </c>
      <c r="AA65" t="s">
        <v>275</v>
      </c>
      <c r="AB65" t="s">
        <v>275</v>
      </c>
      <c r="AC65" t="s">
        <v>275</v>
      </c>
      <c r="AD65" t="s">
        <v>275</v>
      </c>
    </row>
    <row r="66" spans="1:30">
      <c r="A66">
        <v>64</v>
      </c>
      <c r="B66" t="s">
        <v>86</v>
      </c>
      <c r="C66" t="s">
        <v>87</v>
      </c>
      <c r="D66" t="str">
        <f>IF(VLOOKUP(C66,'Capabilities Overview'!$A$2:$A$587,1)=C66,"","Not in UCL")</f>
        <v/>
      </c>
      <c r="E66" t="s">
        <v>1</v>
      </c>
      <c r="F66" t="s">
        <v>275</v>
      </c>
      <c r="G66" t="s">
        <v>275</v>
      </c>
      <c r="H66" t="s">
        <v>275</v>
      </c>
      <c r="I66" t="s">
        <v>275</v>
      </c>
      <c r="J66" t="s">
        <v>275</v>
      </c>
      <c r="K66" t="s">
        <v>275</v>
      </c>
      <c r="L66" t="s">
        <v>275</v>
      </c>
      <c r="M66" t="s">
        <v>275</v>
      </c>
      <c r="N66" t="s">
        <v>275</v>
      </c>
      <c r="O66" t="s">
        <v>275</v>
      </c>
      <c r="P66" t="s">
        <v>275</v>
      </c>
      <c r="Q66" t="s">
        <v>275</v>
      </c>
      <c r="R66" t="s">
        <v>275</v>
      </c>
      <c r="S66" t="s">
        <v>275</v>
      </c>
      <c r="T66" t="s">
        <v>275</v>
      </c>
      <c r="U66" t="s">
        <v>275</v>
      </c>
      <c r="V66" t="s">
        <v>275</v>
      </c>
      <c r="W66" t="s">
        <v>275</v>
      </c>
      <c r="X66" t="s">
        <v>275</v>
      </c>
      <c r="Y66" t="s">
        <v>275</v>
      </c>
      <c r="Z66" t="s">
        <v>275</v>
      </c>
      <c r="AA66" t="s">
        <v>275</v>
      </c>
      <c r="AB66" t="s">
        <v>275</v>
      </c>
      <c r="AC66" t="s">
        <v>275</v>
      </c>
      <c r="AD66" t="s">
        <v>10</v>
      </c>
    </row>
    <row r="67" spans="1:30">
      <c r="A67">
        <v>65</v>
      </c>
      <c r="B67" t="s">
        <v>88</v>
      </c>
      <c r="C67" t="s">
        <v>89</v>
      </c>
      <c r="D67" t="str">
        <f>IF(VLOOKUP(C67,'Capabilities Overview'!$A$2:$A$587,1)=C67,"","Not in UCL")</f>
        <v/>
      </c>
      <c r="E67" t="s">
        <v>1</v>
      </c>
      <c r="F67" t="s">
        <v>1</v>
      </c>
      <c r="G67" t="s">
        <v>275</v>
      </c>
      <c r="H67" t="s">
        <v>275</v>
      </c>
      <c r="I67" t="s">
        <v>275</v>
      </c>
      <c r="J67" t="s">
        <v>275</v>
      </c>
      <c r="K67" t="s">
        <v>275</v>
      </c>
      <c r="L67" t="s">
        <v>275</v>
      </c>
      <c r="M67" t="s">
        <v>275</v>
      </c>
      <c r="N67" t="s">
        <v>275</v>
      </c>
      <c r="O67" t="s">
        <v>275</v>
      </c>
      <c r="P67" t="s">
        <v>275</v>
      </c>
      <c r="Q67" t="s">
        <v>275</v>
      </c>
      <c r="R67" t="s">
        <v>275</v>
      </c>
      <c r="S67" t="s">
        <v>275</v>
      </c>
      <c r="T67" t="s">
        <v>1</v>
      </c>
      <c r="U67" t="s">
        <v>275</v>
      </c>
      <c r="V67" t="s">
        <v>275</v>
      </c>
      <c r="W67" t="s">
        <v>10</v>
      </c>
      <c r="X67" t="s">
        <v>275</v>
      </c>
      <c r="Y67" t="s">
        <v>275</v>
      </c>
      <c r="Z67" t="s">
        <v>275</v>
      </c>
      <c r="AA67" t="s">
        <v>275</v>
      </c>
      <c r="AB67" t="s">
        <v>275</v>
      </c>
      <c r="AC67" t="s">
        <v>275</v>
      </c>
      <c r="AD67" t="s">
        <v>1</v>
      </c>
    </row>
    <row r="68" spans="1:30">
      <c r="A68">
        <v>66</v>
      </c>
      <c r="B68" t="s">
        <v>320</v>
      </c>
      <c r="C68" t="s">
        <v>321</v>
      </c>
      <c r="D68" t="str">
        <f>IF(VLOOKUP(C68,'Capabilities Overview'!$A$2:$A$587,1)=C68,"","Not in UCL")</f>
        <v/>
      </c>
      <c r="E68" t="s">
        <v>1</v>
      </c>
      <c r="F68" t="s">
        <v>275</v>
      </c>
      <c r="G68" t="s">
        <v>275</v>
      </c>
      <c r="H68" t="s">
        <v>275</v>
      </c>
      <c r="I68" t="s">
        <v>275</v>
      </c>
      <c r="J68" t="s">
        <v>275</v>
      </c>
      <c r="K68" t="s">
        <v>275</v>
      </c>
      <c r="L68" t="s">
        <v>275</v>
      </c>
      <c r="M68" t="s">
        <v>275</v>
      </c>
      <c r="N68" t="s">
        <v>275</v>
      </c>
      <c r="O68" t="s">
        <v>1</v>
      </c>
      <c r="P68" t="s">
        <v>275</v>
      </c>
      <c r="Q68" t="s">
        <v>1</v>
      </c>
      <c r="R68" t="s">
        <v>275</v>
      </c>
      <c r="S68" t="s">
        <v>275</v>
      </c>
      <c r="T68" t="s">
        <v>275</v>
      </c>
      <c r="U68" t="s">
        <v>275</v>
      </c>
      <c r="V68" t="s">
        <v>275</v>
      </c>
      <c r="W68" t="s">
        <v>10</v>
      </c>
      <c r="X68" t="s">
        <v>275</v>
      </c>
      <c r="Y68" t="s">
        <v>275</v>
      </c>
      <c r="Z68" t="s">
        <v>275</v>
      </c>
      <c r="AA68" t="s">
        <v>275</v>
      </c>
      <c r="AB68" t="s">
        <v>275</v>
      </c>
      <c r="AC68" t="s">
        <v>275</v>
      </c>
      <c r="AD68" t="s">
        <v>275</v>
      </c>
    </row>
    <row r="69" spans="1:30">
      <c r="A69">
        <v>67</v>
      </c>
      <c r="B69" t="s">
        <v>90</v>
      </c>
      <c r="C69" t="s">
        <v>91</v>
      </c>
      <c r="D69" t="str">
        <f>IF(VLOOKUP(C69,'Capabilities Overview'!$A$2:$A$587,1)=C69,"","Not in UCL")</f>
        <v/>
      </c>
      <c r="E69" t="s">
        <v>1</v>
      </c>
      <c r="F69" t="s">
        <v>275</v>
      </c>
      <c r="G69" t="s">
        <v>275</v>
      </c>
      <c r="H69" t="s">
        <v>275</v>
      </c>
      <c r="I69" t="s">
        <v>275</v>
      </c>
      <c r="J69" t="s">
        <v>275</v>
      </c>
      <c r="K69" t="s">
        <v>275</v>
      </c>
      <c r="L69" t="s">
        <v>275</v>
      </c>
      <c r="M69" t="s">
        <v>275</v>
      </c>
      <c r="N69" t="s">
        <v>275</v>
      </c>
      <c r="O69" t="s">
        <v>1</v>
      </c>
      <c r="P69" t="s">
        <v>275</v>
      </c>
      <c r="Q69" t="s">
        <v>1</v>
      </c>
      <c r="R69" t="s">
        <v>1</v>
      </c>
      <c r="S69" t="s">
        <v>275</v>
      </c>
      <c r="T69" t="s">
        <v>1</v>
      </c>
      <c r="U69" t="s">
        <v>275</v>
      </c>
      <c r="V69" t="s">
        <v>275</v>
      </c>
      <c r="W69" t="s">
        <v>10</v>
      </c>
      <c r="X69" t="s">
        <v>275</v>
      </c>
      <c r="Y69" t="s">
        <v>275</v>
      </c>
      <c r="Z69" t="s">
        <v>275</v>
      </c>
      <c r="AA69" t="s">
        <v>275</v>
      </c>
      <c r="AB69" t="s">
        <v>275</v>
      </c>
      <c r="AC69" t="s">
        <v>275</v>
      </c>
      <c r="AD69" t="s">
        <v>1</v>
      </c>
    </row>
    <row r="70" spans="1:30">
      <c r="A70">
        <v>68</v>
      </c>
      <c r="B70" t="s">
        <v>92</v>
      </c>
      <c r="C70" t="s">
        <v>93</v>
      </c>
      <c r="D70" t="str">
        <f>IF(VLOOKUP(C70,'Capabilities Overview'!$A$2:$A$587,1)=C70,"","Not in UCL")</f>
        <v/>
      </c>
      <c r="E70" t="s">
        <v>1</v>
      </c>
      <c r="F70" t="s">
        <v>275</v>
      </c>
      <c r="G70" t="s">
        <v>275</v>
      </c>
      <c r="H70" t="s">
        <v>275</v>
      </c>
      <c r="I70" t="s">
        <v>1</v>
      </c>
      <c r="J70" t="s">
        <v>275</v>
      </c>
      <c r="K70" t="s">
        <v>275</v>
      </c>
      <c r="L70" t="s">
        <v>275</v>
      </c>
      <c r="M70" t="s">
        <v>275</v>
      </c>
      <c r="N70" t="s">
        <v>275</v>
      </c>
      <c r="O70" t="s">
        <v>1</v>
      </c>
      <c r="P70" t="s">
        <v>275</v>
      </c>
      <c r="Q70" t="s">
        <v>1</v>
      </c>
      <c r="R70" t="s">
        <v>1</v>
      </c>
      <c r="S70" t="s">
        <v>1</v>
      </c>
      <c r="T70" t="s">
        <v>1</v>
      </c>
      <c r="U70" t="s">
        <v>275</v>
      </c>
      <c r="V70" t="s">
        <v>275</v>
      </c>
      <c r="W70" t="s">
        <v>10</v>
      </c>
      <c r="X70" t="s">
        <v>275</v>
      </c>
      <c r="Y70" t="s">
        <v>275</v>
      </c>
      <c r="Z70" t="s">
        <v>275</v>
      </c>
      <c r="AA70" t="s">
        <v>275</v>
      </c>
      <c r="AB70" t="s">
        <v>275</v>
      </c>
      <c r="AC70" t="s">
        <v>275</v>
      </c>
      <c r="AD70" t="s">
        <v>1</v>
      </c>
    </row>
    <row r="71" spans="1:30">
      <c r="A71">
        <v>69</v>
      </c>
      <c r="B71" t="s">
        <v>94</v>
      </c>
      <c r="C71" t="s">
        <v>95</v>
      </c>
      <c r="D71" t="str">
        <f>IF(VLOOKUP(C71,'Capabilities Overview'!$A$2:$A$587,1)=C71,"","Not in UCL")</f>
        <v/>
      </c>
      <c r="E71" t="s">
        <v>1</v>
      </c>
      <c r="F71" t="s">
        <v>275</v>
      </c>
      <c r="G71" t="s">
        <v>275</v>
      </c>
      <c r="H71" t="s">
        <v>275</v>
      </c>
      <c r="I71" t="s">
        <v>1</v>
      </c>
      <c r="J71" t="s">
        <v>275</v>
      </c>
      <c r="K71" t="s">
        <v>275</v>
      </c>
      <c r="L71" t="s">
        <v>275</v>
      </c>
      <c r="M71" t="s">
        <v>275</v>
      </c>
      <c r="N71" t="s">
        <v>275</v>
      </c>
      <c r="O71" t="s">
        <v>1</v>
      </c>
      <c r="P71" t="s">
        <v>275</v>
      </c>
      <c r="Q71" t="s">
        <v>1</v>
      </c>
      <c r="R71" t="s">
        <v>1</v>
      </c>
      <c r="S71" t="s">
        <v>1</v>
      </c>
      <c r="T71" t="s">
        <v>1</v>
      </c>
      <c r="U71" t="s">
        <v>275</v>
      </c>
      <c r="V71" t="s">
        <v>275</v>
      </c>
      <c r="W71" t="s">
        <v>10</v>
      </c>
      <c r="X71" t="s">
        <v>275</v>
      </c>
      <c r="Y71" t="s">
        <v>275</v>
      </c>
      <c r="Z71" t="s">
        <v>275</v>
      </c>
      <c r="AA71" t="s">
        <v>275</v>
      </c>
      <c r="AB71" t="s">
        <v>275</v>
      </c>
      <c r="AC71" t="s">
        <v>275</v>
      </c>
      <c r="AD71" t="s">
        <v>1</v>
      </c>
    </row>
    <row r="72" spans="1:30">
      <c r="A72">
        <v>70</v>
      </c>
      <c r="B72" t="s">
        <v>322</v>
      </c>
      <c r="C72" t="s">
        <v>323</v>
      </c>
      <c r="D72" t="str">
        <f>IF(VLOOKUP(C72,'Capabilities Overview'!$A$2:$A$587,1)=C72,"","Not in UCL")</f>
        <v/>
      </c>
      <c r="E72" t="s">
        <v>1</v>
      </c>
      <c r="F72" t="s">
        <v>275</v>
      </c>
      <c r="G72" t="s">
        <v>275</v>
      </c>
      <c r="H72" t="s">
        <v>275</v>
      </c>
      <c r="I72" t="s">
        <v>1</v>
      </c>
      <c r="J72" t="s">
        <v>275</v>
      </c>
      <c r="K72" t="s">
        <v>275</v>
      </c>
      <c r="L72" t="s">
        <v>275</v>
      </c>
      <c r="M72" t="s">
        <v>275</v>
      </c>
      <c r="N72" t="s">
        <v>275</v>
      </c>
      <c r="O72" t="s">
        <v>275</v>
      </c>
      <c r="P72" t="s">
        <v>275</v>
      </c>
      <c r="Q72" t="s">
        <v>275</v>
      </c>
      <c r="R72" t="s">
        <v>275</v>
      </c>
      <c r="S72" t="s">
        <v>275</v>
      </c>
      <c r="T72" t="s">
        <v>275</v>
      </c>
      <c r="U72" t="s">
        <v>275</v>
      </c>
      <c r="V72" t="s">
        <v>275</v>
      </c>
      <c r="W72" t="s">
        <v>10</v>
      </c>
      <c r="X72" t="s">
        <v>275</v>
      </c>
      <c r="Y72" t="s">
        <v>275</v>
      </c>
      <c r="Z72" t="s">
        <v>275</v>
      </c>
      <c r="AA72" t="s">
        <v>275</v>
      </c>
      <c r="AB72" t="s">
        <v>275</v>
      </c>
      <c r="AC72" t="s">
        <v>275</v>
      </c>
      <c r="AD72" t="s">
        <v>275</v>
      </c>
    </row>
    <row r="73" spans="1:30">
      <c r="A73">
        <v>71</v>
      </c>
      <c r="B73" t="s">
        <v>324</v>
      </c>
      <c r="C73" t="s">
        <v>325</v>
      </c>
      <c r="D73" t="str">
        <f>IF(VLOOKUP(C73,'Capabilities Overview'!$A$2:$A$587,1)=C73,"","Not in UCL")</f>
        <v/>
      </c>
      <c r="E73" t="s">
        <v>1</v>
      </c>
      <c r="F73" t="s">
        <v>275</v>
      </c>
      <c r="G73" t="s">
        <v>1</v>
      </c>
      <c r="H73" t="s">
        <v>275</v>
      </c>
      <c r="I73" t="s">
        <v>275</v>
      </c>
      <c r="J73" t="s">
        <v>41</v>
      </c>
      <c r="K73" t="s">
        <v>41</v>
      </c>
      <c r="L73" t="s">
        <v>275</v>
      </c>
      <c r="M73" t="s">
        <v>275</v>
      </c>
      <c r="N73" t="s">
        <v>275</v>
      </c>
      <c r="O73" t="s">
        <v>1</v>
      </c>
      <c r="P73" t="s">
        <v>275</v>
      </c>
      <c r="Q73" t="s">
        <v>1</v>
      </c>
      <c r="R73" t="s">
        <v>275</v>
      </c>
      <c r="S73" t="s">
        <v>275</v>
      </c>
      <c r="T73" t="s">
        <v>275</v>
      </c>
      <c r="U73" t="s">
        <v>275</v>
      </c>
      <c r="V73" t="s">
        <v>275</v>
      </c>
      <c r="W73" t="s">
        <v>10</v>
      </c>
      <c r="X73" t="s">
        <v>275</v>
      </c>
      <c r="Y73" t="s">
        <v>275</v>
      </c>
      <c r="Z73" t="s">
        <v>275</v>
      </c>
      <c r="AA73" t="s">
        <v>275</v>
      </c>
      <c r="AB73" t="s">
        <v>275</v>
      </c>
      <c r="AC73" t="s">
        <v>275</v>
      </c>
      <c r="AD73" t="s">
        <v>275</v>
      </c>
    </row>
    <row r="74" spans="1:30">
      <c r="A74">
        <v>72</v>
      </c>
      <c r="B74" t="s">
        <v>326</v>
      </c>
      <c r="C74" t="s">
        <v>327</v>
      </c>
      <c r="D74" t="str">
        <f>IF(VLOOKUP(C74,'Capabilities Overview'!$A$2:$A$587,1)=C74,"","Not in UCL")</f>
        <v/>
      </c>
      <c r="E74" t="s">
        <v>1</v>
      </c>
      <c r="F74" t="s">
        <v>275</v>
      </c>
      <c r="G74" t="s">
        <v>1</v>
      </c>
      <c r="H74" t="s">
        <v>275</v>
      </c>
      <c r="I74" t="s">
        <v>275</v>
      </c>
      <c r="J74" t="s">
        <v>41</v>
      </c>
      <c r="K74" t="s">
        <v>41</v>
      </c>
      <c r="L74" t="s">
        <v>275</v>
      </c>
      <c r="M74" t="s">
        <v>275</v>
      </c>
      <c r="N74" t="s">
        <v>275</v>
      </c>
      <c r="O74" t="s">
        <v>1</v>
      </c>
      <c r="P74" t="s">
        <v>275</v>
      </c>
      <c r="Q74" t="s">
        <v>275</v>
      </c>
      <c r="R74" t="s">
        <v>275</v>
      </c>
      <c r="S74" t="s">
        <v>275</v>
      </c>
      <c r="T74" t="s">
        <v>275</v>
      </c>
      <c r="U74" t="s">
        <v>275</v>
      </c>
      <c r="V74" t="s">
        <v>275</v>
      </c>
      <c r="W74" t="s">
        <v>10</v>
      </c>
      <c r="X74" t="s">
        <v>275</v>
      </c>
      <c r="Y74" t="s">
        <v>275</v>
      </c>
      <c r="Z74" t="s">
        <v>275</v>
      </c>
      <c r="AA74" t="s">
        <v>275</v>
      </c>
      <c r="AB74" t="s">
        <v>275</v>
      </c>
      <c r="AC74" t="s">
        <v>275</v>
      </c>
      <c r="AD74" t="s">
        <v>275</v>
      </c>
    </row>
    <row r="75" spans="1:30">
      <c r="A75">
        <v>73</v>
      </c>
      <c r="B75" t="s">
        <v>328</v>
      </c>
      <c r="C75" t="s">
        <v>329</v>
      </c>
      <c r="D75" t="str">
        <f>IF(VLOOKUP(C75,'Capabilities Overview'!$A$2:$A$587,1)=C75,"","Not in UCL")</f>
        <v/>
      </c>
      <c r="E75" t="s">
        <v>1</v>
      </c>
      <c r="F75" t="s">
        <v>275</v>
      </c>
      <c r="G75" t="s">
        <v>275</v>
      </c>
      <c r="H75" t="s">
        <v>275</v>
      </c>
      <c r="I75" t="s">
        <v>275</v>
      </c>
      <c r="J75" t="s">
        <v>275</v>
      </c>
      <c r="K75" t="s">
        <v>275</v>
      </c>
      <c r="L75" t="s">
        <v>275</v>
      </c>
      <c r="M75" t="s">
        <v>275</v>
      </c>
      <c r="N75" t="s">
        <v>275</v>
      </c>
      <c r="O75" t="s">
        <v>275</v>
      </c>
      <c r="P75" t="s">
        <v>275</v>
      </c>
      <c r="Q75" t="s">
        <v>275</v>
      </c>
      <c r="R75" t="s">
        <v>275</v>
      </c>
      <c r="S75" t="s">
        <v>275</v>
      </c>
      <c r="T75" t="s">
        <v>275</v>
      </c>
      <c r="U75" t="s">
        <v>275</v>
      </c>
      <c r="V75" t="s">
        <v>275</v>
      </c>
      <c r="W75" t="s">
        <v>10</v>
      </c>
      <c r="X75" t="s">
        <v>275</v>
      </c>
      <c r="Y75" t="s">
        <v>275</v>
      </c>
      <c r="Z75" t="s">
        <v>275</v>
      </c>
      <c r="AA75" t="s">
        <v>275</v>
      </c>
      <c r="AB75" t="s">
        <v>275</v>
      </c>
      <c r="AC75" t="s">
        <v>275</v>
      </c>
      <c r="AD75" t="s">
        <v>275</v>
      </c>
    </row>
    <row r="76" spans="1:30">
      <c r="A76">
        <v>74</v>
      </c>
      <c r="B76" t="s">
        <v>96</v>
      </c>
      <c r="C76" t="s">
        <v>97</v>
      </c>
      <c r="D76" t="str">
        <f>IF(VLOOKUP(C76,'Capabilities Overview'!$A$2:$A$587,1)=C76,"","Not in UCL")</f>
        <v/>
      </c>
      <c r="E76" t="s">
        <v>1</v>
      </c>
      <c r="F76" t="s">
        <v>1</v>
      </c>
      <c r="G76" t="s">
        <v>275</v>
      </c>
      <c r="H76" t="s">
        <v>275</v>
      </c>
      <c r="I76" t="s">
        <v>275</v>
      </c>
      <c r="J76" t="s">
        <v>1</v>
      </c>
      <c r="K76" t="s">
        <v>1</v>
      </c>
      <c r="L76" t="s">
        <v>275</v>
      </c>
      <c r="M76" t="s">
        <v>275</v>
      </c>
      <c r="N76" t="s">
        <v>275</v>
      </c>
      <c r="O76" t="s">
        <v>275</v>
      </c>
      <c r="P76" t="s">
        <v>275</v>
      </c>
      <c r="Q76" t="s">
        <v>275</v>
      </c>
      <c r="R76" t="s">
        <v>275</v>
      </c>
      <c r="S76" t="s">
        <v>275</v>
      </c>
      <c r="T76" t="s">
        <v>1</v>
      </c>
      <c r="U76" t="s">
        <v>275</v>
      </c>
      <c r="V76" t="s">
        <v>275</v>
      </c>
      <c r="W76" t="s">
        <v>10</v>
      </c>
      <c r="X76" t="s">
        <v>275</v>
      </c>
      <c r="Y76" t="s">
        <v>275</v>
      </c>
      <c r="Z76" t="s">
        <v>275</v>
      </c>
      <c r="AA76" t="s">
        <v>275</v>
      </c>
      <c r="AB76" t="s">
        <v>275</v>
      </c>
      <c r="AC76" t="s">
        <v>275</v>
      </c>
      <c r="AD76" t="s">
        <v>1</v>
      </c>
    </row>
    <row r="77" spans="1:30">
      <c r="A77">
        <v>75</v>
      </c>
      <c r="B77" t="s">
        <v>330</v>
      </c>
      <c r="C77" t="s">
        <v>331</v>
      </c>
      <c r="D77" t="str">
        <f>IF(VLOOKUP(C77,'Capabilities Overview'!$A$2:$A$587,1)=C77,"","Not in UCL")</f>
        <v/>
      </c>
      <c r="E77" t="s">
        <v>1</v>
      </c>
      <c r="F77" t="s">
        <v>275</v>
      </c>
      <c r="G77" t="s">
        <v>275</v>
      </c>
      <c r="H77" t="s">
        <v>275</v>
      </c>
      <c r="I77" t="s">
        <v>275</v>
      </c>
      <c r="J77" t="s">
        <v>275</v>
      </c>
      <c r="K77" t="s">
        <v>275</v>
      </c>
      <c r="L77" t="s">
        <v>275</v>
      </c>
      <c r="M77" t="s">
        <v>1</v>
      </c>
      <c r="N77" t="s">
        <v>1</v>
      </c>
      <c r="O77" t="s">
        <v>1</v>
      </c>
      <c r="P77" t="s">
        <v>275</v>
      </c>
      <c r="Q77" t="s">
        <v>275</v>
      </c>
      <c r="R77" t="s">
        <v>275</v>
      </c>
      <c r="S77" t="s">
        <v>275</v>
      </c>
      <c r="T77" t="s">
        <v>275</v>
      </c>
      <c r="U77" t="s">
        <v>275</v>
      </c>
      <c r="V77" t="s">
        <v>275</v>
      </c>
      <c r="W77" t="s">
        <v>275</v>
      </c>
      <c r="X77" t="s">
        <v>275</v>
      </c>
      <c r="Y77" t="s">
        <v>275</v>
      </c>
      <c r="Z77" t="s">
        <v>275</v>
      </c>
      <c r="AA77" t="s">
        <v>275</v>
      </c>
      <c r="AB77" t="s">
        <v>275</v>
      </c>
      <c r="AC77" t="s">
        <v>275</v>
      </c>
      <c r="AD77" t="s">
        <v>275</v>
      </c>
    </row>
    <row r="78" spans="1:30">
      <c r="A78">
        <v>76</v>
      </c>
      <c r="B78" t="s">
        <v>332</v>
      </c>
      <c r="C78" t="s">
        <v>333</v>
      </c>
      <c r="D78" t="str">
        <f>IF(VLOOKUP(C78,'Capabilities Overview'!$A$2:$A$587,1)=C78,"","Not in UCL")</f>
        <v/>
      </c>
      <c r="E78" t="s">
        <v>1</v>
      </c>
      <c r="F78" t="s">
        <v>275</v>
      </c>
      <c r="G78" t="s">
        <v>275</v>
      </c>
      <c r="H78" t="s">
        <v>275</v>
      </c>
      <c r="I78" t="s">
        <v>275</v>
      </c>
      <c r="J78" t="s">
        <v>41</v>
      </c>
      <c r="K78" t="s">
        <v>41</v>
      </c>
      <c r="L78" t="s">
        <v>275</v>
      </c>
      <c r="M78" t="s">
        <v>275</v>
      </c>
      <c r="N78" t="s">
        <v>275</v>
      </c>
      <c r="O78" t="s">
        <v>275</v>
      </c>
      <c r="P78" t="s">
        <v>275</v>
      </c>
      <c r="Q78" t="s">
        <v>275</v>
      </c>
      <c r="R78" t="s">
        <v>275</v>
      </c>
      <c r="S78" t="s">
        <v>275</v>
      </c>
      <c r="T78" t="s">
        <v>275</v>
      </c>
      <c r="U78" t="s">
        <v>275</v>
      </c>
      <c r="V78" t="s">
        <v>275</v>
      </c>
      <c r="W78" t="s">
        <v>10</v>
      </c>
      <c r="X78" t="s">
        <v>275</v>
      </c>
      <c r="Y78" t="s">
        <v>275</v>
      </c>
      <c r="Z78" t="s">
        <v>275</v>
      </c>
      <c r="AA78" t="s">
        <v>275</v>
      </c>
      <c r="AB78" t="s">
        <v>275</v>
      </c>
      <c r="AC78" t="s">
        <v>275</v>
      </c>
      <c r="AD78" t="s">
        <v>275</v>
      </c>
    </row>
    <row r="79" spans="1:30">
      <c r="A79">
        <v>77</v>
      </c>
      <c r="B79" t="s">
        <v>334</v>
      </c>
      <c r="C79" t="s">
        <v>335</v>
      </c>
      <c r="D79" t="str">
        <f>IF(VLOOKUP(C79,'Capabilities Overview'!$A$2:$A$587,1)=C79,"","Not in UCL")</f>
        <v/>
      </c>
      <c r="E79" t="s">
        <v>1</v>
      </c>
      <c r="F79" t="s">
        <v>275</v>
      </c>
      <c r="G79" t="s">
        <v>275</v>
      </c>
      <c r="H79" t="s">
        <v>275</v>
      </c>
      <c r="I79" t="s">
        <v>275</v>
      </c>
      <c r="J79" t="s">
        <v>41</v>
      </c>
      <c r="K79" t="s">
        <v>41</v>
      </c>
      <c r="L79" t="s">
        <v>275</v>
      </c>
      <c r="M79" t="s">
        <v>275</v>
      </c>
      <c r="N79" t="s">
        <v>275</v>
      </c>
      <c r="O79" t="s">
        <v>275</v>
      </c>
      <c r="P79" t="s">
        <v>275</v>
      </c>
      <c r="Q79" t="s">
        <v>275</v>
      </c>
      <c r="R79" t="s">
        <v>275</v>
      </c>
      <c r="S79" t="s">
        <v>275</v>
      </c>
      <c r="T79" t="s">
        <v>275</v>
      </c>
      <c r="U79" t="s">
        <v>275</v>
      </c>
      <c r="V79" t="s">
        <v>275</v>
      </c>
      <c r="W79" t="s">
        <v>10</v>
      </c>
      <c r="X79" t="s">
        <v>275</v>
      </c>
      <c r="Y79" t="s">
        <v>275</v>
      </c>
      <c r="Z79" t="s">
        <v>275</v>
      </c>
      <c r="AA79" t="s">
        <v>275</v>
      </c>
      <c r="AB79" t="s">
        <v>275</v>
      </c>
      <c r="AC79" t="s">
        <v>275</v>
      </c>
      <c r="AD79" t="s">
        <v>275</v>
      </c>
    </row>
    <row r="80" spans="1:30">
      <c r="A80">
        <v>78</v>
      </c>
      <c r="B80" t="s">
        <v>336</v>
      </c>
      <c r="C80" t="s">
        <v>337</v>
      </c>
      <c r="D80" t="str">
        <f>IF(VLOOKUP(C80,'Capabilities Overview'!$A$2:$A$587,1)=C80,"","Not in UCL")</f>
        <v/>
      </c>
      <c r="E80" t="s">
        <v>1</v>
      </c>
      <c r="F80" t="s">
        <v>275</v>
      </c>
      <c r="G80" t="s">
        <v>275</v>
      </c>
      <c r="H80" t="s">
        <v>275</v>
      </c>
      <c r="I80" t="s">
        <v>275</v>
      </c>
      <c r="J80" t="s">
        <v>41</v>
      </c>
      <c r="K80" t="s">
        <v>41</v>
      </c>
      <c r="L80" t="s">
        <v>275</v>
      </c>
      <c r="M80" t="s">
        <v>275</v>
      </c>
      <c r="N80" t="s">
        <v>275</v>
      </c>
      <c r="O80" t="s">
        <v>275</v>
      </c>
      <c r="P80" t="s">
        <v>275</v>
      </c>
      <c r="Q80" t="s">
        <v>275</v>
      </c>
      <c r="R80" t="s">
        <v>275</v>
      </c>
      <c r="S80" t="s">
        <v>275</v>
      </c>
      <c r="T80" t="s">
        <v>275</v>
      </c>
      <c r="U80" t="s">
        <v>275</v>
      </c>
      <c r="V80" t="s">
        <v>275</v>
      </c>
      <c r="W80" t="s">
        <v>10</v>
      </c>
      <c r="X80" t="s">
        <v>275</v>
      </c>
      <c r="Y80" t="s">
        <v>275</v>
      </c>
      <c r="Z80" t="s">
        <v>275</v>
      </c>
      <c r="AA80" t="s">
        <v>275</v>
      </c>
      <c r="AB80" t="s">
        <v>275</v>
      </c>
      <c r="AC80" t="s">
        <v>275</v>
      </c>
      <c r="AD80" t="s">
        <v>275</v>
      </c>
    </row>
    <row r="81" spans="1:30">
      <c r="A81">
        <v>79</v>
      </c>
      <c r="B81" t="s">
        <v>98</v>
      </c>
      <c r="C81" t="s">
        <v>99</v>
      </c>
      <c r="D81" t="str">
        <f>IF(VLOOKUP(C81,'Capabilities Overview'!$A$2:$A$587,1)=C81,"","Not in UCL")</f>
        <v/>
      </c>
      <c r="E81" t="s">
        <v>1</v>
      </c>
      <c r="F81" t="s">
        <v>275</v>
      </c>
      <c r="G81" t="s">
        <v>275</v>
      </c>
      <c r="H81" t="s">
        <v>275</v>
      </c>
      <c r="I81" t="s">
        <v>41</v>
      </c>
      <c r="J81" t="s">
        <v>41</v>
      </c>
      <c r="K81" t="s">
        <v>41</v>
      </c>
      <c r="L81" t="s">
        <v>275</v>
      </c>
      <c r="M81" t="s">
        <v>275</v>
      </c>
      <c r="N81" t="s">
        <v>275</v>
      </c>
      <c r="O81" t="s">
        <v>275</v>
      </c>
      <c r="P81" t="s">
        <v>275</v>
      </c>
      <c r="Q81" t="s">
        <v>275</v>
      </c>
      <c r="R81" t="s">
        <v>275</v>
      </c>
      <c r="S81" t="s">
        <v>275</v>
      </c>
      <c r="T81" t="s">
        <v>1</v>
      </c>
      <c r="U81" t="s">
        <v>275</v>
      </c>
      <c r="V81" t="s">
        <v>275</v>
      </c>
      <c r="W81" t="s">
        <v>10</v>
      </c>
      <c r="X81" t="s">
        <v>275</v>
      </c>
      <c r="Y81" t="s">
        <v>275</v>
      </c>
      <c r="Z81" t="s">
        <v>275</v>
      </c>
      <c r="AA81" t="s">
        <v>275</v>
      </c>
      <c r="AB81" t="s">
        <v>275</v>
      </c>
      <c r="AC81" t="s">
        <v>275</v>
      </c>
      <c r="AD81" t="s">
        <v>1</v>
      </c>
    </row>
    <row r="82" spans="1:30">
      <c r="A82">
        <v>80</v>
      </c>
      <c r="B82" t="s">
        <v>100</v>
      </c>
      <c r="C82" t="s">
        <v>101</v>
      </c>
      <c r="D82" t="str">
        <f>IF(VLOOKUP(C82,'Capabilities Overview'!$A$2:$A$587,1)=C82,"","Not in UCL")</f>
        <v/>
      </c>
      <c r="E82" t="s">
        <v>1</v>
      </c>
      <c r="F82" t="s">
        <v>1</v>
      </c>
      <c r="G82" t="s">
        <v>1</v>
      </c>
      <c r="H82" t="s">
        <v>275</v>
      </c>
      <c r="I82" t="s">
        <v>41</v>
      </c>
      <c r="J82" t="s">
        <v>41</v>
      </c>
      <c r="K82" t="s">
        <v>41</v>
      </c>
      <c r="L82" t="s">
        <v>275</v>
      </c>
      <c r="M82" t="s">
        <v>275</v>
      </c>
      <c r="N82" t="s">
        <v>275</v>
      </c>
      <c r="O82" t="s">
        <v>1</v>
      </c>
      <c r="P82" t="s">
        <v>275</v>
      </c>
      <c r="Q82" t="s">
        <v>1</v>
      </c>
      <c r="R82" t="s">
        <v>1</v>
      </c>
      <c r="S82" t="s">
        <v>275</v>
      </c>
      <c r="T82" t="s">
        <v>1</v>
      </c>
      <c r="U82" t="s">
        <v>275</v>
      </c>
      <c r="V82" t="s">
        <v>275</v>
      </c>
      <c r="W82" t="s">
        <v>10</v>
      </c>
      <c r="X82" t="s">
        <v>275</v>
      </c>
      <c r="Y82" t="s">
        <v>275</v>
      </c>
      <c r="Z82" t="s">
        <v>275</v>
      </c>
      <c r="AA82" t="s">
        <v>275</v>
      </c>
      <c r="AB82" t="s">
        <v>275</v>
      </c>
      <c r="AC82" t="s">
        <v>275</v>
      </c>
      <c r="AD82" t="s">
        <v>1</v>
      </c>
    </row>
    <row r="83" spans="1:30">
      <c r="A83">
        <v>81</v>
      </c>
      <c r="B83" t="s">
        <v>338</v>
      </c>
      <c r="C83" t="s">
        <v>339</v>
      </c>
      <c r="D83" t="str">
        <f>IF(VLOOKUP(C83,'Capabilities Overview'!$A$2:$A$587,1)=C83,"","Not in UCL")</f>
        <v/>
      </c>
      <c r="E83" t="s">
        <v>1</v>
      </c>
      <c r="F83" t="s">
        <v>275</v>
      </c>
      <c r="G83" t="s">
        <v>275</v>
      </c>
      <c r="H83" t="s">
        <v>275</v>
      </c>
      <c r="I83" t="s">
        <v>41</v>
      </c>
      <c r="J83" t="s">
        <v>41</v>
      </c>
      <c r="K83" t="s">
        <v>41</v>
      </c>
      <c r="L83" t="s">
        <v>275</v>
      </c>
      <c r="M83" t="s">
        <v>275</v>
      </c>
      <c r="N83" t="s">
        <v>275</v>
      </c>
      <c r="O83" t="s">
        <v>275</v>
      </c>
      <c r="P83" t="s">
        <v>275</v>
      </c>
      <c r="Q83" t="s">
        <v>275</v>
      </c>
      <c r="R83" t="s">
        <v>275</v>
      </c>
      <c r="S83" t="s">
        <v>275</v>
      </c>
      <c r="T83" t="s">
        <v>275</v>
      </c>
      <c r="U83" t="s">
        <v>275</v>
      </c>
      <c r="V83" t="s">
        <v>275</v>
      </c>
      <c r="W83" t="s">
        <v>10</v>
      </c>
      <c r="X83" t="s">
        <v>275</v>
      </c>
      <c r="Y83" t="s">
        <v>275</v>
      </c>
      <c r="Z83" t="s">
        <v>275</v>
      </c>
      <c r="AA83" t="s">
        <v>275</v>
      </c>
      <c r="AB83" t="s">
        <v>275</v>
      </c>
      <c r="AC83" t="s">
        <v>275</v>
      </c>
      <c r="AD83" t="s">
        <v>275</v>
      </c>
    </row>
    <row r="84" spans="1:30">
      <c r="A84">
        <v>82</v>
      </c>
      <c r="B84" t="s">
        <v>340</v>
      </c>
      <c r="C84" t="s">
        <v>341</v>
      </c>
      <c r="D84" t="str">
        <f>IF(VLOOKUP(C84,'Capabilities Overview'!$A$2:$A$587,1)=C84,"","Not in UCL")</f>
        <v/>
      </c>
      <c r="E84" t="s">
        <v>1</v>
      </c>
      <c r="F84" t="s">
        <v>275</v>
      </c>
      <c r="G84" t="s">
        <v>275</v>
      </c>
      <c r="H84" t="s">
        <v>275</v>
      </c>
      <c r="I84" t="s">
        <v>41</v>
      </c>
      <c r="J84" t="s">
        <v>41</v>
      </c>
      <c r="K84" t="s">
        <v>41</v>
      </c>
      <c r="L84" t="s">
        <v>275</v>
      </c>
      <c r="M84" t="s">
        <v>275</v>
      </c>
      <c r="N84" t="s">
        <v>275</v>
      </c>
      <c r="O84" t="s">
        <v>275</v>
      </c>
      <c r="P84" t="s">
        <v>275</v>
      </c>
      <c r="Q84" t="s">
        <v>275</v>
      </c>
      <c r="R84" t="s">
        <v>275</v>
      </c>
      <c r="S84" t="s">
        <v>275</v>
      </c>
      <c r="T84" t="s">
        <v>275</v>
      </c>
      <c r="U84" t="s">
        <v>275</v>
      </c>
      <c r="V84" t="s">
        <v>275</v>
      </c>
      <c r="W84" t="s">
        <v>10</v>
      </c>
      <c r="X84" t="s">
        <v>275</v>
      </c>
      <c r="Y84" t="s">
        <v>275</v>
      </c>
      <c r="Z84" t="s">
        <v>275</v>
      </c>
      <c r="AA84" t="s">
        <v>275</v>
      </c>
      <c r="AB84" t="s">
        <v>275</v>
      </c>
      <c r="AC84" t="s">
        <v>275</v>
      </c>
      <c r="AD84" t="s">
        <v>275</v>
      </c>
    </row>
    <row r="85" spans="1:30">
      <c r="A85">
        <v>83</v>
      </c>
      <c r="B85" t="s">
        <v>342</v>
      </c>
      <c r="C85" t="s">
        <v>343</v>
      </c>
      <c r="D85" t="str">
        <f>IF(VLOOKUP(C85,'Capabilities Overview'!$A$2:$A$587,1)=C85,"","Not in UCL")</f>
        <v/>
      </c>
      <c r="E85" t="s">
        <v>10</v>
      </c>
      <c r="F85" t="s">
        <v>275</v>
      </c>
      <c r="G85" t="s">
        <v>275</v>
      </c>
      <c r="H85" t="s">
        <v>275</v>
      </c>
      <c r="I85" t="s">
        <v>41</v>
      </c>
      <c r="J85" t="s">
        <v>41</v>
      </c>
      <c r="K85" t="s">
        <v>41</v>
      </c>
      <c r="L85" t="s">
        <v>275</v>
      </c>
      <c r="M85" t="s">
        <v>275</v>
      </c>
      <c r="N85" t="s">
        <v>275</v>
      </c>
      <c r="O85" t="s">
        <v>275</v>
      </c>
      <c r="P85" t="s">
        <v>275</v>
      </c>
      <c r="Q85" t="s">
        <v>275</v>
      </c>
      <c r="R85" t="s">
        <v>275</v>
      </c>
      <c r="S85" t="s">
        <v>275</v>
      </c>
      <c r="T85" t="s">
        <v>275</v>
      </c>
      <c r="U85" t="s">
        <v>275</v>
      </c>
      <c r="V85" t="s">
        <v>275</v>
      </c>
      <c r="W85" t="s">
        <v>10</v>
      </c>
      <c r="X85" t="s">
        <v>275</v>
      </c>
      <c r="Y85" t="s">
        <v>275</v>
      </c>
      <c r="Z85" t="s">
        <v>275</v>
      </c>
      <c r="AA85" t="s">
        <v>275</v>
      </c>
      <c r="AB85" t="s">
        <v>275</v>
      </c>
      <c r="AC85" t="s">
        <v>275</v>
      </c>
      <c r="AD85" t="s">
        <v>275</v>
      </c>
    </row>
    <row r="86" spans="1:30">
      <c r="A86">
        <v>84</v>
      </c>
      <c r="B86" t="s">
        <v>344</v>
      </c>
      <c r="C86" t="s">
        <v>345</v>
      </c>
      <c r="D86" t="str">
        <f>IF(VLOOKUP(C86,'Capabilities Overview'!$A$2:$A$587,1)=C86,"","Not in UCL")</f>
        <v/>
      </c>
      <c r="E86" t="s">
        <v>1</v>
      </c>
      <c r="F86" t="s">
        <v>1</v>
      </c>
      <c r="G86" t="s">
        <v>275</v>
      </c>
      <c r="H86" t="s">
        <v>275</v>
      </c>
      <c r="I86" t="s">
        <v>41</v>
      </c>
      <c r="J86" t="s">
        <v>41</v>
      </c>
      <c r="K86" t="s">
        <v>41</v>
      </c>
      <c r="L86" t="s">
        <v>275</v>
      </c>
      <c r="M86" t="s">
        <v>41</v>
      </c>
      <c r="N86" t="s">
        <v>41</v>
      </c>
      <c r="O86" t="s">
        <v>41</v>
      </c>
      <c r="P86" t="s">
        <v>275</v>
      </c>
      <c r="Q86" t="s">
        <v>41</v>
      </c>
      <c r="R86" t="s">
        <v>275</v>
      </c>
      <c r="S86" t="s">
        <v>275</v>
      </c>
      <c r="T86" t="s">
        <v>275</v>
      </c>
      <c r="U86" t="s">
        <v>275</v>
      </c>
      <c r="V86" t="s">
        <v>275</v>
      </c>
      <c r="W86" t="s">
        <v>10</v>
      </c>
      <c r="X86" t="s">
        <v>275</v>
      </c>
      <c r="Y86" t="s">
        <v>275</v>
      </c>
      <c r="Z86" t="s">
        <v>275</v>
      </c>
      <c r="AA86" t="s">
        <v>275</v>
      </c>
      <c r="AB86" t="s">
        <v>275</v>
      </c>
      <c r="AC86" t="s">
        <v>275</v>
      </c>
      <c r="AD86" t="s">
        <v>275</v>
      </c>
    </row>
    <row r="87" spans="1:30">
      <c r="A87">
        <v>85</v>
      </c>
      <c r="B87" t="s">
        <v>346</v>
      </c>
      <c r="C87" t="s">
        <v>347</v>
      </c>
      <c r="D87" t="str">
        <f>IF(VLOOKUP(C87,'Capabilities Overview'!$A$2:$A$587,1)=C87,"","Not in UCL")</f>
        <v/>
      </c>
      <c r="E87" t="s">
        <v>1</v>
      </c>
      <c r="F87" t="s">
        <v>275</v>
      </c>
      <c r="G87" t="s">
        <v>275</v>
      </c>
      <c r="H87" t="s">
        <v>275</v>
      </c>
      <c r="I87" t="s">
        <v>41</v>
      </c>
      <c r="J87" t="s">
        <v>41</v>
      </c>
      <c r="K87" t="s">
        <v>41</v>
      </c>
      <c r="L87" t="s">
        <v>275</v>
      </c>
      <c r="M87" t="s">
        <v>41</v>
      </c>
      <c r="N87" t="s">
        <v>41</v>
      </c>
      <c r="O87" t="s">
        <v>275</v>
      </c>
      <c r="P87" t="s">
        <v>275</v>
      </c>
      <c r="Q87" t="s">
        <v>275</v>
      </c>
      <c r="R87" t="s">
        <v>275</v>
      </c>
      <c r="S87" t="s">
        <v>275</v>
      </c>
      <c r="T87" t="s">
        <v>275</v>
      </c>
      <c r="U87" t="s">
        <v>275</v>
      </c>
      <c r="V87" t="s">
        <v>275</v>
      </c>
      <c r="W87" t="s">
        <v>10</v>
      </c>
      <c r="X87" t="s">
        <v>275</v>
      </c>
      <c r="Y87" t="s">
        <v>275</v>
      </c>
      <c r="Z87" t="s">
        <v>275</v>
      </c>
      <c r="AA87" t="s">
        <v>275</v>
      </c>
      <c r="AB87" t="s">
        <v>275</v>
      </c>
      <c r="AC87" t="s">
        <v>275</v>
      </c>
      <c r="AD87" t="s">
        <v>275</v>
      </c>
    </row>
    <row r="88" spans="1:30">
      <c r="A88">
        <v>86</v>
      </c>
      <c r="B88" t="s">
        <v>348</v>
      </c>
      <c r="C88" t="s">
        <v>349</v>
      </c>
      <c r="D88" t="str">
        <f>IF(VLOOKUP(C88,'Capabilities Overview'!$A$2:$A$587,1)=C88,"","Not in UCL")</f>
        <v/>
      </c>
      <c r="E88" t="s">
        <v>1</v>
      </c>
      <c r="F88" t="s">
        <v>1</v>
      </c>
      <c r="G88" t="s">
        <v>275</v>
      </c>
      <c r="H88" t="s">
        <v>275</v>
      </c>
      <c r="I88" t="s">
        <v>1</v>
      </c>
      <c r="J88" t="s">
        <v>1</v>
      </c>
      <c r="K88" t="s">
        <v>1</v>
      </c>
      <c r="L88" t="s">
        <v>275</v>
      </c>
      <c r="M88" t="s">
        <v>1</v>
      </c>
      <c r="N88" t="s">
        <v>1</v>
      </c>
      <c r="O88" t="s">
        <v>1</v>
      </c>
      <c r="P88" t="s">
        <v>275</v>
      </c>
      <c r="Q88" t="s">
        <v>1</v>
      </c>
      <c r="R88" t="s">
        <v>275</v>
      </c>
      <c r="S88" t="s">
        <v>275</v>
      </c>
      <c r="T88" t="s">
        <v>275</v>
      </c>
      <c r="U88" t="s">
        <v>275</v>
      </c>
      <c r="V88" t="s">
        <v>275</v>
      </c>
      <c r="W88" t="s">
        <v>10</v>
      </c>
      <c r="X88" t="s">
        <v>275</v>
      </c>
      <c r="Y88" t="s">
        <v>275</v>
      </c>
      <c r="Z88" t="s">
        <v>275</v>
      </c>
      <c r="AA88" t="s">
        <v>275</v>
      </c>
      <c r="AB88" t="s">
        <v>275</v>
      </c>
      <c r="AC88" t="s">
        <v>275</v>
      </c>
      <c r="AD88" t="s">
        <v>275</v>
      </c>
    </row>
    <row r="89" spans="1:30">
      <c r="A89">
        <v>87</v>
      </c>
      <c r="B89" t="s">
        <v>102</v>
      </c>
      <c r="C89" t="s">
        <v>103</v>
      </c>
      <c r="D89" t="str">
        <f>IF(VLOOKUP(C89,'Capabilities Overview'!$A$2:$A$587,1)=C89,"","Not in UCL")</f>
        <v/>
      </c>
      <c r="E89" t="s">
        <v>1</v>
      </c>
      <c r="F89" t="s">
        <v>1</v>
      </c>
      <c r="G89" t="s">
        <v>275</v>
      </c>
      <c r="H89" t="s">
        <v>275</v>
      </c>
      <c r="I89" t="s">
        <v>1</v>
      </c>
      <c r="J89" t="s">
        <v>1</v>
      </c>
      <c r="K89" t="s">
        <v>1</v>
      </c>
      <c r="L89" t="s">
        <v>275</v>
      </c>
      <c r="M89" t="s">
        <v>275</v>
      </c>
      <c r="N89" t="s">
        <v>275</v>
      </c>
      <c r="O89" t="s">
        <v>275</v>
      </c>
      <c r="P89" t="s">
        <v>275</v>
      </c>
      <c r="Q89" t="s">
        <v>275</v>
      </c>
      <c r="R89" t="s">
        <v>275</v>
      </c>
      <c r="S89" t="s">
        <v>275</v>
      </c>
      <c r="T89" t="s">
        <v>1</v>
      </c>
      <c r="U89" t="s">
        <v>1</v>
      </c>
      <c r="V89" t="s">
        <v>275</v>
      </c>
      <c r="W89" t="s">
        <v>10</v>
      </c>
      <c r="X89" t="s">
        <v>275</v>
      </c>
      <c r="Y89" t="s">
        <v>275</v>
      </c>
      <c r="Z89" t="s">
        <v>275</v>
      </c>
      <c r="AA89" t="s">
        <v>275</v>
      </c>
      <c r="AB89" t="s">
        <v>275</v>
      </c>
      <c r="AC89" t="s">
        <v>275</v>
      </c>
      <c r="AD89" t="s">
        <v>1</v>
      </c>
    </row>
    <row r="90" spans="1:30">
      <c r="A90">
        <v>88</v>
      </c>
      <c r="B90" t="s">
        <v>350</v>
      </c>
      <c r="C90" t="s">
        <v>351</v>
      </c>
      <c r="D90" t="str">
        <f>IF(VLOOKUP(C90,'Capabilities Overview'!$A$2:$A$587,1)=C90,"","Not in UCL")</f>
        <v/>
      </c>
      <c r="E90" t="s">
        <v>1</v>
      </c>
      <c r="F90" t="s">
        <v>1</v>
      </c>
      <c r="G90" t="s">
        <v>275</v>
      </c>
      <c r="H90" t="s">
        <v>275</v>
      </c>
      <c r="I90" t="s">
        <v>1</v>
      </c>
      <c r="J90" t="s">
        <v>1</v>
      </c>
      <c r="K90" t="s">
        <v>1</v>
      </c>
      <c r="L90" t="s">
        <v>275</v>
      </c>
      <c r="M90" t="s">
        <v>1</v>
      </c>
      <c r="N90" t="s">
        <v>1</v>
      </c>
      <c r="O90" t="s">
        <v>1</v>
      </c>
      <c r="P90" t="s">
        <v>275</v>
      </c>
      <c r="Q90" t="s">
        <v>275</v>
      </c>
      <c r="R90" t="s">
        <v>275</v>
      </c>
      <c r="S90" t="s">
        <v>275</v>
      </c>
      <c r="T90" t="s">
        <v>275</v>
      </c>
      <c r="U90" t="s">
        <v>275</v>
      </c>
      <c r="V90" t="s">
        <v>275</v>
      </c>
      <c r="W90" t="s">
        <v>10</v>
      </c>
      <c r="X90" t="s">
        <v>275</v>
      </c>
      <c r="Y90" t="s">
        <v>275</v>
      </c>
      <c r="Z90" t="s">
        <v>275</v>
      </c>
      <c r="AA90" t="s">
        <v>275</v>
      </c>
      <c r="AB90" t="s">
        <v>275</v>
      </c>
      <c r="AC90" t="s">
        <v>275</v>
      </c>
      <c r="AD90" t="s">
        <v>275</v>
      </c>
    </row>
    <row r="91" spans="1:30">
      <c r="A91">
        <v>89</v>
      </c>
      <c r="B91" t="s">
        <v>104</v>
      </c>
      <c r="C91" t="s">
        <v>105</v>
      </c>
      <c r="D91" t="str">
        <f>IF(VLOOKUP(C91,'Capabilities Overview'!$A$2:$A$587,1)=C91,"","Not in UCL")</f>
        <v/>
      </c>
      <c r="E91" t="s">
        <v>1</v>
      </c>
      <c r="F91" t="s">
        <v>275</v>
      </c>
      <c r="G91" t="s">
        <v>275</v>
      </c>
      <c r="H91" t="s">
        <v>275</v>
      </c>
      <c r="I91" t="s">
        <v>1</v>
      </c>
      <c r="J91" t="s">
        <v>1</v>
      </c>
      <c r="K91" t="s">
        <v>1</v>
      </c>
      <c r="L91" t="s">
        <v>275</v>
      </c>
      <c r="M91" t="s">
        <v>275</v>
      </c>
      <c r="N91" t="s">
        <v>275</v>
      </c>
      <c r="O91" t="s">
        <v>275</v>
      </c>
      <c r="P91" t="s">
        <v>275</v>
      </c>
      <c r="Q91" t="s">
        <v>275</v>
      </c>
      <c r="R91" t="s">
        <v>275</v>
      </c>
      <c r="S91" t="s">
        <v>275</v>
      </c>
      <c r="T91" t="s">
        <v>1</v>
      </c>
      <c r="U91" t="s">
        <v>275</v>
      </c>
      <c r="V91" t="s">
        <v>275</v>
      </c>
      <c r="W91" t="s">
        <v>10</v>
      </c>
      <c r="X91" t="s">
        <v>275</v>
      </c>
      <c r="Y91" t="s">
        <v>275</v>
      </c>
      <c r="Z91" t="s">
        <v>275</v>
      </c>
      <c r="AA91" t="s">
        <v>275</v>
      </c>
      <c r="AB91" t="s">
        <v>275</v>
      </c>
      <c r="AC91" t="s">
        <v>275</v>
      </c>
      <c r="AD91" t="s">
        <v>1</v>
      </c>
    </row>
    <row r="92" spans="1:30">
      <c r="A92">
        <v>90</v>
      </c>
      <c r="B92" t="s">
        <v>352</v>
      </c>
      <c r="C92" t="s">
        <v>353</v>
      </c>
      <c r="D92" t="str">
        <f>IF(VLOOKUP(C92,'Capabilities Overview'!$A$2:$A$587,1)=C92,"","Not in UCL")</f>
        <v/>
      </c>
      <c r="E92" t="s">
        <v>1</v>
      </c>
      <c r="F92" t="s">
        <v>275</v>
      </c>
      <c r="G92" t="s">
        <v>275</v>
      </c>
      <c r="H92" t="s">
        <v>275</v>
      </c>
      <c r="I92" t="s">
        <v>41</v>
      </c>
      <c r="J92" t="s">
        <v>41</v>
      </c>
      <c r="K92" t="s">
        <v>41</v>
      </c>
      <c r="L92" t="s">
        <v>275</v>
      </c>
      <c r="M92" t="s">
        <v>275</v>
      </c>
      <c r="N92" t="s">
        <v>275</v>
      </c>
      <c r="O92" t="s">
        <v>275</v>
      </c>
      <c r="P92" t="s">
        <v>275</v>
      </c>
      <c r="Q92" t="s">
        <v>275</v>
      </c>
      <c r="R92" t="s">
        <v>275</v>
      </c>
      <c r="S92" t="s">
        <v>275</v>
      </c>
      <c r="T92" t="s">
        <v>275</v>
      </c>
      <c r="U92" t="s">
        <v>275</v>
      </c>
      <c r="V92" t="s">
        <v>275</v>
      </c>
      <c r="W92" t="s">
        <v>10</v>
      </c>
      <c r="X92" t="s">
        <v>275</v>
      </c>
      <c r="Y92" t="s">
        <v>275</v>
      </c>
      <c r="Z92" t="s">
        <v>275</v>
      </c>
      <c r="AA92" t="s">
        <v>275</v>
      </c>
      <c r="AB92" t="s">
        <v>275</v>
      </c>
      <c r="AC92" t="s">
        <v>275</v>
      </c>
      <c r="AD92" t="s">
        <v>275</v>
      </c>
    </row>
    <row r="93" spans="1:30">
      <c r="A93">
        <v>91</v>
      </c>
      <c r="B93" t="s">
        <v>354</v>
      </c>
      <c r="C93" t="s">
        <v>355</v>
      </c>
      <c r="D93" t="str">
        <f>IF(VLOOKUP(C93,'Capabilities Overview'!$A$2:$A$587,1)=C93,"","Not in UCL")</f>
        <v/>
      </c>
      <c r="E93" t="s">
        <v>1</v>
      </c>
      <c r="F93" t="s">
        <v>275</v>
      </c>
      <c r="G93" t="s">
        <v>275</v>
      </c>
      <c r="H93" t="s">
        <v>275</v>
      </c>
      <c r="I93" t="s">
        <v>1</v>
      </c>
      <c r="J93" t="s">
        <v>275</v>
      </c>
      <c r="K93" t="s">
        <v>275</v>
      </c>
      <c r="L93" t="s">
        <v>275</v>
      </c>
      <c r="M93" t="s">
        <v>275</v>
      </c>
      <c r="N93" t="s">
        <v>275</v>
      </c>
      <c r="O93" t="s">
        <v>275</v>
      </c>
      <c r="P93" t="s">
        <v>275</v>
      </c>
      <c r="Q93" t="s">
        <v>275</v>
      </c>
      <c r="R93" t="s">
        <v>275</v>
      </c>
      <c r="S93" t="s">
        <v>275</v>
      </c>
      <c r="T93" t="s">
        <v>275</v>
      </c>
      <c r="U93" t="s">
        <v>275</v>
      </c>
      <c r="V93" t="s">
        <v>275</v>
      </c>
      <c r="W93" t="s">
        <v>275</v>
      </c>
      <c r="X93" t="s">
        <v>275</v>
      </c>
      <c r="Y93" t="s">
        <v>275</v>
      </c>
      <c r="Z93" t="s">
        <v>275</v>
      </c>
      <c r="AA93" t="s">
        <v>275</v>
      </c>
      <c r="AB93" t="s">
        <v>275</v>
      </c>
      <c r="AC93" t="s">
        <v>275</v>
      </c>
      <c r="AD93" t="s">
        <v>275</v>
      </c>
    </row>
    <row r="94" spans="1:30">
      <c r="A94">
        <v>92</v>
      </c>
      <c r="B94" t="s">
        <v>106</v>
      </c>
      <c r="C94" t="s">
        <v>107</v>
      </c>
      <c r="D94" t="str">
        <f>IF(VLOOKUP(C94,'Capabilities Overview'!$A$2:$A$587,1)=C94,"","Not in UCL")</f>
        <v/>
      </c>
      <c r="E94" t="s">
        <v>1</v>
      </c>
      <c r="F94" t="s">
        <v>275</v>
      </c>
      <c r="G94" t="s">
        <v>275</v>
      </c>
      <c r="H94" t="s">
        <v>275</v>
      </c>
      <c r="I94" t="s">
        <v>275</v>
      </c>
      <c r="J94" t="s">
        <v>275</v>
      </c>
      <c r="K94" t="s">
        <v>275</v>
      </c>
      <c r="L94" t="s">
        <v>275</v>
      </c>
      <c r="M94" t="s">
        <v>275</v>
      </c>
      <c r="N94" t="s">
        <v>275</v>
      </c>
      <c r="O94" t="s">
        <v>275</v>
      </c>
      <c r="P94" t="s">
        <v>275</v>
      </c>
      <c r="Q94" t="s">
        <v>275</v>
      </c>
      <c r="R94" t="s">
        <v>275</v>
      </c>
      <c r="S94" t="s">
        <v>275</v>
      </c>
      <c r="T94" t="s">
        <v>1</v>
      </c>
      <c r="U94" t="s">
        <v>275</v>
      </c>
      <c r="V94" t="s">
        <v>275</v>
      </c>
      <c r="W94" t="s">
        <v>10</v>
      </c>
      <c r="X94" t="s">
        <v>275</v>
      </c>
      <c r="Y94" t="s">
        <v>275</v>
      </c>
      <c r="Z94" t="s">
        <v>275</v>
      </c>
      <c r="AA94" t="s">
        <v>275</v>
      </c>
      <c r="AB94" t="s">
        <v>275</v>
      </c>
      <c r="AC94" t="s">
        <v>275</v>
      </c>
      <c r="AD94" t="s">
        <v>1</v>
      </c>
    </row>
    <row r="95" spans="1:30">
      <c r="A95">
        <v>93</v>
      </c>
      <c r="B95" t="s">
        <v>108</v>
      </c>
      <c r="C95" t="s">
        <v>109</v>
      </c>
      <c r="D95" t="str">
        <f>IF(VLOOKUP(C95,'Capabilities Overview'!$A$2:$A$587,1)=C95,"","Not in UCL")</f>
        <v/>
      </c>
      <c r="E95" t="s">
        <v>1</v>
      </c>
      <c r="F95" t="s">
        <v>275</v>
      </c>
      <c r="G95" t="s">
        <v>275</v>
      </c>
      <c r="H95" t="s">
        <v>275</v>
      </c>
      <c r="I95" t="s">
        <v>275</v>
      </c>
      <c r="J95" t="s">
        <v>275</v>
      </c>
      <c r="K95" t="s">
        <v>275</v>
      </c>
      <c r="L95" t="s">
        <v>275</v>
      </c>
      <c r="M95" t="s">
        <v>275</v>
      </c>
      <c r="N95" t="s">
        <v>275</v>
      </c>
      <c r="O95" t="s">
        <v>275</v>
      </c>
      <c r="P95" t="s">
        <v>275</v>
      </c>
      <c r="Q95" t="s">
        <v>275</v>
      </c>
      <c r="R95" t="s">
        <v>275</v>
      </c>
      <c r="S95" t="s">
        <v>275</v>
      </c>
      <c r="T95" t="s">
        <v>1</v>
      </c>
      <c r="U95" t="s">
        <v>275</v>
      </c>
      <c r="V95" t="s">
        <v>275</v>
      </c>
      <c r="W95" t="s">
        <v>10</v>
      </c>
      <c r="X95" t="s">
        <v>275</v>
      </c>
      <c r="Y95" t="s">
        <v>275</v>
      </c>
      <c r="Z95" t="s">
        <v>275</v>
      </c>
      <c r="AA95" t="s">
        <v>275</v>
      </c>
      <c r="AB95" t="s">
        <v>275</v>
      </c>
      <c r="AC95" t="s">
        <v>275</v>
      </c>
      <c r="AD95" t="s">
        <v>1</v>
      </c>
    </row>
    <row r="96" spans="1:30">
      <c r="A96">
        <v>94</v>
      </c>
      <c r="B96" t="s">
        <v>356</v>
      </c>
      <c r="C96" t="s">
        <v>357</v>
      </c>
      <c r="D96" t="str">
        <f>IF(VLOOKUP(C96,'Capabilities Overview'!$A$2:$A$587,1)=C96,"","Not in UCL")</f>
        <v/>
      </c>
      <c r="E96" t="s">
        <v>1</v>
      </c>
      <c r="F96" t="s">
        <v>275</v>
      </c>
      <c r="G96" t="s">
        <v>275</v>
      </c>
      <c r="H96" t="s">
        <v>275</v>
      </c>
      <c r="I96" t="s">
        <v>275</v>
      </c>
      <c r="J96" t="s">
        <v>275</v>
      </c>
      <c r="K96" t="s">
        <v>275</v>
      </c>
      <c r="L96" t="s">
        <v>275</v>
      </c>
      <c r="M96" t="s">
        <v>1</v>
      </c>
      <c r="N96" t="s">
        <v>1</v>
      </c>
      <c r="O96" t="s">
        <v>1</v>
      </c>
      <c r="P96" t="s">
        <v>275</v>
      </c>
      <c r="Q96" t="s">
        <v>1</v>
      </c>
      <c r="R96" t="s">
        <v>275</v>
      </c>
      <c r="S96" t="s">
        <v>275</v>
      </c>
      <c r="T96" t="s">
        <v>275</v>
      </c>
      <c r="U96" t="s">
        <v>275</v>
      </c>
      <c r="V96" t="s">
        <v>275</v>
      </c>
      <c r="W96" t="s">
        <v>10</v>
      </c>
      <c r="X96" t="s">
        <v>275</v>
      </c>
      <c r="Y96" t="s">
        <v>275</v>
      </c>
      <c r="Z96" t="s">
        <v>275</v>
      </c>
      <c r="AA96" t="s">
        <v>275</v>
      </c>
      <c r="AB96" t="s">
        <v>275</v>
      </c>
      <c r="AC96" t="s">
        <v>275</v>
      </c>
      <c r="AD96" t="s">
        <v>275</v>
      </c>
    </row>
    <row r="97" spans="1:30">
      <c r="A97">
        <v>95</v>
      </c>
      <c r="B97" t="s">
        <v>110</v>
      </c>
      <c r="C97" t="s">
        <v>111</v>
      </c>
      <c r="D97" t="str">
        <f>IF(VLOOKUP(C97,'Capabilities Overview'!$A$2:$A$587,1)=C97,"","Not in UCL")</f>
        <v/>
      </c>
      <c r="E97" t="s">
        <v>1</v>
      </c>
      <c r="F97" t="s">
        <v>275</v>
      </c>
      <c r="G97" t="s">
        <v>275</v>
      </c>
      <c r="H97" t="s">
        <v>275</v>
      </c>
      <c r="I97" t="s">
        <v>275</v>
      </c>
      <c r="J97" t="s">
        <v>275</v>
      </c>
      <c r="K97" t="s">
        <v>275</v>
      </c>
      <c r="L97" t="s">
        <v>275</v>
      </c>
      <c r="M97" t="s">
        <v>275</v>
      </c>
      <c r="N97" t="s">
        <v>275</v>
      </c>
      <c r="O97" t="s">
        <v>275</v>
      </c>
      <c r="P97" t="s">
        <v>275</v>
      </c>
      <c r="Q97" t="s">
        <v>275</v>
      </c>
      <c r="R97" t="s">
        <v>275</v>
      </c>
      <c r="S97" t="s">
        <v>275</v>
      </c>
      <c r="T97" t="s">
        <v>1</v>
      </c>
      <c r="U97" t="s">
        <v>275</v>
      </c>
      <c r="V97" t="s">
        <v>275</v>
      </c>
      <c r="W97" t="s">
        <v>275</v>
      </c>
      <c r="X97" t="s">
        <v>275</v>
      </c>
      <c r="Y97" t="s">
        <v>275</v>
      </c>
      <c r="Z97" t="s">
        <v>275</v>
      </c>
      <c r="AA97" t="s">
        <v>275</v>
      </c>
      <c r="AB97" t="s">
        <v>275</v>
      </c>
      <c r="AC97" t="s">
        <v>275</v>
      </c>
      <c r="AD97" t="s">
        <v>1</v>
      </c>
    </row>
    <row r="98" spans="1:30">
      <c r="A98">
        <v>96</v>
      </c>
      <c r="B98" t="s">
        <v>358</v>
      </c>
      <c r="C98" t="s">
        <v>359</v>
      </c>
      <c r="D98" t="str">
        <f>IF(VLOOKUP(C98,'Capabilities Overview'!$A$2:$A$587,1)=C98,"","Not in UCL")</f>
        <v/>
      </c>
      <c r="E98" t="s">
        <v>1</v>
      </c>
      <c r="F98" t="s">
        <v>275</v>
      </c>
      <c r="G98" t="s">
        <v>275</v>
      </c>
      <c r="H98" t="s">
        <v>275</v>
      </c>
      <c r="I98" t="s">
        <v>275</v>
      </c>
      <c r="J98" t="s">
        <v>275</v>
      </c>
      <c r="K98" t="s">
        <v>275</v>
      </c>
      <c r="L98" t="s">
        <v>275</v>
      </c>
      <c r="M98" t="s">
        <v>1</v>
      </c>
      <c r="N98" t="s">
        <v>1</v>
      </c>
      <c r="O98" t="s">
        <v>1</v>
      </c>
      <c r="P98" t="s">
        <v>275</v>
      </c>
      <c r="Q98" t="s">
        <v>1</v>
      </c>
      <c r="R98" t="s">
        <v>275</v>
      </c>
      <c r="S98" t="s">
        <v>275</v>
      </c>
      <c r="T98" t="s">
        <v>275</v>
      </c>
      <c r="U98" t="s">
        <v>275</v>
      </c>
      <c r="V98" t="s">
        <v>275</v>
      </c>
      <c r="W98" t="s">
        <v>10</v>
      </c>
      <c r="X98" t="s">
        <v>275</v>
      </c>
      <c r="Y98" t="s">
        <v>275</v>
      </c>
      <c r="Z98" t="s">
        <v>275</v>
      </c>
      <c r="AA98" t="s">
        <v>275</v>
      </c>
      <c r="AB98" t="s">
        <v>275</v>
      </c>
      <c r="AC98" t="s">
        <v>275</v>
      </c>
      <c r="AD98" t="s">
        <v>275</v>
      </c>
    </row>
    <row r="99" spans="1:30">
      <c r="A99">
        <v>97</v>
      </c>
      <c r="B99" t="s">
        <v>112</v>
      </c>
      <c r="C99" t="s">
        <v>113</v>
      </c>
      <c r="D99" t="str">
        <f>IF(VLOOKUP(C99,'Capabilities Overview'!$A$2:$A$587,1)=C99,"","Not in UCL")</f>
        <v/>
      </c>
      <c r="E99" t="s">
        <v>1</v>
      </c>
      <c r="F99" t="s">
        <v>275</v>
      </c>
      <c r="G99" t="s">
        <v>275</v>
      </c>
      <c r="H99" t="s">
        <v>275</v>
      </c>
      <c r="I99" t="s">
        <v>275</v>
      </c>
      <c r="J99" t="s">
        <v>275</v>
      </c>
      <c r="K99" t="s">
        <v>275</v>
      </c>
      <c r="L99" t="s">
        <v>275</v>
      </c>
      <c r="M99" t="s">
        <v>275</v>
      </c>
      <c r="N99" t="s">
        <v>275</v>
      </c>
      <c r="O99" t="s">
        <v>275</v>
      </c>
      <c r="P99" t="s">
        <v>275</v>
      </c>
      <c r="Q99" t="s">
        <v>275</v>
      </c>
      <c r="R99" t="s">
        <v>275</v>
      </c>
      <c r="S99" t="s">
        <v>10</v>
      </c>
      <c r="T99" t="s">
        <v>1</v>
      </c>
      <c r="U99" t="s">
        <v>275</v>
      </c>
      <c r="V99" t="s">
        <v>275</v>
      </c>
      <c r="W99" t="s">
        <v>10</v>
      </c>
      <c r="X99" t="s">
        <v>275</v>
      </c>
      <c r="Y99" t="s">
        <v>275</v>
      </c>
      <c r="Z99" t="s">
        <v>275</v>
      </c>
      <c r="AA99" t="s">
        <v>275</v>
      </c>
      <c r="AB99" t="s">
        <v>275</v>
      </c>
      <c r="AC99" t="s">
        <v>275</v>
      </c>
      <c r="AD99" t="s">
        <v>10</v>
      </c>
    </row>
    <row r="100" spans="1:30">
      <c r="A100">
        <v>98</v>
      </c>
      <c r="B100" t="s">
        <v>360</v>
      </c>
      <c r="C100" t="s">
        <v>361</v>
      </c>
      <c r="D100" t="str">
        <f>IF(VLOOKUP(C100,'Capabilities Overview'!$A$2:$A$587,1)=C100,"","Not in UCL")</f>
        <v/>
      </c>
      <c r="E100" t="s">
        <v>1</v>
      </c>
      <c r="F100" t="s">
        <v>275</v>
      </c>
      <c r="G100" t="s">
        <v>275</v>
      </c>
      <c r="H100" t="s">
        <v>275</v>
      </c>
      <c r="I100" t="s">
        <v>41</v>
      </c>
      <c r="J100" t="s">
        <v>275</v>
      </c>
      <c r="K100" t="s">
        <v>275</v>
      </c>
      <c r="L100" t="s">
        <v>275</v>
      </c>
      <c r="M100" t="s">
        <v>275</v>
      </c>
      <c r="N100" t="s">
        <v>275</v>
      </c>
      <c r="O100" t="s">
        <v>275</v>
      </c>
      <c r="P100" t="s">
        <v>275</v>
      </c>
      <c r="Q100" t="s">
        <v>275</v>
      </c>
      <c r="R100" t="s">
        <v>275</v>
      </c>
      <c r="S100" t="s">
        <v>275</v>
      </c>
      <c r="T100" t="s">
        <v>275</v>
      </c>
      <c r="U100" t="s">
        <v>275</v>
      </c>
      <c r="V100" t="s">
        <v>275</v>
      </c>
      <c r="W100" t="s">
        <v>10</v>
      </c>
      <c r="X100" t="s">
        <v>275</v>
      </c>
      <c r="Y100" t="s">
        <v>275</v>
      </c>
      <c r="Z100" t="s">
        <v>275</v>
      </c>
      <c r="AA100" t="s">
        <v>275</v>
      </c>
      <c r="AB100" t="s">
        <v>275</v>
      </c>
      <c r="AC100" t="s">
        <v>275</v>
      </c>
      <c r="AD100" t="s">
        <v>275</v>
      </c>
    </row>
    <row r="101" spans="1:30">
      <c r="A101">
        <v>99</v>
      </c>
      <c r="B101" t="s">
        <v>362</v>
      </c>
      <c r="C101" t="s">
        <v>363</v>
      </c>
      <c r="D101" t="str">
        <f>IF(VLOOKUP(C101,'Capabilities Overview'!$A$2:$A$587,1)=C101,"","Not in UCL")</f>
        <v/>
      </c>
      <c r="E101" t="s">
        <v>1</v>
      </c>
      <c r="F101" t="s">
        <v>275</v>
      </c>
      <c r="G101" t="s">
        <v>275</v>
      </c>
      <c r="H101" t="s">
        <v>275</v>
      </c>
      <c r="I101" t="s">
        <v>41</v>
      </c>
      <c r="J101" t="s">
        <v>275</v>
      </c>
      <c r="K101" t="s">
        <v>275</v>
      </c>
      <c r="L101" t="s">
        <v>275</v>
      </c>
      <c r="M101" t="s">
        <v>275</v>
      </c>
      <c r="N101" t="s">
        <v>275</v>
      </c>
      <c r="O101" t="s">
        <v>275</v>
      </c>
      <c r="P101" t="s">
        <v>275</v>
      </c>
      <c r="Q101" t="s">
        <v>275</v>
      </c>
      <c r="R101" t="s">
        <v>275</v>
      </c>
      <c r="S101" t="s">
        <v>275</v>
      </c>
      <c r="T101" t="s">
        <v>275</v>
      </c>
      <c r="U101" t="s">
        <v>275</v>
      </c>
      <c r="V101" t="s">
        <v>275</v>
      </c>
      <c r="W101" t="s">
        <v>10</v>
      </c>
      <c r="X101" t="s">
        <v>275</v>
      </c>
      <c r="Y101" t="s">
        <v>275</v>
      </c>
      <c r="Z101" t="s">
        <v>275</v>
      </c>
      <c r="AA101" t="s">
        <v>275</v>
      </c>
      <c r="AB101" t="s">
        <v>275</v>
      </c>
      <c r="AC101" t="s">
        <v>275</v>
      </c>
      <c r="AD101" t="s">
        <v>275</v>
      </c>
    </row>
    <row r="102" spans="1:30">
      <c r="A102">
        <v>100</v>
      </c>
      <c r="B102" t="s">
        <v>114</v>
      </c>
      <c r="C102" t="s">
        <v>115</v>
      </c>
      <c r="D102" t="str">
        <f>IF(VLOOKUP(C102,'Capabilities Overview'!$A$2:$A$587,1)=C102,"","Not in UCL")</f>
        <v/>
      </c>
      <c r="E102" t="s">
        <v>1</v>
      </c>
      <c r="F102" t="s">
        <v>275</v>
      </c>
      <c r="G102" t="s">
        <v>275</v>
      </c>
      <c r="H102" t="s">
        <v>275</v>
      </c>
      <c r="I102" t="s">
        <v>1</v>
      </c>
      <c r="J102" t="s">
        <v>275</v>
      </c>
      <c r="K102" t="s">
        <v>275</v>
      </c>
      <c r="L102" t="s">
        <v>275</v>
      </c>
      <c r="M102" t="s">
        <v>275</v>
      </c>
      <c r="N102" t="s">
        <v>275</v>
      </c>
      <c r="O102" t="s">
        <v>275</v>
      </c>
      <c r="P102" t="s">
        <v>275</v>
      </c>
      <c r="Q102" t="s">
        <v>275</v>
      </c>
      <c r="R102" t="s">
        <v>275</v>
      </c>
      <c r="S102" t="s">
        <v>10</v>
      </c>
      <c r="T102" t="s">
        <v>1</v>
      </c>
      <c r="U102" t="s">
        <v>275</v>
      </c>
      <c r="V102" t="s">
        <v>275</v>
      </c>
      <c r="W102" t="s">
        <v>10</v>
      </c>
      <c r="X102" t="s">
        <v>275</v>
      </c>
      <c r="Y102" t="s">
        <v>275</v>
      </c>
      <c r="Z102" t="s">
        <v>275</v>
      </c>
      <c r="AA102" t="s">
        <v>275</v>
      </c>
      <c r="AB102" t="s">
        <v>275</v>
      </c>
      <c r="AC102" t="s">
        <v>275</v>
      </c>
      <c r="AD102" t="s">
        <v>10</v>
      </c>
    </row>
    <row r="103" spans="1:30">
      <c r="A103">
        <v>101</v>
      </c>
      <c r="B103" t="s">
        <v>116</v>
      </c>
      <c r="C103" t="s">
        <v>117</v>
      </c>
      <c r="D103" t="str">
        <f>IF(VLOOKUP(C103,'Capabilities Overview'!$A$2:$A$587,1)=C103,"","Not in UCL")</f>
        <v/>
      </c>
      <c r="E103" t="s">
        <v>1</v>
      </c>
      <c r="F103" t="s">
        <v>275</v>
      </c>
      <c r="G103" t="s">
        <v>275</v>
      </c>
      <c r="H103" t="s">
        <v>275</v>
      </c>
      <c r="I103" t="s">
        <v>1</v>
      </c>
      <c r="J103" t="s">
        <v>275</v>
      </c>
      <c r="K103" t="s">
        <v>275</v>
      </c>
      <c r="L103" t="s">
        <v>275</v>
      </c>
      <c r="M103" t="s">
        <v>275</v>
      </c>
      <c r="N103" t="s">
        <v>275</v>
      </c>
      <c r="O103" t="s">
        <v>275</v>
      </c>
      <c r="P103" t="s">
        <v>275</v>
      </c>
      <c r="Q103" t="s">
        <v>275</v>
      </c>
      <c r="R103" t="s">
        <v>275</v>
      </c>
      <c r="S103" t="s">
        <v>10</v>
      </c>
      <c r="T103" t="s">
        <v>1</v>
      </c>
      <c r="U103" t="s">
        <v>275</v>
      </c>
      <c r="V103" t="s">
        <v>275</v>
      </c>
      <c r="W103" t="s">
        <v>10</v>
      </c>
      <c r="X103" t="s">
        <v>275</v>
      </c>
      <c r="Y103" t="s">
        <v>275</v>
      </c>
      <c r="Z103" t="s">
        <v>275</v>
      </c>
      <c r="AA103" t="s">
        <v>275</v>
      </c>
      <c r="AB103" t="s">
        <v>275</v>
      </c>
      <c r="AC103" t="s">
        <v>275</v>
      </c>
      <c r="AD103" t="s">
        <v>10</v>
      </c>
    </row>
    <row r="104" spans="1:30">
      <c r="A104">
        <v>102</v>
      </c>
      <c r="B104" t="s">
        <v>364</v>
      </c>
      <c r="C104" t="s">
        <v>365</v>
      </c>
      <c r="D104" t="str">
        <f>IF(VLOOKUP(C104,'Capabilities Overview'!$A$2:$A$587,1)=C104,"","Not in UCL")</f>
        <v/>
      </c>
      <c r="E104" t="s">
        <v>275</v>
      </c>
      <c r="F104" t="s">
        <v>275</v>
      </c>
      <c r="G104" t="s">
        <v>275</v>
      </c>
      <c r="H104" t="s">
        <v>275</v>
      </c>
      <c r="I104" t="s">
        <v>275</v>
      </c>
      <c r="J104" t="s">
        <v>275</v>
      </c>
      <c r="K104" t="s">
        <v>275</v>
      </c>
      <c r="L104" t="s">
        <v>275</v>
      </c>
      <c r="M104" t="s">
        <v>275</v>
      </c>
      <c r="N104" t="s">
        <v>275</v>
      </c>
      <c r="O104" t="s">
        <v>275</v>
      </c>
      <c r="P104" t="s">
        <v>275</v>
      </c>
      <c r="Q104" t="s">
        <v>275</v>
      </c>
      <c r="R104" t="s">
        <v>275</v>
      </c>
      <c r="S104" t="s">
        <v>275</v>
      </c>
      <c r="T104" t="s">
        <v>275</v>
      </c>
      <c r="U104" t="s">
        <v>275</v>
      </c>
      <c r="V104" t="s">
        <v>275</v>
      </c>
      <c r="W104" t="s">
        <v>275</v>
      </c>
      <c r="X104" t="s">
        <v>275</v>
      </c>
      <c r="Y104" t="s">
        <v>275</v>
      </c>
      <c r="Z104" t="s">
        <v>275</v>
      </c>
      <c r="AA104" t="s">
        <v>275</v>
      </c>
      <c r="AB104" t="s">
        <v>275</v>
      </c>
      <c r="AC104" t="s">
        <v>275</v>
      </c>
      <c r="AD104" t="s">
        <v>275</v>
      </c>
    </row>
    <row r="105" spans="1:30">
      <c r="A105">
        <v>103</v>
      </c>
      <c r="B105" t="s">
        <v>118</v>
      </c>
      <c r="C105" t="s">
        <v>119</v>
      </c>
      <c r="D105" t="str">
        <f>IF(VLOOKUP(C105,'Capabilities Overview'!$A$2:$A$587,1)=C105,"","Not in UCL")</f>
        <v/>
      </c>
      <c r="E105" t="s">
        <v>1</v>
      </c>
      <c r="F105" t="s">
        <v>275</v>
      </c>
      <c r="G105" t="s">
        <v>275</v>
      </c>
      <c r="H105" t="s">
        <v>275</v>
      </c>
      <c r="I105" t="s">
        <v>1</v>
      </c>
      <c r="J105" t="s">
        <v>275</v>
      </c>
      <c r="K105" t="s">
        <v>275</v>
      </c>
      <c r="L105" t="s">
        <v>275</v>
      </c>
      <c r="M105" t="s">
        <v>275</v>
      </c>
      <c r="N105" t="s">
        <v>275</v>
      </c>
      <c r="O105" t="s">
        <v>275</v>
      </c>
      <c r="P105" t="s">
        <v>275</v>
      </c>
      <c r="Q105" t="s">
        <v>275</v>
      </c>
      <c r="R105" t="s">
        <v>275</v>
      </c>
      <c r="S105" t="s">
        <v>275</v>
      </c>
      <c r="T105" t="s">
        <v>1</v>
      </c>
      <c r="U105" t="s">
        <v>275</v>
      </c>
      <c r="V105" t="s">
        <v>275</v>
      </c>
      <c r="W105" t="s">
        <v>10</v>
      </c>
      <c r="X105" t="s">
        <v>275</v>
      </c>
      <c r="Y105" t="s">
        <v>275</v>
      </c>
      <c r="Z105" t="s">
        <v>275</v>
      </c>
      <c r="AA105" t="s">
        <v>275</v>
      </c>
      <c r="AB105" t="s">
        <v>275</v>
      </c>
      <c r="AC105" t="s">
        <v>275</v>
      </c>
      <c r="AD105" t="s">
        <v>1</v>
      </c>
    </row>
    <row r="106" spans="1:30">
      <c r="A106">
        <v>104</v>
      </c>
      <c r="B106" t="s">
        <v>120</v>
      </c>
      <c r="C106" t="s">
        <v>121</v>
      </c>
      <c r="D106" t="str">
        <f>IF(VLOOKUP(C106,'Capabilities Overview'!$A$2:$A$587,1)=C106,"","Not in UCL")</f>
        <v/>
      </c>
      <c r="E106" t="s">
        <v>1</v>
      </c>
      <c r="F106" t="s">
        <v>275</v>
      </c>
      <c r="G106" t="s">
        <v>275</v>
      </c>
      <c r="H106" t="s">
        <v>275</v>
      </c>
      <c r="I106" t="s">
        <v>1</v>
      </c>
      <c r="J106" t="s">
        <v>275</v>
      </c>
      <c r="K106" t="s">
        <v>275</v>
      </c>
      <c r="L106" t="s">
        <v>275</v>
      </c>
      <c r="M106" t="s">
        <v>275</v>
      </c>
      <c r="N106" t="s">
        <v>275</v>
      </c>
      <c r="O106" t="s">
        <v>275</v>
      </c>
      <c r="P106" t="s">
        <v>275</v>
      </c>
      <c r="Q106" t="s">
        <v>275</v>
      </c>
      <c r="R106" t="s">
        <v>275</v>
      </c>
      <c r="S106" t="s">
        <v>275</v>
      </c>
      <c r="T106" t="s">
        <v>1</v>
      </c>
      <c r="U106" t="s">
        <v>275</v>
      </c>
      <c r="V106" t="s">
        <v>275</v>
      </c>
      <c r="W106" t="s">
        <v>10</v>
      </c>
      <c r="X106" t="s">
        <v>275</v>
      </c>
      <c r="Y106" t="s">
        <v>275</v>
      </c>
      <c r="Z106" t="s">
        <v>275</v>
      </c>
      <c r="AA106" t="s">
        <v>275</v>
      </c>
      <c r="AB106" t="s">
        <v>275</v>
      </c>
      <c r="AC106" t="s">
        <v>275</v>
      </c>
      <c r="AD106" t="s">
        <v>1</v>
      </c>
    </row>
    <row r="107" spans="1:30">
      <c r="A107">
        <v>105</v>
      </c>
      <c r="B107" t="s">
        <v>366</v>
      </c>
      <c r="C107" t="s">
        <v>367</v>
      </c>
      <c r="D107" t="str">
        <f>IF(VLOOKUP(C107,'Capabilities Overview'!$A$2:$A$587,1)=C107,"","Not in UCL")</f>
        <v/>
      </c>
      <c r="E107" t="s">
        <v>1</v>
      </c>
      <c r="F107" t="s">
        <v>275</v>
      </c>
      <c r="G107" t="s">
        <v>275</v>
      </c>
      <c r="H107" t="s">
        <v>275</v>
      </c>
      <c r="I107" t="s">
        <v>275</v>
      </c>
      <c r="J107" t="s">
        <v>275</v>
      </c>
      <c r="K107" t="s">
        <v>275</v>
      </c>
      <c r="L107" t="s">
        <v>275</v>
      </c>
      <c r="M107" t="s">
        <v>275</v>
      </c>
      <c r="N107" t="s">
        <v>275</v>
      </c>
      <c r="O107" t="s">
        <v>275</v>
      </c>
      <c r="P107" t="s">
        <v>275</v>
      </c>
      <c r="Q107" t="s">
        <v>275</v>
      </c>
      <c r="R107" t="s">
        <v>275</v>
      </c>
      <c r="S107" t="s">
        <v>275</v>
      </c>
      <c r="T107" t="s">
        <v>275</v>
      </c>
      <c r="U107" t="s">
        <v>275</v>
      </c>
      <c r="V107" t="s">
        <v>275</v>
      </c>
      <c r="W107" t="s">
        <v>10</v>
      </c>
      <c r="X107" t="s">
        <v>275</v>
      </c>
      <c r="Y107" t="s">
        <v>275</v>
      </c>
      <c r="Z107" t="s">
        <v>275</v>
      </c>
      <c r="AA107" t="s">
        <v>275</v>
      </c>
      <c r="AB107" t="s">
        <v>275</v>
      </c>
      <c r="AC107" t="s">
        <v>275</v>
      </c>
      <c r="AD107" t="s">
        <v>275</v>
      </c>
    </row>
    <row r="108" spans="1:30">
      <c r="A108">
        <v>106</v>
      </c>
      <c r="B108" t="s">
        <v>368</v>
      </c>
      <c r="C108" t="s">
        <v>369</v>
      </c>
      <c r="D108" t="str">
        <f>IF(VLOOKUP(C108,'Capabilities Overview'!$A$2:$A$587,1)=C108,"","Not in UCL")</f>
        <v/>
      </c>
      <c r="E108" t="s">
        <v>1</v>
      </c>
      <c r="F108" t="s">
        <v>275</v>
      </c>
      <c r="G108" t="s">
        <v>275</v>
      </c>
      <c r="H108" t="s">
        <v>275</v>
      </c>
      <c r="I108" t="s">
        <v>1</v>
      </c>
      <c r="J108" t="s">
        <v>275</v>
      </c>
      <c r="K108" t="s">
        <v>275</v>
      </c>
      <c r="L108" t="s">
        <v>275</v>
      </c>
      <c r="M108" t="s">
        <v>275</v>
      </c>
      <c r="N108" t="s">
        <v>275</v>
      </c>
      <c r="O108" t="s">
        <v>275</v>
      </c>
      <c r="P108" t="s">
        <v>275</v>
      </c>
      <c r="Q108" t="s">
        <v>275</v>
      </c>
      <c r="R108" t="s">
        <v>275</v>
      </c>
      <c r="S108" t="s">
        <v>275</v>
      </c>
      <c r="T108" t="s">
        <v>275</v>
      </c>
      <c r="U108" t="s">
        <v>275</v>
      </c>
      <c r="V108" t="s">
        <v>275</v>
      </c>
      <c r="W108" t="s">
        <v>10</v>
      </c>
      <c r="X108" t="s">
        <v>275</v>
      </c>
      <c r="Y108" t="s">
        <v>275</v>
      </c>
      <c r="Z108" t="s">
        <v>275</v>
      </c>
      <c r="AA108" t="s">
        <v>275</v>
      </c>
      <c r="AB108" t="s">
        <v>275</v>
      </c>
      <c r="AC108" t="s">
        <v>275</v>
      </c>
      <c r="AD108" t="s">
        <v>275</v>
      </c>
    </row>
    <row r="109" spans="1:30">
      <c r="A109">
        <v>107</v>
      </c>
      <c r="B109" t="s">
        <v>122</v>
      </c>
      <c r="C109" t="s">
        <v>123</v>
      </c>
      <c r="D109" t="str">
        <f>IF(VLOOKUP(C109,'Capabilities Overview'!$A$2:$A$587,1)=C109,"","Not in UCL")</f>
        <v/>
      </c>
      <c r="E109" t="s">
        <v>275</v>
      </c>
      <c r="F109" t="s">
        <v>275</v>
      </c>
      <c r="G109" t="s">
        <v>275</v>
      </c>
      <c r="H109" t="s">
        <v>275</v>
      </c>
      <c r="I109" t="s">
        <v>41</v>
      </c>
      <c r="J109" t="s">
        <v>275</v>
      </c>
      <c r="K109" t="s">
        <v>275</v>
      </c>
      <c r="L109" t="s">
        <v>275</v>
      </c>
      <c r="M109" t="s">
        <v>275</v>
      </c>
      <c r="N109" t="s">
        <v>275</v>
      </c>
      <c r="O109" t="s">
        <v>275</v>
      </c>
      <c r="P109" t="s">
        <v>275</v>
      </c>
      <c r="Q109" t="s">
        <v>275</v>
      </c>
      <c r="R109" t="s">
        <v>275</v>
      </c>
      <c r="S109" t="s">
        <v>275</v>
      </c>
      <c r="T109" t="s">
        <v>1</v>
      </c>
      <c r="U109" t="s">
        <v>275</v>
      </c>
      <c r="V109" t="s">
        <v>275</v>
      </c>
      <c r="W109" t="s">
        <v>10</v>
      </c>
      <c r="X109" t="s">
        <v>275</v>
      </c>
      <c r="Y109" t="s">
        <v>275</v>
      </c>
      <c r="Z109" t="s">
        <v>275</v>
      </c>
      <c r="AA109" t="s">
        <v>275</v>
      </c>
      <c r="AB109" t="s">
        <v>275</v>
      </c>
      <c r="AC109" t="s">
        <v>275</v>
      </c>
      <c r="AD109" t="s">
        <v>1</v>
      </c>
    </row>
    <row r="110" spans="1:30">
      <c r="A110">
        <v>108</v>
      </c>
      <c r="B110" t="s">
        <v>370</v>
      </c>
      <c r="C110" t="s">
        <v>371</v>
      </c>
      <c r="D110" t="str">
        <f>IF(VLOOKUP(C110,'Capabilities Overview'!$A$2:$A$587,1)=C110,"","Not in UCL")</f>
        <v/>
      </c>
      <c r="E110" t="s">
        <v>1</v>
      </c>
      <c r="F110" t="s">
        <v>275</v>
      </c>
      <c r="G110" t="s">
        <v>275</v>
      </c>
      <c r="H110" t="s">
        <v>275</v>
      </c>
      <c r="I110" t="s">
        <v>41</v>
      </c>
      <c r="J110" t="s">
        <v>275</v>
      </c>
      <c r="K110" t="s">
        <v>275</v>
      </c>
      <c r="L110" t="s">
        <v>275</v>
      </c>
      <c r="M110" t="s">
        <v>275</v>
      </c>
      <c r="N110" t="s">
        <v>275</v>
      </c>
      <c r="O110" t="s">
        <v>275</v>
      </c>
      <c r="P110" t="s">
        <v>275</v>
      </c>
      <c r="Q110" t="s">
        <v>275</v>
      </c>
      <c r="R110" t="s">
        <v>275</v>
      </c>
      <c r="S110" t="s">
        <v>275</v>
      </c>
      <c r="T110" t="s">
        <v>275</v>
      </c>
      <c r="U110" t="s">
        <v>275</v>
      </c>
      <c r="V110" t="s">
        <v>275</v>
      </c>
      <c r="W110" t="s">
        <v>10</v>
      </c>
      <c r="X110" t="s">
        <v>275</v>
      </c>
      <c r="Y110" t="s">
        <v>275</v>
      </c>
      <c r="Z110" t="s">
        <v>275</v>
      </c>
      <c r="AA110" t="s">
        <v>275</v>
      </c>
      <c r="AB110" t="s">
        <v>275</v>
      </c>
      <c r="AC110" t="s">
        <v>275</v>
      </c>
      <c r="AD110" t="s">
        <v>275</v>
      </c>
    </row>
    <row r="111" spans="1:30">
      <c r="A111">
        <v>109</v>
      </c>
      <c r="B111" t="s">
        <v>372</v>
      </c>
      <c r="C111" t="s">
        <v>373</v>
      </c>
      <c r="D111" t="str">
        <f>IF(VLOOKUP(C111,'Capabilities Overview'!$A$2:$A$587,1)=C111,"","Not in UCL")</f>
        <v/>
      </c>
      <c r="E111" t="s">
        <v>1</v>
      </c>
      <c r="F111" t="s">
        <v>275</v>
      </c>
      <c r="G111" t="s">
        <v>275</v>
      </c>
      <c r="H111" t="s">
        <v>275</v>
      </c>
      <c r="I111" t="s">
        <v>1</v>
      </c>
      <c r="J111" t="s">
        <v>275</v>
      </c>
      <c r="K111" t="s">
        <v>275</v>
      </c>
      <c r="L111" t="s">
        <v>275</v>
      </c>
      <c r="M111" t="s">
        <v>1</v>
      </c>
      <c r="N111" t="s">
        <v>1</v>
      </c>
      <c r="O111" t="s">
        <v>1</v>
      </c>
      <c r="P111" t="s">
        <v>275</v>
      </c>
      <c r="Q111" t="s">
        <v>1</v>
      </c>
      <c r="R111" t="s">
        <v>275</v>
      </c>
      <c r="S111" t="s">
        <v>275</v>
      </c>
      <c r="T111" t="s">
        <v>275</v>
      </c>
      <c r="U111" t="s">
        <v>275</v>
      </c>
      <c r="V111" t="s">
        <v>275</v>
      </c>
      <c r="W111" t="s">
        <v>275</v>
      </c>
      <c r="X111" t="s">
        <v>275</v>
      </c>
      <c r="Y111" t="s">
        <v>275</v>
      </c>
      <c r="Z111" t="s">
        <v>275</v>
      </c>
      <c r="AA111" t="s">
        <v>275</v>
      </c>
      <c r="AB111" t="s">
        <v>275</v>
      </c>
      <c r="AC111" t="s">
        <v>275</v>
      </c>
      <c r="AD111" t="s">
        <v>275</v>
      </c>
    </row>
    <row r="112" spans="1:30">
      <c r="A112">
        <v>110</v>
      </c>
      <c r="B112" t="s">
        <v>374</v>
      </c>
      <c r="C112" t="s">
        <v>375</v>
      </c>
      <c r="D112" t="str">
        <f>IF(VLOOKUP(C112,'Capabilities Overview'!$A$2:$A$587,1)=C112,"","Not in UCL")</f>
        <v>Not in UCL</v>
      </c>
      <c r="E112" t="s">
        <v>275</v>
      </c>
      <c r="F112" t="s">
        <v>275</v>
      </c>
      <c r="G112" t="s">
        <v>275</v>
      </c>
      <c r="H112" t="s">
        <v>275</v>
      </c>
      <c r="I112" t="s">
        <v>275</v>
      </c>
      <c r="J112" t="s">
        <v>275</v>
      </c>
      <c r="K112" t="s">
        <v>275</v>
      </c>
      <c r="L112" t="s">
        <v>275</v>
      </c>
      <c r="M112" t="s">
        <v>275</v>
      </c>
      <c r="N112" t="s">
        <v>275</v>
      </c>
      <c r="O112" t="s">
        <v>275</v>
      </c>
      <c r="P112" t="s">
        <v>275</v>
      </c>
      <c r="Q112" t="s">
        <v>275</v>
      </c>
      <c r="R112" t="s">
        <v>275</v>
      </c>
      <c r="S112" t="s">
        <v>275</v>
      </c>
      <c r="T112" t="s">
        <v>275</v>
      </c>
      <c r="U112" t="s">
        <v>275</v>
      </c>
      <c r="V112" t="s">
        <v>275</v>
      </c>
      <c r="W112" t="s">
        <v>275</v>
      </c>
      <c r="X112" t="s">
        <v>275</v>
      </c>
      <c r="Y112" t="s">
        <v>275</v>
      </c>
      <c r="Z112" t="s">
        <v>275</v>
      </c>
      <c r="AA112" t="s">
        <v>275</v>
      </c>
      <c r="AB112" t="s">
        <v>275</v>
      </c>
      <c r="AC112" t="s">
        <v>275</v>
      </c>
      <c r="AD112" t="s">
        <v>275</v>
      </c>
    </row>
    <row r="113" spans="1:30">
      <c r="A113">
        <v>111</v>
      </c>
      <c r="B113" t="s">
        <v>376</v>
      </c>
      <c r="C113" t="s">
        <v>377</v>
      </c>
      <c r="D113" t="str">
        <f>IF(VLOOKUP(C113,'Capabilities Overview'!$A$2:$A$587,1)=C113,"","Not in UCL")</f>
        <v/>
      </c>
      <c r="E113" t="s">
        <v>1</v>
      </c>
      <c r="F113" t="s">
        <v>275</v>
      </c>
      <c r="G113" t="s">
        <v>275</v>
      </c>
      <c r="H113" t="s">
        <v>275</v>
      </c>
      <c r="I113" t="s">
        <v>275</v>
      </c>
      <c r="J113" t="s">
        <v>275</v>
      </c>
      <c r="K113" t="s">
        <v>275</v>
      </c>
      <c r="L113" t="s">
        <v>275</v>
      </c>
      <c r="M113" t="s">
        <v>275</v>
      </c>
      <c r="N113" t="s">
        <v>275</v>
      </c>
      <c r="O113" t="s">
        <v>275</v>
      </c>
      <c r="P113" t="s">
        <v>275</v>
      </c>
      <c r="Q113" t="s">
        <v>275</v>
      </c>
      <c r="R113" t="s">
        <v>275</v>
      </c>
      <c r="S113" t="s">
        <v>275</v>
      </c>
      <c r="T113" t="s">
        <v>275</v>
      </c>
      <c r="U113" t="s">
        <v>275</v>
      </c>
      <c r="V113" t="s">
        <v>275</v>
      </c>
      <c r="W113" t="s">
        <v>275</v>
      </c>
      <c r="X113" t="s">
        <v>275</v>
      </c>
      <c r="Y113" t="s">
        <v>275</v>
      </c>
      <c r="Z113" t="s">
        <v>275</v>
      </c>
      <c r="AA113" t="s">
        <v>275</v>
      </c>
      <c r="AB113" t="s">
        <v>275</v>
      </c>
      <c r="AC113" t="s">
        <v>275</v>
      </c>
      <c r="AD113" t="s">
        <v>275</v>
      </c>
    </row>
    <row r="114" spans="1:30">
      <c r="A114">
        <v>112</v>
      </c>
      <c r="B114" t="s">
        <v>378</v>
      </c>
      <c r="C114" t="s">
        <v>379</v>
      </c>
      <c r="D114" t="str">
        <f>IF(VLOOKUP(C114,'Capabilities Overview'!$A$2:$A$587,1)=C114,"","Not in UCL")</f>
        <v/>
      </c>
      <c r="E114" t="s">
        <v>1</v>
      </c>
      <c r="F114" t="s">
        <v>275</v>
      </c>
      <c r="G114" t="s">
        <v>275</v>
      </c>
      <c r="H114" t="s">
        <v>275</v>
      </c>
      <c r="I114" t="s">
        <v>1</v>
      </c>
      <c r="J114" t="s">
        <v>275</v>
      </c>
      <c r="K114" t="s">
        <v>275</v>
      </c>
      <c r="L114" t="s">
        <v>275</v>
      </c>
      <c r="M114" t="s">
        <v>275</v>
      </c>
      <c r="N114" t="s">
        <v>275</v>
      </c>
      <c r="O114" t="s">
        <v>275</v>
      </c>
      <c r="P114" t="s">
        <v>275</v>
      </c>
      <c r="Q114" t="s">
        <v>275</v>
      </c>
      <c r="R114" t="s">
        <v>275</v>
      </c>
      <c r="S114" t="s">
        <v>275</v>
      </c>
      <c r="T114" t="s">
        <v>275</v>
      </c>
      <c r="U114" t="s">
        <v>275</v>
      </c>
      <c r="V114" t="s">
        <v>275</v>
      </c>
      <c r="W114" t="s">
        <v>275</v>
      </c>
      <c r="X114" t="s">
        <v>275</v>
      </c>
      <c r="Y114" t="s">
        <v>275</v>
      </c>
      <c r="Z114" t="s">
        <v>275</v>
      </c>
      <c r="AA114" t="s">
        <v>275</v>
      </c>
      <c r="AB114" t="s">
        <v>275</v>
      </c>
      <c r="AC114" t="s">
        <v>275</v>
      </c>
      <c r="AD114" t="s">
        <v>275</v>
      </c>
    </row>
    <row r="115" spans="1:30">
      <c r="A115">
        <v>113</v>
      </c>
      <c r="B115" t="s">
        <v>380</v>
      </c>
      <c r="C115" t="s">
        <v>381</v>
      </c>
      <c r="D115" t="str">
        <f>IF(VLOOKUP(C115,'Capabilities Overview'!$A$2:$A$587,1)=C115,"","Not in UCL")</f>
        <v/>
      </c>
      <c r="E115" t="s">
        <v>1</v>
      </c>
      <c r="F115" t="s">
        <v>275</v>
      </c>
      <c r="G115" t="s">
        <v>275</v>
      </c>
      <c r="H115" t="s">
        <v>275</v>
      </c>
      <c r="I115" t="s">
        <v>275</v>
      </c>
      <c r="J115" t="s">
        <v>275</v>
      </c>
      <c r="K115" t="s">
        <v>275</v>
      </c>
      <c r="L115" t="s">
        <v>275</v>
      </c>
      <c r="M115" t="s">
        <v>275</v>
      </c>
      <c r="N115" t="s">
        <v>275</v>
      </c>
      <c r="O115" t="s">
        <v>275</v>
      </c>
      <c r="P115" t="s">
        <v>275</v>
      </c>
      <c r="Q115" t="s">
        <v>275</v>
      </c>
      <c r="R115" t="s">
        <v>275</v>
      </c>
      <c r="S115" t="s">
        <v>275</v>
      </c>
      <c r="T115" t="s">
        <v>275</v>
      </c>
      <c r="U115" t="s">
        <v>275</v>
      </c>
      <c r="V115" t="s">
        <v>275</v>
      </c>
      <c r="W115" t="s">
        <v>275</v>
      </c>
      <c r="X115" t="s">
        <v>275</v>
      </c>
      <c r="Y115" t="s">
        <v>275</v>
      </c>
      <c r="Z115" t="s">
        <v>275</v>
      </c>
      <c r="AA115" t="s">
        <v>275</v>
      </c>
      <c r="AB115" t="s">
        <v>275</v>
      </c>
      <c r="AC115" t="s">
        <v>275</v>
      </c>
      <c r="AD115" t="s">
        <v>275</v>
      </c>
    </row>
    <row r="116" spans="1:30">
      <c r="A116">
        <v>114</v>
      </c>
      <c r="B116" t="s">
        <v>382</v>
      </c>
      <c r="C116" t="s">
        <v>383</v>
      </c>
      <c r="D116" t="str">
        <f>IF(VLOOKUP(C116,'Capabilities Overview'!$A$2:$A$587,1)=C116,"","Not in UCL")</f>
        <v/>
      </c>
      <c r="E116" t="s">
        <v>1</v>
      </c>
      <c r="F116" t="s">
        <v>275</v>
      </c>
      <c r="G116" t="s">
        <v>275</v>
      </c>
      <c r="H116" t="s">
        <v>275</v>
      </c>
      <c r="I116" t="s">
        <v>41</v>
      </c>
      <c r="J116" t="s">
        <v>275</v>
      </c>
      <c r="K116" t="s">
        <v>275</v>
      </c>
      <c r="L116" t="s">
        <v>275</v>
      </c>
      <c r="M116" t="s">
        <v>275</v>
      </c>
      <c r="N116" t="s">
        <v>275</v>
      </c>
      <c r="O116" t="s">
        <v>275</v>
      </c>
      <c r="P116" t="s">
        <v>275</v>
      </c>
      <c r="Q116" t="s">
        <v>275</v>
      </c>
      <c r="R116" t="s">
        <v>275</v>
      </c>
      <c r="S116" t="s">
        <v>275</v>
      </c>
      <c r="T116" t="s">
        <v>275</v>
      </c>
      <c r="U116" t="s">
        <v>275</v>
      </c>
      <c r="V116" t="s">
        <v>275</v>
      </c>
      <c r="W116" t="s">
        <v>10</v>
      </c>
      <c r="X116" t="s">
        <v>275</v>
      </c>
      <c r="Y116" t="s">
        <v>275</v>
      </c>
      <c r="Z116" t="s">
        <v>275</v>
      </c>
      <c r="AA116" t="s">
        <v>275</v>
      </c>
      <c r="AB116" t="s">
        <v>275</v>
      </c>
      <c r="AC116" t="s">
        <v>275</v>
      </c>
      <c r="AD116" t="s">
        <v>275</v>
      </c>
    </row>
    <row r="117" spans="1:30">
      <c r="A117">
        <v>115</v>
      </c>
      <c r="B117" t="s">
        <v>384</v>
      </c>
      <c r="C117" t="s">
        <v>385</v>
      </c>
      <c r="D117" t="str">
        <f>IF(VLOOKUP(C117,'Capabilities Overview'!$A$2:$A$587,1)=C117,"","Not in UCL")</f>
        <v/>
      </c>
      <c r="E117" t="s">
        <v>1</v>
      </c>
      <c r="F117" t="s">
        <v>275</v>
      </c>
      <c r="G117" t="s">
        <v>275</v>
      </c>
      <c r="H117" t="s">
        <v>275</v>
      </c>
      <c r="I117" t="s">
        <v>41</v>
      </c>
      <c r="J117" t="s">
        <v>275</v>
      </c>
      <c r="K117" t="s">
        <v>275</v>
      </c>
      <c r="L117" t="s">
        <v>275</v>
      </c>
      <c r="M117" t="s">
        <v>275</v>
      </c>
      <c r="N117" t="s">
        <v>275</v>
      </c>
      <c r="O117" t="s">
        <v>275</v>
      </c>
      <c r="P117" t="s">
        <v>275</v>
      </c>
      <c r="Q117" t="s">
        <v>275</v>
      </c>
      <c r="R117" t="s">
        <v>275</v>
      </c>
      <c r="S117" t="s">
        <v>275</v>
      </c>
      <c r="T117" t="s">
        <v>275</v>
      </c>
      <c r="U117" t="s">
        <v>275</v>
      </c>
      <c r="V117" t="s">
        <v>275</v>
      </c>
      <c r="W117" t="s">
        <v>275</v>
      </c>
      <c r="X117" t="s">
        <v>275</v>
      </c>
      <c r="Y117" t="s">
        <v>275</v>
      </c>
      <c r="Z117" t="s">
        <v>275</v>
      </c>
      <c r="AA117" t="s">
        <v>275</v>
      </c>
      <c r="AB117" t="s">
        <v>275</v>
      </c>
      <c r="AC117" t="s">
        <v>275</v>
      </c>
      <c r="AD117" t="s">
        <v>275</v>
      </c>
    </row>
    <row r="118" spans="1:30">
      <c r="A118">
        <v>116</v>
      </c>
      <c r="B118" t="s">
        <v>386</v>
      </c>
      <c r="C118" t="s">
        <v>387</v>
      </c>
      <c r="D118" t="str">
        <f>IF(VLOOKUP(C118,'Capabilities Overview'!$A$2:$A$587,1)=C118,"","Not in UCL")</f>
        <v/>
      </c>
      <c r="E118" t="s">
        <v>1</v>
      </c>
      <c r="F118" t="s">
        <v>275</v>
      </c>
      <c r="G118" t="s">
        <v>275</v>
      </c>
      <c r="H118" t="s">
        <v>275</v>
      </c>
      <c r="I118" t="s">
        <v>41</v>
      </c>
      <c r="J118" t="s">
        <v>41</v>
      </c>
      <c r="K118" t="s">
        <v>41</v>
      </c>
      <c r="L118" t="s">
        <v>275</v>
      </c>
      <c r="M118" t="s">
        <v>275</v>
      </c>
      <c r="N118" t="s">
        <v>275</v>
      </c>
      <c r="O118" t="s">
        <v>275</v>
      </c>
      <c r="P118" t="s">
        <v>275</v>
      </c>
      <c r="Q118" t="s">
        <v>275</v>
      </c>
      <c r="R118" t="s">
        <v>275</v>
      </c>
      <c r="S118" t="s">
        <v>275</v>
      </c>
      <c r="T118" t="s">
        <v>275</v>
      </c>
      <c r="U118" t="s">
        <v>275</v>
      </c>
      <c r="V118" t="s">
        <v>275</v>
      </c>
      <c r="W118" t="s">
        <v>10</v>
      </c>
      <c r="X118" t="s">
        <v>275</v>
      </c>
      <c r="Y118" t="s">
        <v>275</v>
      </c>
      <c r="Z118" t="s">
        <v>275</v>
      </c>
      <c r="AA118" t="s">
        <v>275</v>
      </c>
      <c r="AB118" t="s">
        <v>275</v>
      </c>
      <c r="AC118" t="s">
        <v>275</v>
      </c>
      <c r="AD118" t="s">
        <v>275</v>
      </c>
    </row>
    <row r="119" spans="1:30">
      <c r="A119">
        <v>117</v>
      </c>
      <c r="B119" t="s">
        <v>124</v>
      </c>
      <c r="C119" t="s">
        <v>125</v>
      </c>
      <c r="D119" t="str">
        <f>IF(VLOOKUP(C119,'Capabilities Overview'!$A$2:$A$587,1)=C119,"","Not in UCL")</f>
        <v/>
      </c>
      <c r="E119" t="s">
        <v>275</v>
      </c>
      <c r="F119" t="s">
        <v>275</v>
      </c>
      <c r="G119" t="s">
        <v>275</v>
      </c>
      <c r="H119" t="s">
        <v>275</v>
      </c>
      <c r="I119" t="s">
        <v>275</v>
      </c>
      <c r="J119" t="s">
        <v>275</v>
      </c>
      <c r="K119" t="s">
        <v>275</v>
      </c>
      <c r="L119" t="s">
        <v>275</v>
      </c>
      <c r="M119" t="s">
        <v>275</v>
      </c>
      <c r="N119" t="s">
        <v>275</v>
      </c>
      <c r="O119" t="s">
        <v>275</v>
      </c>
      <c r="P119" t="s">
        <v>275</v>
      </c>
      <c r="Q119" t="s">
        <v>275</v>
      </c>
      <c r="R119" t="s">
        <v>275</v>
      </c>
      <c r="S119" t="s">
        <v>275</v>
      </c>
      <c r="T119" t="s">
        <v>1</v>
      </c>
      <c r="U119" t="s">
        <v>275</v>
      </c>
      <c r="V119" t="s">
        <v>275</v>
      </c>
      <c r="W119" t="s">
        <v>275</v>
      </c>
      <c r="X119" t="s">
        <v>275</v>
      </c>
      <c r="Y119" t="s">
        <v>275</v>
      </c>
      <c r="Z119" t="s">
        <v>275</v>
      </c>
      <c r="AA119" t="s">
        <v>275</v>
      </c>
      <c r="AB119" t="s">
        <v>275</v>
      </c>
      <c r="AC119" t="s">
        <v>275</v>
      </c>
      <c r="AD119" t="s">
        <v>10</v>
      </c>
    </row>
    <row r="120" spans="1:30">
      <c r="A120">
        <v>118</v>
      </c>
      <c r="B120" t="s">
        <v>388</v>
      </c>
      <c r="C120" t="s">
        <v>389</v>
      </c>
      <c r="D120" t="str">
        <f>IF(VLOOKUP(C120,'Capabilities Overview'!$A$2:$A$587,1)=C120,"","Not in UCL")</f>
        <v/>
      </c>
      <c r="E120" t="s">
        <v>275</v>
      </c>
      <c r="F120" t="s">
        <v>275</v>
      </c>
      <c r="G120" t="s">
        <v>275</v>
      </c>
      <c r="H120" t="s">
        <v>275</v>
      </c>
      <c r="I120" t="s">
        <v>275</v>
      </c>
      <c r="J120" t="s">
        <v>275</v>
      </c>
      <c r="K120" t="s">
        <v>275</v>
      </c>
      <c r="L120" t="s">
        <v>275</v>
      </c>
      <c r="M120" t="s">
        <v>275</v>
      </c>
      <c r="N120" t="s">
        <v>275</v>
      </c>
      <c r="O120" t="s">
        <v>275</v>
      </c>
      <c r="P120" t="s">
        <v>275</v>
      </c>
      <c r="Q120" t="s">
        <v>275</v>
      </c>
      <c r="R120" t="s">
        <v>275</v>
      </c>
      <c r="S120" t="s">
        <v>275</v>
      </c>
      <c r="T120" t="s">
        <v>1</v>
      </c>
      <c r="U120" t="s">
        <v>275</v>
      </c>
      <c r="V120" t="s">
        <v>275</v>
      </c>
      <c r="W120" t="s">
        <v>275</v>
      </c>
      <c r="X120" t="s">
        <v>275</v>
      </c>
      <c r="Y120" t="s">
        <v>275</v>
      </c>
      <c r="Z120" t="s">
        <v>275</v>
      </c>
      <c r="AA120" t="s">
        <v>275</v>
      </c>
      <c r="AB120" t="s">
        <v>275</v>
      </c>
      <c r="AC120" t="s">
        <v>275</v>
      </c>
      <c r="AD120" t="s">
        <v>275</v>
      </c>
    </row>
    <row r="121" spans="1:30">
      <c r="A121">
        <v>119</v>
      </c>
      <c r="B121" t="s">
        <v>390</v>
      </c>
      <c r="C121" t="s">
        <v>391</v>
      </c>
      <c r="D121" t="str">
        <f>IF(VLOOKUP(C121,'Capabilities Overview'!$A$2:$A$587,1)=C121,"","Not in UCL")</f>
        <v/>
      </c>
      <c r="E121" t="s">
        <v>1</v>
      </c>
      <c r="F121" t="s">
        <v>1</v>
      </c>
      <c r="G121" t="s">
        <v>275</v>
      </c>
      <c r="H121" t="s">
        <v>275</v>
      </c>
      <c r="I121" t="s">
        <v>1</v>
      </c>
      <c r="J121" t="s">
        <v>275</v>
      </c>
      <c r="K121" t="s">
        <v>275</v>
      </c>
      <c r="L121" t="s">
        <v>275</v>
      </c>
      <c r="M121" t="s">
        <v>275</v>
      </c>
      <c r="N121" t="s">
        <v>275</v>
      </c>
      <c r="O121" t="s">
        <v>275</v>
      </c>
      <c r="P121" t="s">
        <v>275</v>
      </c>
      <c r="Q121" t="s">
        <v>275</v>
      </c>
      <c r="R121" t="s">
        <v>275</v>
      </c>
      <c r="S121" t="s">
        <v>275</v>
      </c>
      <c r="T121" t="s">
        <v>275</v>
      </c>
      <c r="U121" t="s">
        <v>275</v>
      </c>
      <c r="V121" t="s">
        <v>275</v>
      </c>
      <c r="W121" t="s">
        <v>10</v>
      </c>
      <c r="X121" t="s">
        <v>275</v>
      </c>
      <c r="Y121" t="s">
        <v>275</v>
      </c>
      <c r="Z121" t="s">
        <v>275</v>
      </c>
      <c r="AA121" t="s">
        <v>275</v>
      </c>
      <c r="AB121" t="s">
        <v>275</v>
      </c>
      <c r="AC121" t="s">
        <v>275</v>
      </c>
      <c r="AD121" t="s">
        <v>275</v>
      </c>
    </row>
    <row r="122" spans="1:30">
      <c r="A122">
        <v>120</v>
      </c>
      <c r="B122" t="s">
        <v>392</v>
      </c>
      <c r="C122" t="s">
        <v>393</v>
      </c>
      <c r="D122" t="str">
        <f>IF(VLOOKUP(C122,'Capabilities Overview'!$A$2:$A$587,1)=C122,"","Not in UCL")</f>
        <v/>
      </c>
      <c r="E122" t="s">
        <v>1</v>
      </c>
      <c r="F122" t="s">
        <v>1</v>
      </c>
      <c r="G122" t="s">
        <v>275</v>
      </c>
      <c r="H122" t="s">
        <v>275</v>
      </c>
      <c r="I122" t="s">
        <v>1</v>
      </c>
      <c r="J122" t="s">
        <v>275</v>
      </c>
      <c r="K122" t="s">
        <v>275</v>
      </c>
      <c r="L122" t="s">
        <v>275</v>
      </c>
      <c r="M122" t="s">
        <v>275</v>
      </c>
      <c r="N122" t="s">
        <v>275</v>
      </c>
      <c r="O122" t="s">
        <v>275</v>
      </c>
      <c r="P122" t="s">
        <v>275</v>
      </c>
      <c r="Q122" t="s">
        <v>275</v>
      </c>
      <c r="R122" t="s">
        <v>275</v>
      </c>
      <c r="S122" t="s">
        <v>275</v>
      </c>
      <c r="T122" t="s">
        <v>275</v>
      </c>
      <c r="U122" t="s">
        <v>275</v>
      </c>
      <c r="V122" t="s">
        <v>275</v>
      </c>
      <c r="W122" t="s">
        <v>10</v>
      </c>
      <c r="X122" t="s">
        <v>275</v>
      </c>
      <c r="Y122" t="s">
        <v>275</v>
      </c>
      <c r="Z122" t="s">
        <v>275</v>
      </c>
      <c r="AA122" t="s">
        <v>275</v>
      </c>
      <c r="AB122" t="s">
        <v>275</v>
      </c>
      <c r="AC122" t="s">
        <v>275</v>
      </c>
      <c r="AD122" t="s">
        <v>275</v>
      </c>
    </row>
    <row r="123" spans="1:30">
      <c r="A123">
        <v>121</v>
      </c>
      <c r="B123" t="s">
        <v>394</v>
      </c>
      <c r="C123" t="s">
        <v>395</v>
      </c>
      <c r="D123" t="str">
        <f>IF(VLOOKUP(C123,'Capabilities Overview'!$A$2:$A$587,1)=C123,"","Not in UCL")</f>
        <v/>
      </c>
      <c r="E123" t="s">
        <v>1</v>
      </c>
      <c r="F123" t="s">
        <v>275</v>
      </c>
      <c r="G123" t="s">
        <v>275</v>
      </c>
      <c r="H123" t="s">
        <v>275</v>
      </c>
      <c r="I123" t="s">
        <v>275</v>
      </c>
      <c r="J123" t="s">
        <v>275</v>
      </c>
      <c r="K123" t="s">
        <v>275</v>
      </c>
      <c r="L123" t="s">
        <v>275</v>
      </c>
      <c r="M123" t="s">
        <v>275</v>
      </c>
      <c r="N123" t="s">
        <v>275</v>
      </c>
      <c r="O123" t="s">
        <v>275</v>
      </c>
      <c r="P123" t="s">
        <v>275</v>
      </c>
      <c r="Q123" t="s">
        <v>275</v>
      </c>
      <c r="R123" t="s">
        <v>275</v>
      </c>
      <c r="S123" t="s">
        <v>275</v>
      </c>
      <c r="T123" t="s">
        <v>275</v>
      </c>
      <c r="U123" t="s">
        <v>275</v>
      </c>
      <c r="V123" t="s">
        <v>275</v>
      </c>
      <c r="W123" t="s">
        <v>10</v>
      </c>
      <c r="X123" t="s">
        <v>275</v>
      </c>
      <c r="Y123" t="s">
        <v>275</v>
      </c>
      <c r="Z123" t="s">
        <v>275</v>
      </c>
      <c r="AA123" t="s">
        <v>275</v>
      </c>
      <c r="AB123" t="s">
        <v>275</v>
      </c>
      <c r="AC123" t="s">
        <v>275</v>
      </c>
      <c r="AD123" t="s">
        <v>275</v>
      </c>
    </row>
    <row r="124" spans="1:30">
      <c r="A124">
        <v>122</v>
      </c>
      <c r="B124" t="s">
        <v>396</v>
      </c>
      <c r="C124" t="s">
        <v>397</v>
      </c>
      <c r="D124" t="str">
        <f>IF(VLOOKUP(C124,'Capabilities Overview'!$A$2:$A$587,1)=C124,"","Not in UCL")</f>
        <v/>
      </c>
      <c r="E124" t="s">
        <v>1</v>
      </c>
      <c r="F124" t="s">
        <v>1</v>
      </c>
      <c r="G124" t="s">
        <v>275</v>
      </c>
      <c r="H124" t="s">
        <v>275</v>
      </c>
      <c r="I124" t="s">
        <v>275</v>
      </c>
      <c r="J124" t="s">
        <v>275</v>
      </c>
      <c r="K124" t="s">
        <v>275</v>
      </c>
      <c r="L124" t="s">
        <v>275</v>
      </c>
      <c r="M124" t="s">
        <v>1</v>
      </c>
      <c r="N124" t="s">
        <v>1</v>
      </c>
      <c r="O124" t="s">
        <v>1</v>
      </c>
      <c r="P124" t="s">
        <v>275</v>
      </c>
      <c r="Q124" t="s">
        <v>1</v>
      </c>
      <c r="R124" t="s">
        <v>1</v>
      </c>
      <c r="S124" t="s">
        <v>275</v>
      </c>
      <c r="T124" t="s">
        <v>275</v>
      </c>
      <c r="U124" t="s">
        <v>275</v>
      </c>
      <c r="V124" t="s">
        <v>275</v>
      </c>
      <c r="W124" t="s">
        <v>10</v>
      </c>
      <c r="X124" t="s">
        <v>275</v>
      </c>
      <c r="Y124" t="s">
        <v>275</v>
      </c>
      <c r="Z124" t="s">
        <v>275</v>
      </c>
      <c r="AA124" t="s">
        <v>275</v>
      </c>
      <c r="AB124" t="s">
        <v>275</v>
      </c>
      <c r="AC124" t="s">
        <v>275</v>
      </c>
      <c r="AD124" t="s">
        <v>275</v>
      </c>
    </row>
    <row r="125" spans="1:30">
      <c r="A125">
        <v>123</v>
      </c>
      <c r="B125" t="s">
        <v>398</v>
      </c>
      <c r="C125" t="s">
        <v>399</v>
      </c>
      <c r="D125" t="str">
        <f>IF(VLOOKUP(C125,'Capabilities Overview'!$A$2:$A$587,1)=C125,"","Not in UCL")</f>
        <v/>
      </c>
      <c r="E125" t="s">
        <v>1</v>
      </c>
      <c r="F125" t="s">
        <v>1</v>
      </c>
      <c r="G125" t="s">
        <v>275</v>
      </c>
      <c r="H125" t="s">
        <v>275</v>
      </c>
      <c r="I125" t="s">
        <v>275</v>
      </c>
      <c r="J125" t="s">
        <v>275</v>
      </c>
      <c r="K125" t="s">
        <v>275</v>
      </c>
      <c r="L125" t="s">
        <v>275</v>
      </c>
      <c r="M125" t="s">
        <v>1</v>
      </c>
      <c r="N125" t="s">
        <v>1</v>
      </c>
      <c r="O125" t="s">
        <v>1</v>
      </c>
      <c r="P125" t="s">
        <v>275</v>
      </c>
      <c r="Q125" t="s">
        <v>1</v>
      </c>
      <c r="R125" t="s">
        <v>1</v>
      </c>
      <c r="S125" t="s">
        <v>275</v>
      </c>
      <c r="T125" t="s">
        <v>275</v>
      </c>
      <c r="U125" t="s">
        <v>275</v>
      </c>
      <c r="V125" t="s">
        <v>275</v>
      </c>
      <c r="W125" t="s">
        <v>10</v>
      </c>
      <c r="X125" t="s">
        <v>275</v>
      </c>
      <c r="Y125" t="s">
        <v>275</v>
      </c>
      <c r="Z125" t="s">
        <v>275</v>
      </c>
      <c r="AA125" t="s">
        <v>275</v>
      </c>
      <c r="AB125" t="s">
        <v>275</v>
      </c>
      <c r="AC125" t="s">
        <v>275</v>
      </c>
      <c r="AD125" t="s">
        <v>275</v>
      </c>
    </row>
    <row r="126" spans="1:30">
      <c r="A126">
        <v>124</v>
      </c>
      <c r="B126" t="s">
        <v>400</v>
      </c>
      <c r="C126" t="s">
        <v>401</v>
      </c>
      <c r="D126" t="str">
        <f>IF(VLOOKUP(C126,'Capabilities Overview'!$A$2:$A$587,1)=C126,"","Not in UCL")</f>
        <v/>
      </c>
      <c r="E126" t="s">
        <v>1</v>
      </c>
      <c r="F126" t="s">
        <v>1</v>
      </c>
      <c r="G126" t="s">
        <v>275</v>
      </c>
      <c r="H126" t="s">
        <v>275</v>
      </c>
      <c r="I126" t="s">
        <v>1</v>
      </c>
      <c r="J126" t="s">
        <v>275</v>
      </c>
      <c r="K126" t="s">
        <v>275</v>
      </c>
      <c r="L126" t="s">
        <v>275</v>
      </c>
      <c r="M126" t="s">
        <v>275</v>
      </c>
      <c r="N126" t="s">
        <v>275</v>
      </c>
      <c r="O126" t="s">
        <v>275</v>
      </c>
      <c r="P126" t="s">
        <v>275</v>
      </c>
      <c r="Q126" t="s">
        <v>275</v>
      </c>
      <c r="R126" t="s">
        <v>275</v>
      </c>
      <c r="S126" t="s">
        <v>275</v>
      </c>
      <c r="T126" t="s">
        <v>275</v>
      </c>
      <c r="U126" t="s">
        <v>275</v>
      </c>
      <c r="V126" t="s">
        <v>275</v>
      </c>
      <c r="W126" t="s">
        <v>10</v>
      </c>
      <c r="X126" t="s">
        <v>275</v>
      </c>
      <c r="Y126" t="s">
        <v>275</v>
      </c>
      <c r="Z126" t="s">
        <v>275</v>
      </c>
      <c r="AA126" t="s">
        <v>275</v>
      </c>
      <c r="AB126" t="s">
        <v>275</v>
      </c>
      <c r="AC126" t="s">
        <v>275</v>
      </c>
      <c r="AD126" t="s">
        <v>275</v>
      </c>
    </row>
    <row r="127" spans="1:30">
      <c r="A127">
        <v>125</v>
      </c>
      <c r="B127" t="s">
        <v>402</v>
      </c>
      <c r="C127" t="s">
        <v>403</v>
      </c>
      <c r="D127" t="str">
        <f>IF(VLOOKUP(C127,'Capabilities Overview'!$A$2:$A$587,1)=C127,"","Not in UCL")</f>
        <v/>
      </c>
      <c r="E127" t="s">
        <v>1</v>
      </c>
      <c r="F127" t="s">
        <v>1</v>
      </c>
      <c r="G127" t="s">
        <v>275</v>
      </c>
      <c r="H127" t="s">
        <v>275</v>
      </c>
      <c r="I127" t="s">
        <v>1</v>
      </c>
      <c r="J127" t="s">
        <v>275</v>
      </c>
      <c r="K127" t="s">
        <v>275</v>
      </c>
      <c r="L127" t="s">
        <v>275</v>
      </c>
      <c r="M127" t="s">
        <v>275</v>
      </c>
      <c r="N127" t="s">
        <v>275</v>
      </c>
      <c r="O127" t="s">
        <v>275</v>
      </c>
      <c r="P127" t="s">
        <v>275</v>
      </c>
      <c r="Q127" t="s">
        <v>275</v>
      </c>
      <c r="R127" t="s">
        <v>275</v>
      </c>
      <c r="S127" t="s">
        <v>275</v>
      </c>
      <c r="T127" t="s">
        <v>275</v>
      </c>
      <c r="U127" t="s">
        <v>275</v>
      </c>
      <c r="V127" t="s">
        <v>275</v>
      </c>
      <c r="W127" t="s">
        <v>10</v>
      </c>
      <c r="X127" t="s">
        <v>275</v>
      </c>
      <c r="Y127" t="s">
        <v>275</v>
      </c>
      <c r="Z127" t="s">
        <v>275</v>
      </c>
      <c r="AA127" t="s">
        <v>275</v>
      </c>
      <c r="AB127" t="s">
        <v>275</v>
      </c>
      <c r="AC127" t="s">
        <v>275</v>
      </c>
      <c r="AD127" t="s">
        <v>275</v>
      </c>
    </row>
    <row r="128" spans="1:30">
      <c r="A128">
        <v>126</v>
      </c>
      <c r="B128" t="s">
        <v>404</v>
      </c>
      <c r="C128" t="s">
        <v>405</v>
      </c>
      <c r="D128" t="str">
        <f>IF(VLOOKUP(C128,'Capabilities Overview'!$A$2:$A$587,1)=C128,"","Not in UCL")</f>
        <v/>
      </c>
      <c r="E128" t="s">
        <v>1</v>
      </c>
      <c r="F128" t="s">
        <v>1</v>
      </c>
      <c r="G128" t="s">
        <v>275</v>
      </c>
      <c r="H128" t="s">
        <v>275</v>
      </c>
      <c r="I128" t="s">
        <v>275</v>
      </c>
      <c r="J128" t="s">
        <v>275</v>
      </c>
      <c r="K128" t="s">
        <v>275</v>
      </c>
      <c r="L128" t="s">
        <v>275</v>
      </c>
      <c r="M128" t="s">
        <v>41</v>
      </c>
      <c r="N128" t="s">
        <v>41</v>
      </c>
      <c r="O128" t="s">
        <v>41</v>
      </c>
      <c r="P128" t="s">
        <v>275</v>
      </c>
      <c r="Q128" t="s">
        <v>41</v>
      </c>
      <c r="R128" t="s">
        <v>275</v>
      </c>
      <c r="S128" t="s">
        <v>275</v>
      </c>
      <c r="T128" t="s">
        <v>275</v>
      </c>
      <c r="U128" t="s">
        <v>275</v>
      </c>
      <c r="V128" t="s">
        <v>275</v>
      </c>
      <c r="W128" t="s">
        <v>10</v>
      </c>
      <c r="X128" t="s">
        <v>275</v>
      </c>
      <c r="Y128" t="s">
        <v>275</v>
      </c>
      <c r="Z128" t="s">
        <v>275</v>
      </c>
      <c r="AA128" t="s">
        <v>275</v>
      </c>
      <c r="AB128" t="s">
        <v>275</v>
      </c>
      <c r="AC128" t="s">
        <v>275</v>
      </c>
      <c r="AD128" t="s">
        <v>275</v>
      </c>
    </row>
    <row r="129" spans="1:30">
      <c r="A129">
        <v>127</v>
      </c>
      <c r="B129" t="s">
        <v>406</v>
      </c>
      <c r="C129" t="s">
        <v>407</v>
      </c>
      <c r="D129" t="str">
        <f>IF(VLOOKUP(C129,'Capabilities Overview'!$A$2:$A$587,1)=C129,"","Not in UCL")</f>
        <v/>
      </c>
      <c r="E129" t="s">
        <v>1</v>
      </c>
      <c r="F129" t="s">
        <v>1</v>
      </c>
      <c r="G129" t="s">
        <v>1</v>
      </c>
      <c r="H129" t="s">
        <v>275</v>
      </c>
      <c r="I129" t="s">
        <v>1</v>
      </c>
      <c r="J129" t="s">
        <v>1</v>
      </c>
      <c r="K129" t="s">
        <v>1</v>
      </c>
      <c r="L129" t="s">
        <v>275</v>
      </c>
      <c r="M129" t="s">
        <v>275</v>
      </c>
      <c r="N129" t="s">
        <v>275</v>
      </c>
      <c r="O129" t="s">
        <v>275</v>
      </c>
      <c r="P129" t="s">
        <v>275</v>
      </c>
      <c r="Q129" t="s">
        <v>275</v>
      </c>
      <c r="R129" t="s">
        <v>275</v>
      </c>
      <c r="S129" t="s">
        <v>275</v>
      </c>
      <c r="T129" t="s">
        <v>275</v>
      </c>
      <c r="U129" t="s">
        <v>275</v>
      </c>
      <c r="V129" t="s">
        <v>275</v>
      </c>
      <c r="W129" t="s">
        <v>10</v>
      </c>
      <c r="X129" t="s">
        <v>275</v>
      </c>
      <c r="Y129" t="s">
        <v>275</v>
      </c>
      <c r="Z129" t="s">
        <v>275</v>
      </c>
      <c r="AA129" t="s">
        <v>275</v>
      </c>
      <c r="AB129" t="s">
        <v>275</v>
      </c>
      <c r="AC129" t="s">
        <v>275</v>
      </c>
      <c r="AD129" t="s">
        <v>275</v>
      </c>
    </row>
    <row r="130" spans="1:30">
      <c r="A130">
        <v>128</v>
      </c>
      <c r="B130" t="s">
        <v>408</v>
      </c>
      <c r="C130" t="s">
        <v>409</v>
      </c>
      <c r="D130" t="str">
        <f>IF(VLOOKUP(C130,'Capabilities Overview'!$A$2:$A$587,1)=C130,"","Not in UCL")</f>
        <v/>
      </c>
      <c r="E130" t="s">
        <v>1</v>
      </c>
      <c r="F130" t="s">
        <v>1</v>
      </c>
      <c r="G130" t="s">
        <v>275</v>
      </c>
      <c r="H130" t="s">
        <v>275</v>
      </c>
      <c r="I130" t="s">
        <v>275</v>
      </c>
      <c r="J130" t="s">
        <v>1</v>
      </c>
      <c r="K130" t="s">
        <v>1</v>
      </c>
      <c r="L130" t="s">
        <v>275</v>
      </c>
      <c r="M130" t="s">
        <v>41</v>
      </c>
      <c r="N130" t="s">
        <v>275</v>
      </c>
      <c r="O130" t="s">
        <v>41</v>
      </c>
      <c r="P130" t="s">
        <v>275</v>
      </c>
      <c r="Q130" t="s">
        <v>41</v>
      </c>
      <c r="R130" t="s">
        <v>275</v>
      </c>
      <c r="S130" t="s">
        <v>275</v>
      </c>
      <c r="T130" t="s">
        <v>275</v>
      </c>
      <c r="U130" t="s">
        <v>275</v>
      </c>
      <c r="V130" t="s">
        <v>275</v>
      </c>
      <c r="W130" t="s">
        <v>10</v>
      </c>
      <c r="X130" t="s">
        <v>275</v>
      </c>
      <c r="Y130" t="s">
        <v>275</v>
      </c>
      <c r="Z130" t="s">
        <v>275</v>
      </c>
      <c r="AA130" t="s">
        <v>275</v>
      </c>
      <c r="AB130" t="s">
        <v>275</v>
      </c>
      <c r="AC130" t="s">
        <v>275</v>
      </c>
      <c r="AD130" t="s">
        <v>275</v>
      </c>
    </row>
    <row r="131" spans="1:30">
      <c r="A131">
        <v>129</v>
      </c>
      <c r="B131" t="s">
        <v>410</v>
      </c>
      <c r="C131" t="s">
        <v>411</v>
      </c>
      <c r="D131" t="str">
        <f>IF(VLOOKUP(C131,'Capabilities Overview'!$A$2:$A$587,1)=C131,"","Not in UCL")</f>
        <v/>
      </c>
      <c r="E131" t="s">
        <v>1</v>
      </c>
      <c r="F131" t="s">
        <v>275</v>
      </c>
      <c r="G131" t="s">
        <v>275</v>
      </c>
      <c r="H131" t="s">
        <v>275</v>
      </c>
      <c r="I131" t="s">
        <v>275</v>
      </c>
      <c r="J131" t="s">
        <v>275</v>
      </c>
      <c r="K131" t="s">
        <v>275</v>
      </c>
      <c r="L131" t="s">
        <v>275</v>
      </c>
      <c r="M131" t="s">
        <v>41</v>
      </c>
      <c r="N131" t="s">
        <v>275</v>
      </c>
      <c r="O131" t="s">
        <v>41</v>
      </c>
      <c r="P131" t="s">
        <v>275</v>
      </c>
      <c r="Q131" t="s">
        <v>41</v>
      </c>
      <c r="R131" t="s">
        <v>275</v>
      </c>
      <c r="S131" t="s">
        <v>275</v>
      </c>
      <c r="T131" t="s">
        <v>275</v>
      </c>
      <c r="U131" t="s">
        <v>275</v>
      </c>
      <c r="V131" t="s">
        <v>275</v>
      </c>
      <c r="W131" t="s">
        <v>10</v>
      </c>
      <c r="X131" t="s">
        <v>275</v>
      </c>
      <c r="Y131" t="s">
        <v>275</v>
      </c>
      <c r="Z131" t="s">
        <v>275</v>
      </c>
      <c r="AA131" t="s">
        <v>275</v>
      </c>
      <c r="AB131" t="s">
        <v>275</v>
      </c>
      <c r="AC131" t="s">
        <v>275</v>
      </c>
      <c r="AD131" t="s">
        <v>275</v>
      </c>
    </row>
    <row r="132" spans="1:30">
      <c r="A132">
        <v>130</v>
      </c>
      <c r="B132" t="s">
        <v>412</v>
      </c>
      <c r="C132" t="s">
        <v>413</v>
      </c>
      <c r="D132" t="str">
        <f>IF(VLOOKUP(C132,'Capabilities Overview'!$A$2:$A$587,1)=C132,"","Not in UCL")</f>
        <v/>
      </c>
      <c r="E132" t="s">
        <v>1</v>
      </c>
      <c r="F132" t="s">
        <v>1</v>
      </c>
      <c r="G132" t="s">
        <v>1</v>
      </c>
      <c r="H132" t="s">
        <v>275</v>
      </c>
      <c r="I132" t="s">
        <v>1</v>
      </c>
      <c r="J132" t="s">
        <v>275</v>
      </c>
      <c r="K132" t="s">
        <v>275</v>
      </c>
      <c r="L132" t="s">
        <v>275</v>
      </c>
      <c r="M132" t="s">
        <v>41</v>
      </c>
      <c r="N132" t="s">
        <v>41</v>
      </c>
      <c r="O132" t="s">
        <v>41</v>
      </c>
      <c r="P132" t="s">
        <v>275</v>
      </c>
      <c r="Q132" t="s">
        <v>41</v>
      </c>
      <c r="R132" t="s">
        <v>275</v>
      </c>
      <c r="S132" t="s">
        <v>275</v>
      </c>
      <c r="T132" t="s">
        <v>275</v>
      </c>
      <c r="U132" t="s">
        <v>275</v>
      </c>
      <c r="V132" t="s">
        <v>275</v>
      </c>
      <c r="W132" t="s">
        <v>10</v>
      </c>
      <c r="X132" t="s">
        <v>275</v>
      </c>
      <c r="Y132" t="s">
        <v>275</v>
      </c>
      <c r="Z132" t="s">
        <v>275</v>
      </c>
      <c r="AA132" t="s">
        <v>275</v>
      </c>
      <c r="AB132" t="s">
        <v>275</v>
      </c>
      <c r="AC132" t="s">
        <v>275</v>
      </c>
      <c r="AD132" t="s">
        <v>275</v>
      </c>
    </row>
    <row r="133" spans="1:30">
      <c r="A133">
        <v>131</v>
      </c>
      <c r="B133" t="s">
        <v>414</v>
      </c>
      <c r="C133" t="s">
        <v>415</v>
      </c>
      <c r="D133" t="e">
        <f>IF(VLOOKUP(C133,'Capabilities Overview'!$A$2:$A$587,1)=C133,"","Not in UCL")</f>
        <v>#N/A</v>
      </c>
      <c r="E133" t="s">
        <v>1</v>
      </c>
      <c r="F133" t="s">
        <v>1</v>
      </c>
      <c r="G133" t="s">
        <v>275</v>
      </c>
      <c r="H133" t="s">
        <v>275</v>
      </c>
      <c r="I133" t="s">
        <v>275</v>
      </c>
      <c r="J133" t="s">
        <v>275</v>
      </c>
      <c r="K133" t="s">
        <v>275</v>
      </c>
      <c r="L133" t="s">
        <v>275</v>
      </c>
      <c r="M133" t="s">
        <v>1</v>
      </c>
      <c r="N133" t="s">
        <v>1</v>
      </c>
      <c r="O133" t="s">
        <v>1</v>
      </c>
      <c r="P133" t="s">
        <v>275</v>
      </c>
      <c r="Q133" t="s">
        <v>275</v>
      </c>
      <c r="R133" t="s">
        <v>275</v>
      </c>
      <c r="S133" t="s">
        <v>275</v>
      </c>
      <c r="T133" t="s">
        <v>275</v>
      </c>
      <c r="U133" t="s">
        <v>275</v>
      </c>
      <c r="V133" t="s">
        <v>275</v>
      </c>
      <c r="W133" t="s">
        <v>10</v>
      </c>
      <c r="X133" t="s">
        <v>275</v>
      </c>
      <c r="Y133" t="s">
        <v>275</v>
      </c>
      <c r="Z133" t="s">
        <v>275</v>
      </c>
      <c r="AA133" t="s">
        <v>275</v>
      </c>
      <c r="AB133" t="s">
        <v>275</v>
      </c>
      <c r="AC133" t="s">
        <v>275</v>
      </c>
      <c r="AD133" t="s">
        <v>275</v>
      </c>
    </row>
    <row r="134" spans="1:30">
      <c r="A134">
        <v>132</v>
      </c>
      <c r="B134" t="s">
        <v>416</v>
      </c>
      <c r="C134" t="s">
        <v>417</v>
      </c>
      <c r="D134" t="str">
        <f>IF(VLOOKUP(C134,'Capabilities Overview'!$A$2:$A$587,1)=C134,"","Not in UCL")</f>
        <v>Not in UCL</v>
      </c>
      <c r="E134" t="s">
        <v>1</v>
      </c>
      <c r="F134" t="s">
        <v>1</v>
      </c>
      <c r="G134" t="s">
        <v>275</v>
      </c>
      <c r="H134" t="s">
        <v>275</v>
      </c>
      <c r="I134" t="s">
        <v>1</v>
      </c>
      <c r="J134" t="s">
        <v>1</v>
      </c>
      <c r="K134" t="s">
        <v>1</v>
      </c>
      <c r="L134" t="s">
        <v>275</v>
      </c>
      <c r="M134" t="s">
        <v>1</v>
      </c>
      <c r="N134" t="s">
        <v>1</v>
      </c>
      <c r="O134" t="s">
        <v>1</v>
      </c>
      <c r="P134" t="s">
        <v>275</v>
      </c>
      <c r="Q134" t="s">
        <v>275</v>
      </c>
      <c r="R134" t="s">
        <v>275</v>
      </c>
      <c r="S134" t="s">
        <v>275</v>
      </c>
      <c r="T134" t="s">
        <v>275</v>
      </c>
      <c r="U134" t="s">
        <v>275</v>
      </c>
      <c r="V134" t="s">
        <v>275</v>
      </c>
      <c r="W134" t="s">
        <v>10</v>
      </c>
      <c r="X134" t="s">
        <v>275</v>
      </c>
      <c r="Y134" t="s">
        <v>275</v>
      </c>
      <c r="Z134" t="s">
        <v>275</v>
      </c>
      <c r="AA134" t="s">
        <v>275</v>
      </c>
      <c r="AB134" t="s">
        <v>275</v>
      </c>
      <c r="AC134" t="s">
        <v>275</v>
      </c>
      <c r="AD134" t="s">
        <v>275</v>
      </c>
    </row>
    <row r="135" spans="1:30">
      <c r="A135">
        <v>133</v>
      </c>
      <c r="B135" t="s">
        <v>418</v>
      </c>
      <c r="C135" t="s">
        <v>419</v>
      </c>
      <c r="D135" t="str">
        <f>IF(VLOOKUP(C135,'Capabilities Overview'!$A$2:$A$587,1)=C135,"","Not in UCL")</f>
        <v>Not in UCL</v>
      </c>
      <c r="E135" t="s">
        <v>1</v>
      </c>
      <c r="F135" t="s">
        <v>1</v>
      </c>
      <c r="G135" t="s">
        <v>275</v>
      </c>
      <c r="H135" t="s">
        <v>275</v>
      </c>
      <c r="I135" t="s">
        <v>275</v>
      </c>
      <c r="J135" t="s">
        <v>275</v>
      </c>
      <c r="K135" t="s">
        <v>275</v>
      </c>
      <c r="L135" t="s">
        <v>275</v>
      </c>
      <c r="M135" t="s">
        <v>1</v>
      </c>
      <c r="N135" t="s">
        <v>1</v>
      </c>
      <c r="O135" t="s">
        <v>1</v>
      </c>
      <c r="P135" t="s">
        <v>275</v>
      </c>
      <c r="Q135" t="s">
        <v>275</v>
      </c>
      <c r="R135" t="s">
        <v>275</v>
      </c>
      <c r="S135" t="s">
        <v>275</v>
      </c>
      <c r="T135" t="s">
        <v>275</v>
      </c>
      <c r="U135" t="s">
        <v>275</v>
      </c>
      <c r="V135" t="s">
        <v>275</v>
      </c>
      <c r="W135" t="s">
        <v>10</v>
      </c>
      <c r="X135" t="s">
        <v>275</v>
      </c>
      <c r="Y135" t="s">
        <v>275</v>
      </c>
      <c r="Z135" t="s">
        <v>275</v>
      </c>
      <c r="AA135" t="s">
        <v>275</v>
      </c>
      <c r="AB135" t="s">
        <v>275</v>
      </c>
      <c r="AC135" t="s">
        <v>275</v>
      </c>
      <c r="AD135" t="s">
        <v>275</v>
      </c>
    </row>
    <row r="136" spans="1:30">
      <c r="A136">
        <v>134</v>
      </c>
      <c r="B136" t="s">
        <v>420</v>
      </c>
      <c r="C136" t="s">
        <v>421</v>
      </c>
      <c r="D136" t="str">
        <f>IF(VLOOKUP(C136,'Capabilities Overview'!$A$2:$A$587,1)=C136,"","Not in UCL")</f>
        <v>Not in UCL</v>
      </c>
      <c r="E136" t="s">
        <v>1</v>
      </c>
      <c r="F136" t="s">
        <v>275</v>
      </c>
      <c r="G136" t="s">
        <v>275</v>
      </c>
      <c r="H136" t="s">
        <v>275</v>
      </c>
      <c r="I136" t="s">
        <v>275</v>
      </c>
      <c r="J136" t="s">
        <v>275</v>
      </c>
      <c r="K136" t="s">
        <v>275</v>
      </c>
      <c r="L136" t="s">
        <v>275</v>
      </c>
      <c r="M136" t="s">
        <v>275</v>
      </c>
      <c r="N136" t="s">
        <v>275</v>
      </c>
      <c r="O136" t="s">
        <v>275</v>
      </c>
      <c r="P136" t="s">
        <v>275</v>
      </c>
      <c r="Q136" t="s">
        <v>275</v>
      </c>
      <c r="R136" t="s">
        <v>275</v>
      </c>
      <c r="S136" t="s">
        <v>275</v>
      </c>
      <c r="T136" t="s">
        <v>275</v>
      </c>
      <c r="U136" t="s">
        <v>275</v>
      </c>
      <c r="V136" t="s">
        <v>275</v>
      </c>
      <c r="W136" t="s">
        <v>275</v>
      </c>
      <c r="X136" t="s">
        <v>275</v>
      </c>
      <c r="Y136" t="s">
        <v>275</v>
      </c>
      <c r="Z136" t="s">
        <v>275</v>
      </c>
      <c r="AA136" t="s">
        <v>275</v>
      </c>
      <c r="AB136" t="s">
        <v>275</v>
      </c>
      <c r="AC136" t="s">
        <v>275</v>
      </c>
      <c r="AD136" t="s">
        <v>275</v>
      </c>
    </row>
    <row r="137" spans="1:30">
      <c r="A137">
        <v>135</v>
      </c>
      <c r="B137" t="s">
        <v>422</v>
      </c>
      <c r="C137" t="s">
        <v>423</v>
      </c>
      <c r="D137" t="str">
        <f>IF(VLOOKUP(C137,'Capabilities Overview'!$A$2:$A$587,1)=C137,"","Not in UCL")</f>
        <v>Not in UCL</v>
      </c>
      <c r="E137" t="s">
        <v>1</v>
      </c>
      <c r="F137" t="s">
        <v>1</v>
      </c>
      <c r="G137" t="s">
        <v>275</v>
      </c>
      <c r="H137" t="s">
        <v>275</v>
      </c>
      <c r="I137" t="s">
        <v>275</v>
      </c>
      <c r="J137" t="s">
        <v>275</v>
      </c>
      <c r="K137" t="s">
        <v>275</v>
      </c>
      <c r="L137" t="s">
        <v>275</v>
      </c>
      <c r="M137" t="s">
        <v>1</v>
      </c>
      <c r="N137" t="s">
        <v>1</v>
      </c>
      <c r="O137" t="s">
        <v>1</v>
      </c>
      <c r="P137" t="s">
        <v>275</v>
      </c>
      <c r="Q137" t="s">
        <v>275</v>
      </c>
      <c r="R137" t="s">
        <v>275</v>
      </c>
      <c r="S137" t="s">
        <v>275</v>
      </c>
      <c r="T137" t="s">
        <v>275</v>
      </c>
      <c r="U137" t="s">
        <v>275</v>
      </c>
      <c r="V137" t="s">
        <v>275</v>
      </c>
      <c r="W137" t="s">
        <v>10</v>
      </c>
      <c r="X137" t="s">
        <v>275</v>
      </c>
      <c r="Y137" t="s">
        <v>275</v>
      </c>
      <c r="Z137" t="s">
        <v>275</v>
      </c>
      <c r="AA137" t="s">
        <v>275</v>
      </c>
      <c r="AB137" t="s">
        <v>275</v>
      </c>
      <c r="AC137" t="s">
        <v>275</v>
      </c>
      <c r="AD137" t="s">
        <v>275</v>
      </c>
    </row>
    <row r="138" spans="1:30">
      <c r="A138">
        <v>136</v>
      </c>
      <c r="B138" t="s">
        <v>424</v>
      </c>
      <c r="C138" t="s">
        <v>425</v>
      </c>
      <c r="D138" t="str">
        <f>IF(VLOOKUP(C138,'Capabilities Overview'!$A$2:$A$587,1)=C138,"","Not in UCL")</f>
        <v>Not in UCL</v>
      </c>
      <c r="E138" t="s">
        <v>1</v>
      </c>
      <c r="F138" t="s">
        <v>275</v>
      </c>
      <c r="G138" t="s">
        <v>275</v>
      </c>
      <c r="H138" t="s">
        <v>275</v>
      </c>
      <c r="I138" t="s">
        <v>275</v>
      </c>
      <c r="J138" t="s">
        <v>275</v>
      </c>
      <c r="K138" t="s">
        <v>275</v>
      </c>
      <c r="L138" t="s">
        <v>275</v>
      </c>
      <c r="M138" t="s">
        <v>275</v>
      </c>
      <c r="N138" t="s">
        <v>275</v>
      </c>
      <c r="O138" t="s">
        <v>275</v>
      </c>
      <c r="P138" t="s">
        <v>275</v>
      </c>
      <c r="Q138" t="s">
        <v>275</v>
      </c>
      <c r="R138" t="s">
        <v>275</v>
      </c>
      <c r="S138" t="s">
        <v>275</v>
      </c>
      <c r="T138" t="s">
        <v>275</v>
      </c>
      <c r="U138" t="s">
        <v>275</v>
      </c>
      <c r="V138" t="s">
        <v>275</v>
      </c>
      <c r="W138" t="s">
        <v>275</v>
      </c>
      <c r="X138" t="s">
        <v>275</v>
      </c>
      <c r="Y138" t="s">
        <v>275</v>
      </c>
      <c r="Z138" t="s">
        <v>275</v>
      </c>
      <c r="AA138" t="s">
        <v>275</v>
      </c>
      <c r="AB138" t="s">
        <v>275</v>
      </c>
      <c r="AC138" t="s">
        <v>275</v>
      </c>
      <c r="AD138" t="s">
        <v>275</v>
      </c>
    </row>
    <row r="139" spans="1:30">
      <c r="A139">
        <v>137</v>
      </c>
      <c r="B139" t="s">
        <v>426</v>
      </c>
      <c r="C139" t="s">
        <v>427</v>
      </c>
      <c r="D139" t="str">
        <f>IF(VLOOKUP(C139,'Capabilities Overview'!$A$2:$A$587,1)=C139,"","Not in UCL")</f>
        <v>Not in UCL</v>
      </c>
      <c r="E139" t="s">
        <v>275</v>
      </c>
      <c r="F139" t="s">
        <v>275</v>
      </c>
      <c r="G139" t="s">
        <v>275</v>
      </c>
      <c r="H139" t="s">
        <v>275</v>
      </c>
      <c r="I139" t="s">
        <v>275</v>
      </c>
      <c r="J139" t="s">
        <v>275</v>
      </c>
      <c r="K139" t="s">
        <v>275</v>
      </c>
      <c r="L139" t="s">
        <v>275</v>
      </c>
      <c r="M139" t="s">
        <v>275</v>
      </c>
      <c r="N139" t="s">
        <v>275</v>
      </c>
      <c r="O139" t="s">
        <v>275</v>
      </c>
      <c r="P139" t="s">
        <v>275</v>
      </c>
      <c r="Q139" t="s">
        <v>275</v>
      </c>
      <c r="R139" t="s">
        <v>1</v>
      </c>
      <c r="S139" t="s">
        <v>275</v>
      </c>
      <c r="T139" t="s">
        <v>275</v>
      </c>
      <c r="U139" t="s">
        <v>275</v>
      </c>
      <c r="V139" t="s">
        <v>275</v>
      </c>
      <c r="W139" t="s">
        <v>275</v>
      </c>
      <c r="X139" t="s">
        <v>275</v>
      </c>
      <c r="Y139" t="s">
        <v>275</v>
      </c>
      <c r="Z139" t="s">
        <v>275</v>
      </c>
      <c r="AA139" t="s">
        <v>275</v>
      </c>
      <c r="AB139" t="s">
        <v>275</v>
      </c>
      <c r="AC139" t="s">
        <v>275</v>
      </c>
      <c r="AD139" t="s">
        <v>275</v>
      </c>
    </row>
    <row r="140" spans="1:30">
      <c r="A140">
        <v>138</v>
      </c>
      <c r="B140" t="s">
        <v>428</v>
      </c>
      <c r="C140" t="s">
        <v>429</v>
      </c>
      <c r="D140" t="str">
        <f>IF(VLOOKUP(C140,'Capabilities Overview'!$A$2:$A$587,1)=C140,"","Not in UCL")</f>
        <v>Not in UCL</v>
      </c>
      <c r="E140" t="s">
        <v>275</v>
      </c>
      <c r="F140" t="s">
        <v>275</v>
      </c>
      <c r="G140" t="s">
        <v>275</v>
      </c>
      <c r="H140" t="s">
        <v>275</v>
      </c>
      <c r="I140" t="s">
        <v>275</v>
      </c>
      <c r="J140" t="s">
        <v>275</v>
      </c>
      <c r="K140" t="s">
        <v>275</v>
      </c>
      <c r="L140" t="s">
        <v>275</v>
      </c>
      <c r="M140" t="s">
        <v>275</v>
      </c>
      <c r="N140" t="s">
        <v>275</v>
      </c>
      <c r="O140" t="s">
        <v>275</v>
      </c>
      <c r="P140" t="s">
        <v>275</v>
      </c>
      <c r="Q140" t="s">
        <v>275</v>
      </c>
      <c r="R140" t="s">
        <v>1</v>
      </c>
      <c r="S140" t="s">
        <v>275</v>
      </c>
      <c r="T140" t="s">
        <v>275</v>
      </c>
      <c r="U140" t="s">
        <v>275</v>
      </c>
      <c r="V140" t="s">
        <v>275</v>
      </c>
      <c r="W140" t="s">
        <v>275</v>
      </c>
      <c r="X140" t="s">
        <v>275</v>
      </c>
      <c r="Y140" t="s">
        <v>275</v>
      </c>
      <c r="Z140" t="s">
        <v>275</v>
      </c>
      <c r="AA140" t="s">
        <v>275</v>
      </c>
      <c r="AB140" t="s">
        <v>275</v>
      </c>
      <c r="AC140" t="s">
        <v>275</v>
      </c>
      <c r="AD140" t="s">
        <v>275</v>
      </c>
    </row>
    <row r="141" spans="1:30">
      <c r="A141">
        <v>139</v>
      </c>
      <c r="B141" t="s">
        <v>126</v>
      </c>
      <c r="C141" t="s">
        <v>127</v>
      </c>
      <c r="D141" t="str">
        <f>IF(VLOOKUP(C141,'Capabilities Overview'!$A$2:$A$587,1)=C141,"","Not in UCL")</f>
        <v>Not in UCL</v>
      </c>
      <c r="E141" t="s">
        <v>1</v>
      </c>
      <c r="F141" t="s">
        <v>275</v>
      </c>
      <c r="G141" t="s">
        <v>275</v>
      </c>
      <c r="H141" t="s">
        <v>275</v>
      </c>
      <c r="I141" t="s">
        <v>275</v>
      </c>
      <c r="J141" t="s">
        <v>275</v>
      </c>
      <c r="K141" t="s">
        <v>275</v>
      </c>
      <c r="L141" t="s">
        <v>275</v>
      </c>
      <c r="M141" t="s">
        <v>1</v>
      </c>
      <c r="N141" t="s">
        <v>1</v>
      </c>
      <c r="O141" t="s">
        <v>1</v>
      </c>
      <c r="P141" t="s">
        <v>275</v>
      </c>
      <c r="Q141" t="s">
        <v>275</v>
      </c>
      <c r="R141" t="s">
        <v>1</v>
      </c>
      <c r="S141" t="s">
        <v>275</v>
      </c>
      <c r="T141" t="s">
        <v>1</v>
      </c>
      <c r="U141" t="s">
        <v>275</v>
      </c>
      <c r="V141" t="s">
        <v>275</v>
      </c>
      <c r="W141" t="s">
        <v>10</v>
      </c>
      <c r="X141" t="s">
        <v>275</v>
      </c>
      <c r="Y141" t="s">
        <v>275</v>
      </c>
      <c r="Z141" t="s">
        <v>275</v>
      </c>
      <c r="AA141" t="s">
        <v>275</v>
      </c>
      <c r="AB141" t="s">
        <v>275</v>
      </c>
      <c r="AC141" t="s">
        <v>275</v>
      </c>
      <c r="AD141" t="s">
        <v>1</v>
      </c>
    </row>
    <row r="142" spans="1:30">
      <c r="A142">
        <v>140</v>
      </c>
      <c r="B142" t="s">
        <v>430</v>
      </c>
      <c r="C142" t="s">
        <v>431</v>
      </c>
      <c r="D142" t="str">
        <f>IF(VLOOKUP(C142,'Capabilities Overview'!$A$2:$A$587,1)=C142,"","Not in UCL")</f>
        <v>Not in UCL</v>
      </c>
      <c r="E142" t="s">
        <v>1</v>
      </c>
      <c r="F142" t="s">
        <v>275</v>
      </c>
      <c r="G142" t="s">
        <v>1</v>
      </c>
      <c r="H142" t="s">
        <v>275</v>
      </c>
      <c r="I142" t="s">
        <v>275</v>
      </c>
      <c r="J142" t="s">
        <v>275</v>
      </c>
      <c r="K142" t="s">
        <v>275</v>
      </c>
      <c r="L142" t="s">
        <v>275</v>
      </c>
      <c r="M142" t="s">
        <v>1</v>
      </c>
      <c r="N142" t="s">
        <v>1</v>
      </c>
      <c r="O142" t="s">
        <v>1</v>
      </c>
      <c r="P142" t="s">
        <v>275</v>
      </c>
      <c r="Q142" t="s">
        <v>1</v>
      </c>
      <c r="R142" t="s">
        <v>275</v>
      </c>
      <c r="S142" t="s">
        <v>275</v>
      </c>
      <c r="T142" t="s">
        <v>275</v>
      </c>
      <c r="U142" t="s">
        <v>275</v>
      </c>
      <c r="V142" t="s">
        <v>275</v>
      </c>
      <c r="W142" t="s">
        <v>275</v>
      </c>
      <c r="X142" t="s">
        <v>275</v>
      </c>
      <c r="Y142" t="s">
        <v>275</v>
      </c>
      <c r="Z142" t="s">
        <v>275</v>
      </c>
      <c r="AA142" t="s">
        <v>275</v>
      </c>
      <c r="AB142" t="s">
        <v>275</v>
      </c>
      <c r="AC142" t="s">
        <v>275</v>
      </c>
      <c r="AD142" t="s">
        <v>275</v>
      </c>
    </row>
    <row r="143" spans="1:30">
      <c r="A143">
        <v>141</v>
      </c>
      <c r="B143" t="s">
        <v>432</v>
      </c>
      <c r="C143" t="s">
        <v>433</v>
      </c>
      <c r="D143" t="str">
        <f>IF(VLOOKUP(C143,'Capabilities Overview'!$A$2:$A$587,1)=C143,"","Not in UCL")</f>
        <v/>
      </c>
      <c r="E143" t="s">
        <v>1</v>
      </c>
      <c r="F143" t="s">
        <v>275</v>
      </c>
      <c r="G143" t="s">
        <v>1</v>
      </c>
      <c r="H143" t="s">
        <v>275</v>
      </c>
      <c r="I143" t="s">
        <v>275</v>
      </c>
      <c r="J143" t="s">
        <v>275</v>
      </c>
      <c r="K143" t="s">
        <v>275</v>
      </c>
      <c r="L143" t="s">
        <v>275</v>
      </c>
      <c r="M143" t="s">
        <v>1</v>
      </c>
      <c r="N143" t="s">
        <v>1</v>
      </c>
      <c r="O143" t="s">
        <v>1</v>
      </c>
      <c r="P143" t="s">
        <v>275</v>
      </c>
      <c r="Q143" t="s">
        <v>1</v>
      </c>
      <c r="R143" t="s">
        <v>275</v>
      </c>
      <c r="S143" t="s">
        <v>275</v>
      </c>
      <c r="T143" t="s">
        <v>275</v>
      </c>
      <c r="U143" t="s">
        <v>275</v>
      </c>
      <c r="V143" t="s">
        <v>275</v>
      </c>
      <c r="W143" t="s">
        <v>275</v>
      </c>
      <c r="X143" t="s">
        <v>275</v>
      </c>
      <c r="Y143" t="s">
        <v>275</v>
      </c>
      <c r="Z143" t="s">
        <v>275</v>
      </c>
      <c r="AA143" t="s">
        <v>275</v>
      </c>
      <c r="AB143" t="s">
        <v>275</v>
      </c>
      <c r="AC143" t="s">
        <v>275</v>
      </c>
      <c r="AD143" t="s">
        <v>275</v>
      </c>
    </row>
    <row r="144" spans="1:30">
      <c r="A144">
        <v>142</v>
      </c>
      <c r="B144" t="s">
        <v>434</v>
      </c>
      <c r="C144" t="s">
        <v>435</v>
      </c>
      <c r="D144" t="str">
        <f>IF(VLOOKUP(C144,'Capabilities Overview'!$A$2:$A$587,1)=C144,"","Not in UCL")</f>
        <v/>
      </c>
      <c r="E144" t="s">
        <v>1</v>
      </c>
      <c r="F144" t="s">
        <v>275</v>
      </c>
      <c r="G144" t="s">
        <v>275</v>
      </c>
      <c r="H144" t="s">
        <v>275</v>
      </c>
      <c r="I144" t="s">
        <v>275</v>
      </c>
      <c r="J144" t="s">
        <v>275</v>
      </c>
      <c r="K144" t="s">
        <v>275</v>
      </c>
      <c r="L144" t="s">
        <v>275</v>
      </c>
      <c r="M144" t="s">
        <v>1</v>
      </c>
      <c r="N144" t="s">
        <v>1</v>
      </c>
      <c r="O144" t="s">
        <v>1</v>
      </c>
      <c r="P144" t="s">
        <v>275</v>
      </c>
      <c r="Q144" t="s">
        <v>275</v>
      </c>
      <c r="R144" t="s">
        <v>275</v>
      </c>
      <c r="S144" t="s">
        <v>275</v>
      </c>
      <c r="T144" t="s">
        <v>275</v>
      </c>
      <c r="U144" t="s">
        <v>275</v>
      </c>
      <c r="V144" t="s">
        <v>275</v>
      </c>
      <c r="W144" t="s">
        <v>275</v>
      </c>
      <c r="X144" t="s">
        <v>275</v>
      </c>
      <c r="Y144" t="s">
        <v>275</v>
      </c>
      <c r="Z144" t="s">
        <v>275</v>
      </c>
      <c r="AA144" t="s">
        <v>275</v>
      </c>
      <c r="AB144" t="s">
        <v>275</v>
      </c>
      <c r="AC144" t="s">
        <v>275</v>
      </c>
      <c r="AD144" t="s">
        <v>275</v>
      </c>
    </row>
    <row r="145" spans="1:30">
      <c r="A145">
        <v>143</v>
      </c>
      <c r="B145" t="s">
        <v>436</v>
      </c>
      <c r="C145" t="s">
        <v>437</v>
      </c>
      <c r="D145" t="str">
        <f>IF(VLOOKUP(C145,'Capabilities Overview'!$A$2:$A$587,1)=C145,"","Not in UCL")</f>
        <v/>
      </c>
      <c r="E145" t="s">
        <v>1</v>
      </c>
      <c r="F145" t="s">
        <v>275</v>
      </c>
      <c r="G145" t="s">
        <v>275</v>
      </c>
      <c r="H145" t="s">
        <v>275</v>
      </c>
      <c r="I145" t="s">
        <v>275</v>
      </c>
      <c r="J145" t="s">
        <v>275</v>
      </c>
      <c r="K145" t="s">
        <v>275</v>
      </c>
      <c r="L145" t="s">
        <v>275</v>
      </c>
      <c r="M145" t="s">
        <v>275</v>
      </c>
      <c r="N145" t="s">
        <v>275</v>
      </c>
      <c r="O145" t="s">
        <v>275</v>
      </c>
      <c r="P145" t="s">
        <v>275</v>
      </c>
      <c r="Q145" t="s">
        <v>275</v>
      </c>
      <c r="R145" t="s">
        <v>275</v>
      </c>
      <c r="S145" t="s">
        <v>275</v>
      </c>
      <c r="T145" t="s">
        <v>275</v>
      </c>
      <c r="U145" t="s">
        <v>275</v>
      </c>
      <c r="V145" t="s">
        <v>275</v>
      </c>
      <c r="W145" t="s">
        <v>275</v>
      </c>
      <c r="X145" t="s">
        <v>275</v>
      </c>
      <c r="Y145" t="s">
        <v>275</v>
      </c>
      <c r="Z145" t="s">
        <v>275</v>
      </c>
      <c r="AA145" t="s">
        <v>275</v>
      </c>
      <c r="AB145" t="s">
        <v>275</v>
      </c>
      <c r="AC145" t="s">
        <v>275</v>
      </c>
      <c r="AD145" t="s">
        <v>275</v>
      </c>
    </row>
    <row r="146" spans="1:30">
      <c r="A146">
        <v>144</v>
      </c>
      <c r="B146" t="s">
        <v>438</v>
      </c>
      <c r="C146" t="s">
        <v>439</v>
      </c>
      <c r="D146" t="str">
        <f>IF(VLOOKUP(C146,'Capabilities Overview'!$A$2:$A$587,1)=C146,"","Not in UCL")</f>
        <v/>
      </c>
      <c r="E146" t="s">
        <v>1</v>
      </c>
      <c r="F146" t="s">
        <v>275</v>
      </c>
      <c r="G146" t="s">
        <v>275</v>
      </c>
      <c r="H146" t="s">
        <v>275</v>
      </c>
      <c r="I146" t="s">
        <v>275</v>
      </c>
      <c r="J146" t="s">
        <v>275</v>
      </c>
      <c r="K146" t="s">
        <v>275</v>
      </c>
      <c r="L146" t="s">
        <v>275</v>
      </c>
      <c r="M146" t="s">
        <v>275</v>
      </c>
      <c r="N146" t="s">
        <v>275</v>
      </c>
      <c r="O146" t="s">
        <v>275</v>
      </c>
      <c r="P146" t="s">
        <v>275</v>
      </c>
      <c r="Q146" t="s">
        <v>275</v>
      </c>
      <c r="R146" t="s">
        <v>275</v>
      </c>
      <c r="S146" t="s">
        <v>275</v>
      </c>
      <c r="T146" t="s">
        <v>275</v>
      </c>
      <c r="U146" t="s">
        <v>275</v>
      </c>
      <c r="V146" t="s">
        <v>275</v>
      </c>
      <c r="W146" t="s">
        <v>275</v>
      </c>
      <c r="X146" t="s">
        <v>275</v>
      </c>
      <c r="Y146" t="s">
        <v>275</v>
      </c>
      <c r="Z146" t="s">
        <v>275</v>
      </c>
      <c r="AA146" t="s">
        <v>275</v>
      </c>
      <c r="AB146" t="s">
        <v>275</v>
      </c>
      <c r="AC146" t="s">
        <v>275</v>
      </c>
      <c r="AD146" t="s">
        <v>275</v>
      </c>
    </row>
    <row r="147" spans="1:30">
      <c r="A147">
        <v>145</v>
      </c>
      <c r="B147" t="s">
        <v>440</v>
      </c>
      <c r="C147" t="s">
        <v>441</v>
      </c>
      <c r="D147" t="str">
        <f>IF(VLOOKUP(C147,'Capabilities Overview'!$A$2:$A$587,1)=C147,"","Not in UCL")</f>
        <v/>
      </c>
      <c r="E147" t="s">
        <v>1</v>
      </c>
      <c r="F147" t="s">
        <v>275</v>
      </c>
      <c r="G147" t="s">
        <v>1</v>
      </c>
      <c r="H147" t="s">
        <v>275</v>
      </c>
      <c r="I147" t="s">
        <v>275</v>
      </c>
      <c r="J147" t="s">
        <v>275</v>
      </c>
      <c r="K147" t="s">
        <v>275</v>
      </c>
      <c r="L147" t="s">
        <v>275</v>
      </c>
      <c r="M147" t="s">
        <v>1</v>
      </c>
      <c r="N147" t="s">
        <v>1</v>
      </c>
      <c r="O147" t="s">
        <v>1</v>
      </c>
      <c r="P147" t="s">
        <v>275</v>
      </c>
      <c r="Q147" t="s">
        <v>1</v>
      </c>
      <c r="R147" t="s">
        <v>275</v>
      </c>
      <c r="S147" t="s">
        <v>275</v>
      </c>
      <c r="T147" t="s">
        <v>275</v>
      </c>
      <c r="U147" t="s">
        <v>275</v>
      </c>
      <c r="V147" t="s">
        <v>275</v>
      </c>
      <c r="W147" t="s">
        <v>275</v>
      </c>
      <c r="X147" t="s">
        <v>275</v>
      </c>
      <c r="Y147" t="s">
        <v>275</v>
      </c>
      <c r="Z147" t="s">
        <v>275</v>
      </c>
      <c r="AA147" t="s">
        <v>275</v>
      </c>
      <c r="AB147" t="s">
        <v>275</v>
      </c>
      <c r="AC147" t="s">
        <v>275</v>
      </c>
      <c r="AD147" t="s">
        <v>275</v>
      </c>
    </row>
    <row r="148" spans="1:30">
      <c r="A148">
        <v>146</v>
      </c>
      <c r="B148" t="s">
        <v>442</v>
      </c>
      <c r="C148" t="s">
        <v>443</v>
      </c>
      <c r="D148" t="str">
        <f>IF(VLOOKUP(C148,'Capabilities Overview'!$A$2:$A$587,1)=C148,"","Not in UCL")</f>
        <v>Not in UCL</v>
      </c>
      <c r="E148" t="s">
        <v>1</v>
      </c>
      <c r="F148" t="s">
        <v>275</v>
      </c>
      <c r="G148" t="s">
        <v>275</v>
      </c>
      <c r="H148" t="s">
        <v>275</v>
      </c>
      <c r="I148" t="s">
        <v>275</v>
      </c>
      <c r="J148" t="s">
        <v>275</v>
      </c>
      <c r="K148" t="s">
        <v>275</v>
      </c>
      <c r="L148" t="s">
        <v>275</v>
      </c>
      <c r="M148" t="s">
        <v>1</v>
      </c>
      <c r="N148" t="s">
        <v>1</v>
      </c>
      <c r="O148" t="s">
        <v>1</v>
      </c>
      <c r="P148" t="s">
        <v>275</v>
      </c>
      <c r="Q148" t="s">
        <v>275</v>
      </c>
      <c r="R148" t="s">
        <v>275</v>
      </c>
      <c r="S148" t="s">
        <v>275</v>
      </c>
      <c r="T148" t="s">
        <v>275</v>
      </c>
      <c r="U148" t="s">
        <v>275</v>
      </c>
      <c r="V148" t="s">
        <v>275</v>
      </c>
      <c r="W148" t="s">
        <v>275</v>
      </c>
      <c r="X148" t="s">
        <v>275</v>
      </c>
      <c r="Y148" t="s">
        <v>275</v>
      </c>
      <c r="Z148" t="s">
        <v>275</v>
      </c>
      <c r="AA148" t="s">
        <v>275</v>
      </c>
      <c r="AB148" t="s">
        <v>275</v>
      </c>
      <c r="AC148" t="s">
        <v>275</v>
      </c>
      <c r="AD148" t="s">
        <v>275</v>
      </c>
    </row>
    <row r="149" spans="1:30">
      <c r="A149">
        <v>147</v>
      </c>
      <c r="B149" t="s">
        <v>444</v>
      </c>
      <c r="C149" t="s">
        <v>445</v>
      </c>
      <c r="D149" t="str">
        <f>IF(VLOOKUP(C149,'Capabilities Overview'!$A$2:$A$587,1)=C149,"","Not in UCL")</f>
        <v>Not in UCL</v>
      </c>
      <c r="E149" t="s">
        <v>1</v>
      </c>
      <c r="F149" t="s">
        <v>275</v>
      </c>
      <c r="G149" t="s">
        <v>275</v>
      </c>
      <c r="H149" t="s">
        <v>275</v>
      </c>
      <c r="I149" t="s">
        <v>275</v>
      </c>
      <c r="J149" t="s">
        <v>275</v>
      </c>
      <c r="K149" t="s">
        <v>275</v>
      </c>
      <c r="L149" t="s">
        <v>275</v>
      </c>
      <c r="M149" t="s">
        <v>275</v>
      </c>
      <c r="N149" t="s">
        <v>275</v>
      </c>
      <c r="O149" t="s">
        <v>275</v>
      </c>
      <c r="P149" t="s">
        <v>275</v>
      </c>
      <c r="Q149" t="s">
        <v>275</v>
      </c>
      <c r="R149" t="s">
        <v>275</v>
      </c>
      <c r="S149" t="s">
        <v>275</v>
      </c>
      <c r="T149" t="s">
        <v>275</v>
      </c>
      <c r="U149" t="s">
        <v>275</v>
      </c>
      <c r="V149" t="s">
        <v>275</v>
      </c>
      <c r="W149" t="s">
        <v>275</v>
      </c>
      <c r="X149" t="s">
        <v>275</v>
      </c>
      <c r="Y149" t="s">
        <v>275</v>
      </c>
      <c r="Z149" t="s">
        <v>275</v>
      </c>
      <c r="AA149" t="s">
        <v>275</v>
      </c>
      <c r="AB149" t="s">
        <v>275</v>
      </c>
      <c r="AC149" t="s">
        <v>275</v>
      </c>
      <c r="AD149" t="s">
        <v>275</v>
      </c>
    </row>
    <row r="150" spans="1:30">
      <c r="A150">
        <v>148</v>
      </c>
      <c r="B150" t="s">
        <v>446</v>
      </c>
      <c r="C150" t="s">
        <v>447</v>
      </c>
      <c r="D150" t="str">
        <f>IF(VLOOKUP(C150,'Capabilities Overview'!$A$2:$A$587,1)=C150,"","Not in UCL")</f>
        <v>Not in UCL</v>
      </c>
      <c r="E150" t="s">
        <v>1</v>
      </c>
      <c r="F150" t="s">
        <v>275</v>
      </c>
      <c r="G150" t="s">
        <v>275</v>
      </c>
      <c r="H150" t="s">
        <v>275</v>
      </c>
      <c r="I150" t="s">
        <v>275</v>
      </c>
      <c r="J150" t="s">
        <v>275</v>
      </c>
      <c r="K150" t="s">
        <v>275</v>
      </c>
      <c r="L150" t="s">
        <v>275</v>
      </c>
      <c r="M150" t="s">
        <v>1</v>
      </c>
      <c r="N150" t="s">
        <v>1</v>
      </c>
      <c r="O150" t="s">
        <v>1</v>
      </c>
      <c r="P150" t="s">
        <v>275</v>
      </c>
      <c r="Q150" t="s">
        <v>275</v>
      </c>
      <c r="R150" t="s">
        <v>275</v>
      </c>
      <c r="S150" t="s">
        <v>275</v>
      </c>
      <c r="T150" t="s">
        <v>275</v>
      </c>
      <c r="U150" t="s">
        <v>275</v>
      </c>
      <c r="V150" t="s">
        <v>275</v>
      </c>
      <c r="W150" t="s">
        <v>275</v>
      </c>
      <c r="X150" t="s">
        <v>275</v>
      </c>
      <c r="Y150" t="s">
        <v>275</v>
      </c>
      <c r="Z150" t="s">
        <v>275</v>
      </c>
      <c r="AA150" t="s">
        <v>275</v>
      </c>
      <c r="AB150" t="s">
        <v>275</v>
      </c>
      <c r="AC150" t="s">
        <v>275</v>
      </c>
      <c r="AD150" t="s">
        <v>275</v>
      </c>
    </row>
    <row r="151" spans="1:30">
      <c r="A151">
        <v>149</v>
      </c>
      <c r="B151" t="s">
        <v>448</v>
      </c>
      <c r="C151" t="s">
        <v>449</v>
      </c>
      <c r="D151" t="str">
        <f>IF(VLOOKUP(C151,'Capabilities Overview'!$A$2:$A$587,1)=C151,"","Not in UCL")</f>
        <v>Not in UCL</v>
      </c>
      <c r="E151" t="s">
        <v>275</v>
      </c>
      <c r="F151" t="s">
        <v>275</v>
      </c>
      <c r="G151" t="s">
        <v>275</v>
      </c>
      <c r="H151" t="s">
        <v>275</v>
      </c>
      <c r="I151" t="s">
        <v>275</v>
      </c>
      <c r="J151" t="s">
        <v>275</v>
      </c>
      <c r="K151" t="s">
        <v>275</v>
      </c>
      <c r="L151" t="s">
        <v>275</v>
      </c>
      <c r="M151" t="s">
        <v>275</v>
      </c>
      <c r="N151" t="s">
        <v>275</v>
      </c>
      <c r="O151" t="s">
        <v>275</v>
      </c>
      <c r="P151" t="s">
        <v>275</v>
      </c>
      <c r="Q151" t="s">
        <v>275</v>
      </c>
      <c r="R151" t="s">
        <v>275</v>
      </c>
      <c r="S151" t="s">
        <v>275</v>
      </c>
      <c r="T151" t="s">
        <v>275</v>
      </c>
      <c r="U151" t="s">
        <v>275</v>
      </c>
      <c r="V151" t="s">
        <v>275</v>
      </c>
      <c r="W151" t="s">
        <v>275</v>
      </c>
      <c r="X151" t="s">
        <v>275</v>
      </c>
      <c r="Y151" t="s">
        <v>275</v>
      </c>
      <c r="Z151" t="s">
        <v>275</v>
      </c>
      <c r="AA151" t="s">
        <v>275</v>
      </c>
      <c r="AB151" t="s">
        <v>275</v>
      </c>
      <c r="AC151" t="s">
        <v>275</v>
      </c>
      <c r="AD151" t="s">
        <v>275</v>
      </c>
    </row>
    <row r="152" spans="1:30">
      <c r="A152">
        <v>150</v>
      </c>
      <c r="B152" t="s">
        <v>450</v>
      </c>
      <c r="C152" t="s">
        <v>451</v>
      </c>
      <c r="D152" t="str">
        <f>IF(VLOOKUP(C152,'Capabilities Overview'!$A$2:$A$587,1)=C152,"","Not in UCL")</f>
        <v/>
      </c>
      <c r="E152" t="s">
        <v>1</v>
      </c>
      <c r="F152" t="s">
        <v>275</v>
      </c>
      <c r="G152" t="s">
        <v>275</v>
      </c>
      <c r="H152" t="s">
        <v>275</v>
      </c>
      <c r="I152" t="s">
        <v>275</v>
      </c>
      <c r="J152" t="s">
        <v>275</v>
      </c>
      <c r="K152" t="s">
        <v>275</v>
      </c>
      <c r="L152" t="s">
        <v>275</v>
      </c>
      <c r="M152" t="s">
        <v>275</v>
      </c>
      <c r="N152" t="s">
        <v>275</v>
      </c>
      <c r="O152" t="s">
        <v>1</v>
      </c>
      <c r="P152" t="s">
        <v>275</v>
      </c>
      <c r="Q152" t="s">
        <v>275</v>
      </c>
      <c r="R152" t="s">
        <v>275</v>
      </c>
      <c r="S152" t="s">
        <v>275</v>
      </c>
      <c r="T152" t="s">
        <v>275</v>
      </c>
      <c r="U152" t="s">
        <v>275</v>
      </c>
      <c r="V152" t="s">
        <v>275</v>
      </c>
      <c r="W152" t="s">
        <v>10</v>
      </c>
      <c r="X152" t="s">
        <v>275</v>
      </c>
      <c r="Y152" t="s">
        <v>275</v>
      </c>
      <c r="Z152" t="s">
        <v>275</v>
      </c>
      <c r="AA152" t="s">
        <v>275</v>
      </c>
      <c r="AB152" t="s">
        <v>275</v>
      </c>
      <c r="AC152" t="s">
        <v>275</v>
      </c>
      <c r="AD152" t="s">
        <v>275</v>
      </c>
    </row>
    <row r="153" spans="1:30">
      <c r="A153">
        <v>151</v>
      </c>
      <c r="B153" t="s">
        <v>452</v>
      </c>
      <c r="C153" t="s">
        <v>453</v>
      </c>
      <c r="D153" t="str">
        <f>IF(VLOOKUP(C153,'Capabilities Overview'!$A$2:$A$587,1)=C153,"","Not in UCL")</f>
        <v/>
      </c>
      <c r="E153" t="s">
        <v>1</v>
      </c>
      <c r="F153" t="s">
        <v>275</v>
      </c>
      <c r="G153" t="s">
        <v>275</v>
      </c>
      <c r="H153" t="s">
        <v>275</v>
      </c>
      <c r="I153" t="s">
        <v>275</v>
      </c>
      <c r="J153" t="s">
        <v>275</v>
      </c>
      <c r="K153" t="s">
        <v>275</v>
      </c>
      <c r="L153" t="s">
        <v>275</v>
      </c>
      <c r="M153" t="s">
        <v>275</v>
      </c>
      <c r="N153" t="s">
        <v>275</v>
      </c>
      <c r="O153" t="s">
        <v>275</v>
      </c>
      <c r="P153" t="s">
        <v>275</v>
      </c>
      <c r="Q153" t="s">
        <v>275</v>
      </c>
      <c r="R153" t="s">
        <v>275</v>
      </c>
      <c r="S153" t="s">
        <v>275</v>
      </c>
      <c r="T153" t="s">
        <v>275</v>
      </c>
      <c r="U153" t="s">
        <v>275</v>
      </c>
      <c r="V153" t="s">
        <v>275</v>
      </c>
      <c r="W153" t="s">
        <v>275</v>
      </c>
      <c r="X153" t="s">
        <v>275</v>
      </c>
      <c r="Y153" t="s">
        <v>275</v>
      </c>
      <c r="Z153" t="s">
        <v>275</v>
      </c>
      <c r="AA153" t="s">
        <v>275</v>
      </c>
      <c r="AB153" t="s">
        <v>275</v>
      </c>
      <c r="AC153" t="s">
        <v>275</v>
      </c>
      <c r="AD153" t="s">
        <v>275</v>
      </c>
    </row>
    <row r="154" spans="1:30">
      <c r="A154">
        <v>152</v>
      </c>
      <c r="B154" t="s">
        <v>452</v>
      </c>
      <c r="C154" t="s">
        <v>454</v>
      </c>
      <c r="D154" t="str">
        <f>IF(VLOOKUP(C154,'Capabilities Overview'!$A$2:$A$587,1)=C154,"","Not in UCL")</f>
        <v/>
      </c>
      <c r="E154" t="s">
        <v>1</v>
      </c>
      <c r="F154" t="s">
        <v>275</v>
      </c>
      <c r="G154" t="s">
        <v>275</v>
      </c>
      <c r="H154" t="s">
        <v>275</v>
      </c>
      <c r="I154" t="s">
        <v>275</v>
      </c>
      <c r="J154" t="s">
        <v>275</v>
      </c>
      <c r="K154" t="s">
        <v>275</v>
      </c>
      <c r="L154" t="s">
        <v>275</v>
      </c>
      <c r="M154" t="s">
        <v>275</v>
      </c>
      <c r="N154" t="s">
        <v>275</v>
      </c>
      <c r="O154" t="s">
        <v>275</v>
      </c>
      <c r="P154" t="s">
        <v>275</v>
      </c>
      <c r="Q154" t="s">
        <v>275</v>
      </c>
      <c r="R154" t="s">
        <v>275</v>
      </c>
      <c r="S154" t="s">
        <v>275</v>
      </c>
      <c r="T154" t="s">
        <v>275</v>
      </c>
      <c r="U154" t="s">
        <v>275</v>
      </c>
      <c r="V154" t="s">
        <v>275</v>
      </c>
      <c r="W154" t="s">
        <v>275</v>
      </c>
      <c r="X154" t="s">
        <v>275</v>
      </c>
      <c r="Y154" t="s">
        <v>275</v>
      </c>
      <c r="Z154" t="s">
        <v>275</v>
      </c>
      <c r="AA154" t="s">
        <v>275</v>
      </c>
      <c r="AB154" t="s">
        <v>275</v>
      </c>
      <c r="AC154" t="s">
        <v>275</v>
      </c>
      <c r="AD154" t="s">
        <v>275</v>
      </c>
    </row>
    <row r="155" spans="1:30">
      <c r="A155">
        <v>153</v>
      </c>
      <c r="B155" t="s">
        <v>455</v>
      </c>
      <c r="C155" t="s">
        <v>456</v>
      </c>
      <c r="D155" t="str">
        <f>IF(VLOOKUP(C155,'Capabilities Overview'!$A$2:$A$587,1)=C155,"","Not in UCL")</f>
        <v/>
      </c>
      <c r="E155" t="s">
        <v>275</v>
      </c>
      <c r="F155" t="s">
        <v>275</v>
      </c>
      <c r="G155" t="s">
        <v>275</v>
      </c>
      <c r="H155" t="s">
        <v>275</v>
      </c>
      <c r="I155" t="s">
        <v>275</v>
      </c>
      <c r="J155" t="s">
        <v>275</v>
      </c>
      <c r="K155" t="s">
        <v>275</v>
      </c>
      <c r="L155" t="s">
        <v>275</v>
      </c>
      <c r="M155" t="s">
        <v>275</v>
      </c>
      <c r="N155" t="s">
        <v>275</v>
      </c>
      <c r="O155" t="s">
        <v>275</v>
      </c>
      <c r="P155" t="s">
        <v>275</v>
      </c>
      <c r="Q155" t="s">
        <v>275</v>
      </c>
      <c r="R155" t="s">
        <v>275</v>
      </c>
      <c r="S155" t="s">
        <v>275</v>
      </c>
      <c r="T155" t="s">
        <v>275</v>
      </c>
      <c r="U155" t="s">
        <v>275</v>
      </c>
      <c r="V155" t="s">
        <v>275</v>
      </c>
      <c r="W155" t="s">
        <v>275</v>
      </c>
      <c r="X155" t="s">
        <v>275</v>
      </c>
      <c r="Y155" t="s">
        <v>275</v>
      </c>
      <c r="Z155" t="s">
        <v>275</v>
      </c>
      <c r="AA155" t="s">
        <v>275</v>
      </c>
      <c r="AB155" t="s">
        <v>275</v>
      </c>
      <c r="AC155" t="s">
        <v>275</v>
      </c>
      <c r="AD155" t="s">
        <v>275</v>
      </c>
    </row>
    <row r="156" spans="1:30">
      <c r="A156">
        <v>154</v>
      </c>
      <c r="B156" t="s">
        <v>457</v>
      </c>
      <c r="C156" t="s">
        <v>458</v>
      </c>
      <c r="D156" t="str">
        <f>IF(VLOOKUP(C156,'Capabilities Overview'!$A$2:$A$587,1)=C156,"","Not in UCL")</f>
        <v/>
      </c>
      <c r="E156" t="s">
        <v>275</v>
      </c>
      <c r="F156" t="s">
        <v>275</v>
      </c>
      <c r="G156" t="s">
        <v>275</v>
      </c>
      <c r="H156" t="s">
        <v>275</v>
      </c>
      <c r="I156" t="s">
        <v>275</v>
      </c>
      <c r="J156" t="s">
        <v>275</v>
      </c>
      <c r="K156" t="s">
        <v>275</v>
      </c>
      <c r="L156" t="s">
        <v>275</v>
      </c>
      <c r="M156" t="s">
        <v>275</v>
      </c>
      <c r="N156" t="s">
        <v>275</v>
      </c>
      <c r="O156" t="s">
        <v>275</v>
      </c>
      <c r="P156" t="s">
        <v>275</v>
      </c>
      <c r="Q156" t="s">
        <v>275</v>
      </c>
      <c r="R156" t="s">
        <v>275</v>
      </c>
      <c r="S156" t="s">
        <v>275</v>
      </c>
      <c r="T156" t="s">
        <v>275</v>
      </c>
      <c r="U156" t="s">
        <v>275</v>
      </c>
      <c r="V156" t="s">
        <v>275</v>
      </c>
      <c r="W156" t="s">
        <v>275</v>
      </c>
      <c r="X156" t="s">
        <v>275</v>
      </c>
      <c r="Y156" t="s">
        <v>275</v>
      </c>
      <c r="Z156" t="s">
        <v>275</v>
      </c>
      <c r="AA156" t="s">
        <v>275</v>
      </c>
      <c r="AB156" t="s">
        <v>275</v>
      </c>
      <c r="AC156" t="s">
        <v>275</v>
      </c>
      <c r="AD156" t="s">
        <v>275</v>
      </c>
    </row>
    <row r="157" spans="1:30">
      <c r="A157">
        <v>155</v>
      </c>
      <c r="B157" t="s">
        <v>459</v>
      </c>
      <c r="C157" t="s">
        <v>460</v>
      </c>
      <c r="D157" t="str">
        <f>IF(VLOOKUP(C157,'Capabilities Overview'!$A$2:$A$587,1)=C157,"","Not in UCL")</f>
        <v/>
      </c>
      <c r="E157" t="s">
        <v>1</v>
      </c>
      <c r="F157" t="s">
        <v>275</v>
      </c>
      <c r="G157" t="s">
        <v>275</v>
      </c>
      <c r="H157" t="s">
        <v>275</v>
      </c>
      <c r="I157" t="s">
        <v>275</v>
      </c>
      <c r="J157" t="s">
        <v>275</v>
      </c>
      <c r="K157" t="s">
        <v>275</v>
      </c>
      <c r="L157" t="s">
        <v>275</v>
      </c>
      <c r="M157" t="s">
        <v>275</v>
      </c>
      <c r="N157" t="s">
        <v>275</v>
      </c>
      <c r="O157" t="s">
        <v>1</v>
      </c>
      <c r="P157" t="s">
        <v>275</v>
      </c>
      <c r="Q157" t="s">
        <v>275</v>
      </c>
      <c r="R157" t="s">
        <v>275</v>
      </c>
      <c r="S157" t="s">
        <v>275</v>
      </c>
      <c r="T157" t="s">
        <v>275</v>
      </c>
      <c r="U157" t="s">
        <v>275</v>
      </c>
      <c r="V157" t="s">
        <v>275</v>
      </c>
      <c r="W157" t="s">
        <v>10</v>
      </c>
      <c r="X157" t="s">
        <v>275</v>
      </c>
      <c r="Y157" t="s">
        <v>275</v>
      </c>
      <c r="Z157" t="s">
        <v>275</v>
      </c>
      <c r="AA157" t="s">
        <v>275</v>
      </c>
      <c r="AB157" t="s">
        <v>275</v>
      </c>
      <c r="AC157" t="s">
        <v>275</v>
      </c>
      <c r="AD157" t="s">
        <v>275</v>
      </c>
    </row>
    <row r="158" spans="1:30">
      <c r="A158">
        <v>156</v>
      </c>
      <c r="B158" t="s">
        <v>461</v>
      </c>
      <c r="C158" t="s">
        <v>462</v>
      </c>
      <c r="D158" t="str">
        <f>IF(VLOOKUP(C158,'Capabilities Overview'!$A$2:$A$587,1)=C158,"","Not in UCL")</f>
        <v/>
      </c>
      <c r="E158" t="s">
        <v>1</v>
      </c>
      <c r="F158" t="s">
        <v>275</v>
      </c>
      <c r="G158" t="s">
        <v>275</v>
      </c>
      <c r="H158" t="s">
        <v>275</v>
      </c>
      <c r="I158" t="s">
        <v>275</v>
      </c>
      <c r="J158" t="s">
        <v>275</v>
      </c>
      <c r="K158" t="s">
        <v>275</v>
      </c>
      <c r="L158" t="s">
        <v>275</v>
      </c>
      <c r="M158" t="s">
        <v>275</v>
      </c>
      <c r="N158" t="s">
        <v>41</v>
      </c>
      <c r="O158" t="s">
        <v>275</v>
      </c>
      <c r="P158" t="s">
        <v>275</v>
      </c>
      <c r="Q158" t="s">
        <v>41</v>
      </c>
      <c r="R158" t="s">
        <v>275</v>
      </c>
      <c r="S158" t="s">
        <v>275</v>
      </c>
      <c r="T158" t="s">
        <v>275</v>
      </c>
      <c r="U158" t="s">
        <v>275</v>
      </c>
      <c r="V158" t="s">
        <v>275</v>
      </c>
      <c r="W158" t="s">
        <v>10</v>
      </c>
      <c r="X158" t="s">
        <v>275</v>
      </c>
      <c r="Y158" t="s">
        <v>275</v>
      </c>
      <c r="Z158" t="s">
        <v>275</v>
      </c>
      <c r="AA158" t="s">
        <v>275</v>
      </c>
      <c r="AB158" t="s">
        <v>275</v>
      </c>
      <c r="AC158" t="s">
        <v>275</v>
      </c>
      <c r="AD158" t="s">
        <v>275</v>
      </c>
    </row>
    <row r="159" spans="1:30">
      <c r="A159">
        <v>157</v>
      </c>
      <c r="B159" t="s">
        <v>463</v>
      </c>
      <c r="C159" t="s">
        <v>464</v>
      </c>
      <c r="D159" t="str">
        <f>IF(VLOOKUP(C159,'Capabilities Overview'!$A$2:$A$587,1)=C159,"","Not in UCL")</f>
        <v/>
      </c>
      <c r="E159" t="s">
        <v>1</v>
      </c>
      <c r="F159" t="s">
        <v>1</v>
      </c>
      <c r="G159" t="s">
        <v>275</v>
      </c>
      <c r="H159" t="s">
        <v>275</v>
      </c>
      <c r="I159" t="s">
        <v>275</v>
      </c>
      <c r="J159" t="s">
        <v>275</v>
      </c>
      <c r="K159" t="s">
        <v>275</v>
      </c>
      <c r="L159" t="s">
        <v>275</v>
      </c>
      <c r="M159" t="s">
        <v>41</v>
      </c>
      <c r="N159" t="s">
        <v>275</v>
      </c>
      <c r="O159" t="s">
        <v>41</v>
      </c>
      <c r="P159" t="s">
        <v>275</v>
      </c>
      <c r="Q159" t="s">
        <v>41</v>
      </c>
      <c r="R159" t="s">
        <v>275</v>
      </c>
      <c r="S159" t="s">
        <v>275</v>
      </c>
      <c r="T159" t="s">
        <v>275</v>
      </c>
      <c r="U159" t="s">
        <v>275</v>
      </c>
      <c r="V159" t="s">
        <v>275</v>
      </c>
      <c r="W159" t="s">
        <v>10</v>
      </c>
      <c r="X159" t="s">
        <v>275</v>
      </c>
      <c r="Y159" t="s">
        <v>275</v>
      </c>
      <c r="Z159" t="s">
        <v>275</v>
      </c>
      <c r="AA159" t="s">
        <v>275</v>
      </c>
      <c r="AB159" t="s">
        <v>275</v>
      </c>
      <c r="AC159" t="s">
        <v>275</v>
      </c>
      <c r="AD159" t="s">
        <v>275</v>
      </c>
    </row>
    <row r="160" spans="1:30">
      <c r="A160">
        <v>158</v>
      </c>
      <c r="B160" t="s">
        <v>465</v>
      </c>
      <c r="C160" t="s">
        <v>466</v>
      </c>
      <c r="D160" t="str">
        <f>IF(VLOOKUP(C160,'Capabilities Overview'!$A$2:$A$587,1)=C160,"","Not in UCL")</f>
        <v/>
      </c>
      <c r="E160" t="s">
        <v>1</v>
      </c>
      <c r="F160" t="s">
        <v>1</v>
      </c>
      <c r="G160" t="s">
        <v>275</v>
      </c>
      <c r="H160" t="s">
        <v>1</v>
      </c>
      <c r="I160" t="s">
        <v>1</v>
      </c>
      <c r="J160" t="s">
        <v>275</v>
      </c>
      <c r="K160" t="s">
        <v>275</v>
      </c>
      <c r="L160" t="s">
        <v>275</v>
      </c>
      <c r="M160" t="s">
        <v>41</v>
      </c>
      <c r="N160" t="s">
        <v>1</v>
      </c>
      <c r="O160" t="s">
        <v>41</v>
      </c>
      <c r="P160" t="s">
        <v>275</v>
      </c>
      <c r="Q160" t="s">
        <v>41</v>
      </c>
      <c r="R160" t="s">
        <v>275</v>
      </c>
      <c r="S160" t="s">
        <v>275</v>
      </c>
      <c r="T160" t="s">
        <v>275</v>
      </c>
      <c r="U160" t="s">
        <v>275</v>
      </c>
      <c r="V160" t="s">
        <v>275</v>
      </c>
      <c r="W160" t="s">
        <v>10</v>
      </c>
      <c r="X160" t="s">
        <v>275</v>
      </c>
      <c r="Y160" t="s">
        <v>275</v>
      </c>
      <c r="Z160" t="s">
        <v>275</v>
      </c>
      <c r="AA160" t="s">
        <v>275</v>
      </c>
      <c r="AB160" t="s">
        <v>275</v>
      </c>
      <c r="AC160" t="s">
        <v>275</v>
      </c>
      <c r="AD160" t="s">
        <v>275</v>
      </c>
    </row>
    <row r="161" spans="1:30">
      <c r="A161">
        <v>159</v>
      </c>
      <c r="B161" t="s">
        <v>467</v>
      </c>
      <c r="C161" t="s">
        <v>468</v>
      </c>
      <c r="D161" t="str">
        <f>IF(VLOOKUP(C161,'Capabilities Overview'!$A$2:$A$587,1)=C161,"","Not in UCL")</f>
        <v/>
      </c>
      <c r="E161" t="s">
        <v>1</v>
      </c>
      <c r="F161" t="s">
        <v>1</v>
      </c>
      <c r="G161" t="s">
        <v>275</v>
      </c>
      <c r="H161" t="s">
        <v>1</v>
      </c>
      <c r="I161" t="s">
        <v>1</v>
      </c>
      <c r="J161" t="s">
        <v>275</v>
      </c>
      <c r="K161" t="s">
        <v>275</v>
      </c>
      <c r="L161" t="s">
        <v>275</v>
      </c>
      <c r="M161" t="s">
        <v>41</v>
      </c>
      <c r="N161" t="s">
        <v>1</v>
      </c>
      <c r="O161" t="s">
        <v>41</v>
      </c>
      <c r="P161" t="s">
        <v>275</v>
      </c>
      <c r="Q161" t="s">
        <v>41</v>
      </c>
      <c r="R161" t="s">
        <v>275</v>
      </c>
      <c r="S161" t="s">
        <v>275</v>
      </c>
      <c r="T161" t="s">
        <v>275</v>
      </c>
      <c r="U161" t="s">
        <v>275</v>
      </c>
      <c r="V161" t="s">
        <v>275</v>
      </c>
      <c r="W161" t="s">
        <v>10</v>
      </c>
      <c r="X161" t="s">
        <v>275</v>
      </c>
      <c r="Y161" t="s">
        <v>275</v>
      </c>
      <c r="Z161" t="s">
        <v>275</v>
      </c>
      <c r="AA161" t="s">
        <v>275</v>
      </c>
      <c r="AB161" t="s">
        <v>275</v>
      </c>
      <c r="AC161" t="s">
        <v>275</v>
      </c>
      <c r="AD161" t="s">
        <v>275</v>
      </c>
    </row>
    <row r="162" spans="1:30">
      <c r="A162">
        <v>160</v>
      </c>
      <c r="B162" t="s">
        <v>469</v>
      </c>
      <c r="C162" t="s">
        <v>470</v>
      </c>
      <c r="D162" t="str">
        <f>IF(VLOOKUP(C162,'Capabilities Overview'!$A$2:$A$587,1)=C162,"","Not in UCL")</f>
        <v/>
      </c>
      <c r="E162" t="s">
        <v>1</v>
      </c>
      <c r="F162" t="s">
        <v>1</v>
      </c>
      <c r="G162" t="s">
        <v>275</v>
      </c>
      <c r="H162" t="s">
        <v>1</v>
      </c>
      <c r="I162" t="s">
        <v>1</v>
      </c>
      <c r="J162" t="s">
        <v>275</v>
      </c>
      <c r="K162" t="s">
        <v>275</v>
      </c>
      <c r="L162" t="s">
        <v>275</v>
      </c>
      <c r="M162" t="s">
        <v>41</v>
      </c>
      <c r="N162" t="s">
        <v>1</v>
      </c>
      <c r="O162" t="s">
        <v>41</v>
      </c>
      <c r="P162" t="s">
        <v>275</v>
      </c>
      <c r="Q162" t="s">
        <v>41</v>
      </c>
      <c r="R162" t="s">
        <v>275</v>
      </c>
      <c r="S162" t="s">
        <v>275</v>
      </c>
      <c r="T162" t="s">
        <v>275</v>
      </c>
      <c r="U162" t="s">
        <v>275</v>
      </c>
      <c r="V162" t="s">
        <v>275</v>
      </c>
      <c r="W162" t="s">
        <v>10</v>
      </c>
      <c r="X162" t="s">
        <v>275</v>
      </c>
      <c r="Y162" t="s">
        <v>275</v>
      </c>
      <c r="Z162" t="s">
        <v>275</v>
      </c>
      <c r="AA162" t="s">
        <v>275</v>
      </c>
      <c r="AB162" t="s">
        <v>275</v>
      </c>
      <c r="AC162" t="s">
        <v>275</v>
      </c>
      <c r="AD162" t="s">
        <v>275</v>
      </c>
    </row>
    <row r="163" spans="1:30">
      <c r="A163">
        <v>161</v>
      </c>
      <c r="B163" t="s">
        <v>471</v>
      </c>
      <c r="C163" t="s">
        <v>472</v>
      </c>
      <c r="D163" t="str">
        <f>IF(VLOOKUP(C163,'Capabilities Overview'!$A$2:$A$587,1)=C163,"","Not in UCL")</f>
        <v/>
      </c>
      <c r="E163" t="s">
        <v>1</v>
      </c>
      <c r="F163" t="s">
        <v>1</v>
      </c>
      <c r="G163" t="s">
        <v>275</v>
      </c>
      <c r="H163" t="s">
        <v>275</v>
      </c>
      <c r="I163" t="s">
        <v>1</v>
      </c>
      <c r="J163" t="s">
        <v>275</v>
      </c>
      <c r="K163" t="s">
        <v>275</v>
      </c>
      <c r="L163" t="s">
        <v>275</v>
      </c>
      <c r="M163" t="s">
        <v>41</v>
      </c>
      <c r="N163" t="s">
        <v>275</v>
      </c>
      <c r="O163" t="s">
        <v>41</v>
      </c>
      <c r="P163" t="s">
        <v>275</v>
      </c>
      <c r="Q163" t="s">
        <v>41</v>
      </c>
      <c r="R163" t="s">
        <v>275</v>
      </c>
      <c r="S163" t="s">
        <v>275</v>
      </c>
      <c r="T163" t="s">
        <v>275</v>
      </c>
      <c r="U163" t="s">
        <v>275</v>
      </c>
      <c r="V163" t="s">
        <v>275</v>
      </c>
      <c r="W163" t="s">
        <v>10</v>
      </c>
      <c r="X163" t="s">
        <v>275</v>
      </c>
      <c r="Y163" t="s">
        <v>275</v>
      </c>
      <c r="Z163" t="s">
        <v>275</v>
      </c>
      <c r="AA163" t="s">
        <v>275</v>
      </c>
      <c r="AB163" t="s">
        <v>275</v>
      </c>
      <c r="AC163" t="s">
        <v>275</v>
      </c>
      <c r="AD163" t="s">
        <v>275</v>
      </c>
    </row>
    <row r="164" spans="1:30">
      <c r="A164">
        <v>162</v>
      </c>
      <c r="B164" t="s">
        <v>473</v>
      </c>
      <c r="C164" t="s">
        <v>474</v>
      </c>
      <c r="D164" t="str">
        <f>IF(VLOOKUP(C164,'Capabilities Overview'!$A$2:$A$587,1)=C164,"","Not in UCL")</f>
        <v/>
      </c>
      <c r="E164" t="s">
        <v>1</v>
      </c>
      <c r="F164" t="s">
        <v>275</v>
      </c>
      <c r="G164" t="s">
        <v>275</v>
      </c>
      <c r="H164" t="s">
        <v>275</v>
      </c>
      <c r="I164" t="s">
        <v>275</v>
      </c>
      <c r="J164" t="s">
        <v>275</v>
      </c>
      <c r="K164" t="s">
        <v>275</v>
      </c>
      <c r="L164" t="s">
        <v>275</v>
      </c>
      <c r="M164" t="s">
        <v>275</v>
      </c>
      <c r="N164" t="s">
        <v>275</v>
      </c>
      <c r="O164" t="s">
        <v>41</v>
      </c>
      <c r="P164" t="s">
        <v>275</v>
      </c>
      <c r="Q164" t="s">
        <v>41</v>
      </c>
      <c r="R164" t="s">
        <v>275</v>
      </c>
      <c r="S164" t="s">
        <v>275</v>
      </c>
      <c r="T164" t="s">
        <v>275</v>
      </c>
      <c r="U164" t="s">
        <v>275</v>
      </c>
      <c r="V164" t="s">
        <v>275</v>
      </c>
      <c r="W164" t="s">
        <v>10</v>
      </c>
      <c r="X164" t="s">
        <v>275</v>
      </c>
      <c r="Y164" t="s">
        <v>275</v>
      </c>
      <c r="Z164" t="s">
        <v>275</v>
      </c>
      <c r="AA164" t="s">
        <v>275</v>
      </c>
      <c r="AB164" t="s">
        <v>275</v>
      </c>
      <c r="AC164" t="s">
        <v>275</v>
      </c>
      <c r="AD164" t="s">
        <v>275</v>
      </c>
    </row>
    <row r="165" spans="1:30">
      <c r="A165">
        <v>163</v>
      </c>
      <c r="B165" t="s">
        <v>475</v>
      </c>
      <c r="C165" t="s">
        <v>476</v>
      </c>
      <c r="D165" t="str">
        <f>IF(VLOOKUP(C165,'Capabilities Overview'!$A$2:$A$587,1)=C165,"","Not in UCL")</f>
        <v/>
      </c>
      <c r="E165" t="s">
        <v>1</v>
      </c>
      <c r="F165" t="s">
        <v>275</v>
      </c>
      <c r="G165" t="s">
        <v>275</v>
      </c>
      <c r="H165" t="s">
        <v>275</v>
      </c>
      <c r="I165" t="s">
        <v>275</v>
      </c>
      <c r="J165" t="s">
        <v>275</v>
      </c>
      <c r="K165" t="s">
        <v>275</v>
      </c>
      <c r="L165" t="s">
        <v>275</v>
      </c>
      <c r="M165" t="s">
        <v>275</v>
      </c>
      <c r="N165" t="s">
        <v>275</v>
      </c>
      <c r="O165" t="s">
        <v>41</v>
      </c>
      <c r="P165" t="s">
        <v>275</v>
      </c>
      <c r="Q165" t="s">
        <v>41</v>
      </c>
      <c r="R165" t="s">
        <v>275</v>
      </c>
      <c r="S165" t="s">
        <v>275</v>
      </c>
      <c r="T165" t="s">
        <v>275</v>
      </c>
      <c r="U165" t="s">
        <v>275</v>
      </c>
      <c r="V165" t="s">
        <v>275</v>
      </c>
      <c r="W165" t="s">
        <v>10</v>
      </c>
      <c r="X165" t="s">
        <v>275</v>
      </c>
      <c r="Y165" t="s">
        <v>275</v>
      </c>
      <c r="Z165" t="s">
        <v>275</v>
      </c>
      <c r="AA165" t="s">
        <v>275</v>
      </c>
      <c r="AB165" t="s">
        <v>275</v>
      </c>
      <c r="AC165" t="s">
        <v>275</v>
      </c>
      <c r="AD165" t="s">
        <v>275</v>
      </c>
    </row>
    <row r="166" spans="1:30">
      <c r="A166">
        <v>164</v>
      </c>
      <c r="B166" t="s">
        <v>452</v>
      </c>
      <c r="C166" t="s">
        <v>477</v>
      </c>
      <c r="D166" t="str">
        <f>IF(VLOOKUP(C166,'Capabilities Overview'!$A$2:$A$587,1)=C166,"","Not in UCL")</f>
        <v/>
      </c>
      <c r="E166" t="s">
        <v>1</v>
      </c>
      <c r="F166" t="s">
        <v>275</v>
      </c>
      <c r="G166" t="s">
        <v>275</v>
      </c>
      <c r="H166" t="s">
        <v>275</v>
      </c>
      <c r="I166" t="s">
        <v>275</v>
      </c>
      <c r="J166" t="s">
        <v>275</v>
      </c>
      <c r="K166" t="s">
        <v>275</v>
      </c>
      <c r="L166" t="s">
        <v>275</v>
      </c>
      <c r="M166" t="s">
        <v>275</v>
      </c>
      <c r="N166" t="s">
        <v>275</v>
      </c>
      <c r="O166" t="s">
        <v>275</v>
      </c>
      <c r="P166" t="s">
        <v>275</v>
      </c>
      <c r="Q166" t="s">
        <v>275</v>
      </c>
      <c r="R166" t="s">
        <v>275</v>
      </c>
      <c r="S166" t="s">
        <v>275</v>
      </c>
      <c r="T166" t="s">
        <v>275</v>
      </c>
      <c r="U166" t="s">
        <v>275</v>
      </c>
      <c r="V166" t="s">
        <v>275</v>
      </c>
      <c r="W166" t="s">
        <v>10</v>
      </c>
      <c r="X166" t="s">
        <v>275</v>
      </c>
      <c r="Y166" t="s">
        <v>275</v>
      </c>
      <c r="Z166" t="s">
        <v>275</v>
      </c>
      <c r="AA166" t="s">
        <v>275</v>
      </c>
      <c r="AB166" t="s">
        <v>275</v>
      </c>
      <c r="AC166" t="s">
        <v>275</v>
      </c>
      <c r="AD166" t="s">
        <v>275</v>
      </c>
    </row>
    <row r="167" spans="1:30">
      <c r="A167">
        <v>165</v>
      </c>
      <c r="B167" t="s">
        <v>478</v>
      </c>
      <c r="C167" t="s">
        <v>479</v>
      </c>
      <c r="D167" t="str">
        <f>IF(VLOOKUP(C167,'Capabilities Overview'!$A$2:$A$587,1)=C167,"","Not in UCL")</f>
        <v/>
      </c>
      <c r="E167" t="s">
        <v>1</v>
      </c>
      <c r="F167" t="s">
        <v>275</v>
      </c>
      <c r="G167" t="s">
        <v>275</v>
      </c>
      <c r="H167" t="s">
        <v>275</v>
      </c>
      <c r="I167" t="s">
        <v>275</v>
      </c>
      <c r="J167" t="s">
        <v>275</v>
      </c>
      <c r="K167" t="s">
        <v>275</v>
      </c>
      <c r="L167" t="s">
        <v>275</v>
      </c>
      <c r="M167" t="s">
        <v>275</v>
      </c>
      <c r="N167" t="s">
        <v>41</v>
      </c>
      <c r="O167" t="s">
        <v>41</v>
      </c>
      <c r="P167" t="s">
        <v>275</v>
      </c>
      <c r="Q167" t="s">
        <v>41</v>
      </c>
      <c r="R167" t="s">
        <v>275</v>
      </c>
      <c r="S167" t="s">
        <v>275</v>
      </c>
      <c r="T167" t="s">
        <v>275</v>
      </c>
      <c r="U167" t="s">
        <v>275</v>
      </c>
      <c r="V167" t="s">
        <v>275</v>
      </c>
      <c r="W167" t="s">
        <v>10</v>
      </c>
      <c r="X167" t="s">
        <v>275</v>
      </c>
      <c r="Y167" t="s">
        <v>275</v>
      </c>
      <c r="Z167" t="s">
        <v>275</v>
      </c>
      <c r="AA167" t="s">
        <v>275</v>
      </c>
      <c r="AB167" t="s">
        <v>275</v>
      </c>
      <c r="AC167" t="s">
        <v>275</v>
      </c>
      <c r="AD167" t="s">
        <v>275</v>
      </c>
    </row>
    <row r="168" spans="1:30">
      <c r="A168">
        <v>166</v>
      </c>
      <c r="B168" t="s">
        <v>480</v>
      </c>
      <c r="C168" t="s">
        <v>481</v>
      </c>
      <c r="D168" t="str">
        <f>IF(VLOOKUP(C168,'Capabilities Overview'!$A$2:$A$587,1)=C168,"","Not in UCL")</f>
        <v/>
      </c>
      <c r="E168" t="s">
        <v>1</v>
      </c>
      <c r="F168" t="s">
        <v>275</v>
      </c>
      <c r="G168" t="s">
        <v>275</v>
      </c>
      <c r="H168" t="s">
        <v>275</v>
      </c>
      <c r="I168" t="s">
        <v>275</v>
      </c>
      <c r="J168" t="s">
        <v>275</v>
      </c>
      <c r="K168" t="s">
        <v>275</v>
      </c>
      <c r="L168" t="s">
        <v>275</v>
      </c>
      <c r="M168" t="s">
        <v>275</v>
      </c>
      <c r="N168" t="s">
        <v>41</v>
      </c>
      <c r="O168" t="s">
        <v>41</v>
      </c>
      <c r="P168" t="s">
        <v>275</v>
      </c>
      <c r="Q168" t="s">
        <v>41</v>
      </c>
      <c r="R168" t="s">
        <v>275</v>
      </c>
      <c r="S168" t="s">
        <v>275</v>
      </c>
      <c r="T168" t="s">
        <v>275</v>
      </c>
      <c r="U168" t="s">
        <v>275</v>
      </c>
      <c r="V168" t="s">
        <v>275</v>
      </c>
      <c r="W168" t="s">
        <v>10</v>
      </c>
      <c r="X168" t="s">
        <v>275</v>
      </c>
      <c r="Y168" t="s">
        <v>275</v>
      </c>
      <c r="Z168" t="s">
        <v>275</v>
      </c>
      <c r="AA168" t="s">
        <v>275</v>
      </c>
      <c r="AB168" t="s">
        <v>275</v>
      </c>
      <c r="AC168" t="s">
        <v>275</v>
      </c>
      <c r="AD168" t="s">
        <v>275</v>
      </c>
    </row>
    <row r="169" spans="1:30">
      <c r="A169">
        <v>167</v>
      </c>
      <c r="B169" t="s">
        <v>482</v>
      </c>
      <c r="C169" t="s">
        <v>483</v>
      </c>
      <c r="D169" t="str">
        <f>IF(VLOOKUP(C169,'Capabilities Overview'!$A$2:$A$587,1)=C169,"","Not in UCL")</f>
        <v/>
      </c>
      <c r="E169" t="s">
        <v>1</v>
      </c>
      <c r="F169" t="s">
        <v>275</v>
      </c>
      <c r="G169" t="s">
        <v>275</v>
      </c>
      <c r="H169" t="s">
        <v>275</v>
      </c>
      <c r="I169" t="s">
        <v>275</v>
      </c>
      <c r="J169" t="s">
        <v>275</v>
      </c>
      <c r="K169" t="s">
        <v>275</v>
      </c>
      <c r="L169" t="s">
        <v>275</v>
      </c>
      <c r="M169" t="s">
        <v>275</v>
      </c>
      <c r="N169" t="s">
        <v>41</v>
      </c>
      <c r="O169" t="s">
        <v>41</v>
      </c>
      <c r="P169" t="s">
        <v>275</v>
      </c>
      <c r="Q169" t="s">
        <v>41</v>
      </c>
      <c r="R169" t="s">
        <v>275</v>
      </c>
      <c r="S169" t="s">
        <v>275</v>
      </c>
      <c r="T169" t="s">
        <v>275</v>
      </c>
      <c r="U169" t="s">
        <v>275</v>
      </c>
      <c r="V169" t="s">
        <v>275</v>
      </c>
      <c r="W169" t="s">
        <v>10</v>
      </c>
      <c r="X169" t="s">
        <v>275</v>
      </c>
      <c r="Y169" t="s">
        <v>275</v>
      </c>
      <c r="Z169" t="s">
        <v>275</v>
      </c>
      <c r="AA169" t="s">
        <v>275</v>
      </c>
      <c r="AB169" t="s">
        <v>275</v>
      </c>
      <c r="AC169" t="s">
        <v>275</v>
      </c>
      <c r="AD169" t="s">
        <v>275</v>
      </c>
    </row>
    <row r="170" spans="1:30">
      <c r="A170">
        <v>168</v>
      </c>
      <c r="B170" t="s">
        <v>471</v>
      </c>
      <c r="C170" t="s">
        <v>484</v>
      </c>
      <c r="D170" t="str">
        <f>IF(VLOOKUP(C170,'Capabilities Overview'!$A$2:$A$587,1)=C170,"","Not in UCL")</f>
        <v/>
      </c>
      <c r="E170" t="s">
        <v>1</v>
      </c>
      <c r="F170" t="s">
        <v>275</v>
      </c>
      <c r="G170" t="s">
        <v>275</v>
      </c>
      <c r="H170" t="s">
        <v>275</v>
      </c>
      <c r="I170" t="s">
        <v>275</v>
      </c>
      <c r="J170" t="s">
        <v>275</v>
      </c>
      <c r="K170" t="s">
        <v>275</v>
      </c>
      <c r="L170" t="s">
        <v>275</v>
      </c>
      <c r="M170" t="s">
        <v>275</v>
      </c>
      <c r="N170" t="s">
        <v>41</v>
      </c>
      <c r="O170" t="s">
        <v>41</v>
      </c>
      <c r="P170" t="s">
        <v>275</v>
      </c>
      <c r="Q170" t="s">
        <v>41</v>
      </c>
      <c r="R170" t="s">
        <v>275</v>
      </c>
      <c r="S170" t="s">
        <v>275</v>
      </c>
      <c r="T170" t="s">
        <v>275</v>
      </c>
      <c r="U170" t="s">
        <v>275</v>
      </c>
      <c r="V170" t="s">
        <v>275</v>
      </c>
      <c r="W170" t="s">
        <v>10</v>
      </c>
      <c r="X170" t="s">
        <v>275</v>
      </c>
      <c r="Y170" t="s">
        <v>275</v>
      </c>
      <c r="Z170" t="s">
        <v>275</v>
      </c>
      <c r="AA170" t="s">
        <v>275</v>
      </c>
      <c r="AB170" t="s">
        <v>275</v>
      </c>
      <c r="AC170" t="s">
        <v>275</v>
      </c>
      <c r="AD170" t="s">
        <v>275</v>
      </c>
    </row>
    <row r="171" spans="1:30">
      <c r="A171">
        <v>169</v>
      </c>
      <c r="B171" t="s">
        <v>485</v>
      </c>
      <c r="C171" t="s">
        <v>486</v>
      </c>
      <c r="D171" t="str">
        <f>IF(VLOOKUP(C171,'Capabilities Overview'!$A$2:$A$587,1)=C171,"","Not in UCL")</f>
        <v/>
      </c>
      <c r="E171" t="s">
        <v>1</v>
      </c>
      <c r="F171" t="s">
        <v>1</v>
      </c>
      <c r="G171" t="s">
        <v>275</v>
      </c>
      <c r="H171" t="s">
        <v>275</v>
      </c>
      <c r="I171" t="s">
        <v>275</v>
      </c>
      <c r="J171" t="s">
        <v>275</v>
      </c>
      <c r="K171" t="s">
        <v>275</v>
      </c>
      <c r="L171" t="s">
        <v>275</v>
      </c>
      <c r="M171" t="s">
        <v>275</v>
      </c>
      <c r="N171" t="s">
        <v>275</v>
      </c>
      <c r="O171" t="s">
        <v>41</v>
      </c>
      <c r="P171" t="s">
        <v>275</v>
      </c>
      <c r="Q171" t="s">
        <v>41</v>
      </c>
      <c r="R171" t="s">
        <v>275</v>
      </c>
      <c r="S171" t="s">
        <v>275</v>
      </c>
      <c r="T171" t="s">
        <v>275</v>
      </c>
      <c r="U171" t="s">
        <v>275</v>
      </c>
      <c r="V171" t="s">
        <v>275</v>
      </c>
      <c r="W171" t="s">
        <v>10</v>
      </c>
      <c r="X171" t="s">
        <v>275</v>
      </c>
      <c r="Y171" t="s">
        <v>275</v>
      </c>
      <c r="Z171" t="s">
        <v>275</v>
      </c>
      <c r="AA171" t="s">
        <v>275</v>
      </c>
      <c r="AB171" t="s">
        <v>275</v>
      </c>
      <c r="AC171" t="s">
        <v>275</v>
      </c>
      <c r="AD171" t="s">
        <v>275</v>
      </c>
    </row>
    <row r="172" spans="1:30">
      <c r="A172">
        <v>170</v>
      </c>
      <c r="B172" t="s">
        <v>480</v>
      </c>
      <c r="C172" t="s">
        <v>487</v>
      </c>
      <c r="D172" t="str">
        <f>IF(VLOOKUP(C172,'Capabilities Overview'!$A$2:$A$587,1)=C172,"","Not in UCL")</f>
        <v/>
      </c>
      <c r="E172" t="s">
        <v>1</v>
      </c>
      <c r="F172" t="s">
        <v>1</v>
      </c>
      <c r="G172" t="s">
        <v>275</v>
      </c>
      <c r="H172" t="s">
        <v>275</v>
      </c>
      <c r="I172" t="s">
        <v>1</v>
      </c>
      <c r="J172" t="s">
        <v>275</v>
      </c>
      <c r="K172" t="s">
        <v>275</v>
      </c>
      <c r="L172" t="s">
        <v>275</v>
      </c>
      <c r="M172" t="s">
        <v>275</v>
      </c>
      <c r="N172" t="s">
        <v>275</v>
      </c>
      <c r="O172" t="s">
        <v>41</v>
      </c>
      <c r="P172" t="s">
        <v>275</v>
      </c>
      <c r="Q172" t="s">
        <v>41</v>
      </c>
      <c r="R172" t="s">
        <v>275</v>
      </c>
      <c r="S172" t="s">
        <v>275</v>
      </c>
      <c r="T172" t="s">
        <v>275</v>
      </c>
      <c r="U172" t="s">
        <v>275</v>
      </c>
      <c r="V172" t="s">
        <v>275</v>
      </c>
      <c r="W172" t="s">
        <v>10</v>
      </c>
      <c r="X172" t="s">
        <v>275</v>
      </c>
      <c r="Y172" t="s">
        <v>275</v>
      </c>
      <c r="Z172" t="s">
        <v>275</v>
      </c>
      <c r="AA172" t="s">
        <v>275</v>
      </c>
      <c r="AB172" t="s">
        <v>275</v>
      </c>
      <c r="AC172" t="s">
        <v>275</v>
      </c>
      <c r="AD172" t="s">
        <v>275</v>
      </c>
    </row>
    <row r="173" spans="1:30">
      <c r="A173">
        <v>171</v>
      </c>
      <c r="B173" t="s">
        <v>482</v>
      </c>
      <c r="C173" t="s">
        <v>488</v>
      </c>
      <c r="D173" t="str">
        <f>IF(VLOOKUP(C173,'Capabilities Overview'!$A$2:$A$587,1)=C173,"","Not in UCL")</f>
        <v/>
      </c>
      <c r="E173" t="s">
        <v>1</v>
      </c>
      <c r="F173" t="s">
        <v>1</v>
      </c>
      <c r="G173" t="s">
        <v>275</v>
      </c>
      <c r="H173" t="s">
        <v>275</v>
      </c>
      <c r="I173" t="s">
        <v>1</v>
      </c>
      <c r="J173" t="s">
        <v>275</v>
      </c>
      <c r="K173" t="s">
        <v>275</v>
      </c>
      <c r="L173" t="s">
        <v>275</v>
      </c>
      <c r="M173" t="s">
        <v>275</v>
      </c>
      <c r="N173" t="s">
        <v>275</v>
      </c>
      <c r="O173" t="s">
        <v>41</v>
      </c>
      <c r="P173" t="s">
        <v>275</v>
      </c>
      <c r="Q173" t="s">
        <v>41</v>
      </c>
      <c r="R173" t="s">
        <v>275</v>
      </c>
      <c r="S173" t="s">
        <v>275</v>
      </c>
      <c r="T173" t="s">
        <v>275</v>
      </c>
      <c r="U173" t="s">
        <v>275</v>
      </c>
      <c r="V173" t="s">
        <v>275</v>
      </c>
      <c r="W173" t="s">
        <v>10</v>
      </c>
      <c r="X173" t="s">
        <v>275</v>
      </c>
      <c r="Y173" t="s">
        <v>275</v>
      </c>
      <c r="Z173" t="s">
        <v>275</v>
      </c>
      <c r="AA173" t="s">
        <v>275</v>
      </c>
      <c r="AB173" t="s">
        <v>275</v>
      </c>
      <c r="AC173" t="s">
        <v>275</v>
      </c>
      <c r="AD173" t="s">
        <v>275</v>
      </c>
    </row>
    <row r="174" spans="1:30">
      <c r="A174">
        <v>172</v>
      </c>
      <c r="B174" t="s">
        <v>471</v>
      </c>
      <c r="C174" t="s">
        <v>489</v>
      </c>
      <c r="D174" t="str">
        <f>IF(VLOOKUP(C174,'Capabilities Overview'!$A$2:$A$587,1)=C174,"","Not in UCL")</f>
        <v/>
      </c>
      <c r="E174" t="s">
        <v>1</v>
      </c>
      <c r="F174" t="s">
        <v>1</v>
      </c>
      <c r="G174" t="s">
        <v>275</v>
      </c>
      <c r="H174" t="s">
        <v>275</v>
      </c>
      <c r="I174" t="s">
        <v>1</v>
      </c>
      <c r="J174" t="s">
        <v>275</v>
      </c>
      <c r="K174" t="s">
        <v>275</v>
      </c>
      <c r="L174" t="s">
        <v>275</v>
      </c>
      <c r="M174" t="s">
        <v>275</v>
      </c>
      <c r="N174" t="s">
        <v>275</v>
      </c>
      <c r="O174" t="s">
        <v>275</v>
      </c>
      <c r="P174" t="s">
        <v>275</v>
      </c>
      <c r="Q174" t="s">
        <v>275</v>
      </c>
      <c r="R174" t="s">
        <v>1</v>
      </c>
      <c r="S174" t="s">
        <v>275</v>
      </c>
      <c r="T174" t="s">
        <v>275</v>
      </c>
      <c r="U174" t="s">
        <v>275</v>
      </c>
      <c r="V174" t="s">
        <v>275</v>
      </c>
      <c r="W174" t="s">
        <v>10</v>
      </c>
      <c r="X174" t="s">
        <v>275</v>
      </c>
      <c r="Y174" t="s">
        <v>275</v>
      </c>
      <c r="Z174" t="s">
        <v>275</v>
      </c>
      <c r="AA174" t="s">
        <v>275</v>
      </c>
      <c r="AB174" t="s">
        <v>275</v>
      </c>
      <c r="AC174" t="s">
        <v>275</v>
      </c>
      <c r="AD174" t="s">
        <v>275</v>
      </c>
    </row>
    <row r="175" spans="1:30">
      <c r="A175">
        <v>173</v>
      </c>
      <c r="B175" t="s">
        <v>490</v>
      </c>
      <c r="C175" t="s">
        <v>491</v>
      </c>
      <c r="D175" t="str">
        <f>IF(VLOOKUP(C175,'Capabilities Overview'!$A$2:$A$587,1)=C175,"","Not in UCL")</f>
        <v>Not in UCL</v>
      </c>
      <c r="E175" t="s">
        <v>1</v>
      </c>
      <c r="F175" t="s">
        <v>275</v>
      </c>
      <c r="G175" t="s">
        <v>275</v>
      </c>
      <c r="H175" t="s">
        <v>275</v>
      </c>
      <c r="I175" t="s">
        <v>275</v>
      </c>
      <c r="J175" t="s">
        <v>275</v>
      </c>
      <c r="K175" t="s">
        <v>275</v>
      </c>
      <c r="L175" t="s">
        <v>275</v>
      </c>
      <c r="M175" t="s">
        <v>1</v>
      </c>
      <c r="N175" t="s">
        <v>1</v>
      </c>
      <c r="O175" t="s">
        <v>1</v>
      </c>
      <c r="P175" t="s">
        <v>275</v>
      </c>
      <c r="Q175" t="s">
        <v>275</v>
      </c>
      <c r="R175" t="s">
        <v>275</v>
      </c>
      <c r="S175" t="s">
        <v>275</v>
      </c>
      <c r="T175" t="s">
        <v>275</v>
      </c>
      <c r="U175" t="s">
        <v>275</v>
      </c>
      <c r="V175" t="s">
        <v>275</v>
      </c>
      <c r="W175" t="s">
        <v>275</v>
      </c>
      <c r="X175" t="s">
        <v>275</v>
      </c>
      <c r="Y175" t="s">
        <v>275</v>
      </c>
      <c r="Z175" t="s">
        <v>275</v>
      </c>
      <c r="AA175" t="s">
        <v>275</v>
      </c>
      <c r="AB175" t="s">
        <v>275</v>
      </c>
      <c r="AC175" t="s">
        <v>275</v>
      </c>
      <c r="AD175" t="s">
        <v>275</v>
      </c>
    </row>
    <row r="176" spans="1:30">
      <c r="A176">
        <v>174</v>
      </c>
      <c r="B176" t="s">
        <v>492</v>
      </c>
      <c r="C176" t="s">
        <v>493</v>
      </c>
      <c r="D176" t="str">
        <f>IF(VLOOKUP(C176,'Capabilities Overview'!$A$2:$A$587,1)=C176,"","Not in UCL")</f>
        <v>Not in UCL</v>
      </c>
      <c r="E176" t="s">
        <v>1</v>
      </c>
      <c r="F176" t="s">
        <v>275</v>
      </c>
      <c r="G176" t="s">
        <v>275</v>
      </c>
      <c r="H176" t="s">
        <v>275</v>
      </c>
      <c r="I176" t="s">
        <v>275</v>
      </c>
      <c r="J176" t="s">
        <v>275</v>
      </c>
      <c r="K176" t="s">
        <v>275</v>
      </c>
      <c r="L176" t="s">
        <v>275</v>
      </c>
      <c r="M176" t="s">
        <v>1</v>
      </c>
      <c r="N176" t="s">
        <v>1</v>
      </c>
      <c r="O176" t="s">
        <v>1</v>
      </c>
      <c r="P176" t="s">
        <v>275</v>
      </c>
      <c r="Q176" t="s">
        <v>275</v>
      </c>
      <c r="R176" t="s">
        <v>275</v>
      </c>
      <c r="S176" t="s">
        <v>275</v>
      </c>
      <c r="T176" t="s">
        <v>275</v>
      </c>
      <c r="U176" t="s">
        <v>275</v>
      </c>
      <c r="V176" t="s">
        <v>275</v>
      </c>
      <c r="W176" t="s">
        <v>275</v>
      </c>
      <c r="X176" t="s">
        <v>275</v>
      </c>
      <c r="Y176" t="s">
        <v>275</v>
      </c>
      <c r="Z176" t="s">
        <v>275</v>
      </c>
      <c r="AA176" t="s">
        <v>275</v>
      </c>
      <c r="AB176" t="s">
        <v>275</v>
      </c>
      <c r="AC176" t="s">
        <v>275</v>
      </c>
      <c r="AD176" t="s">
        <v>275</v>
      </c>
    </row>
    <row r="177" spans="1:30">
      <c r="A177">
        <v>175</v>
      </c>
      <c r="B177" t="s">
        <v>494</v>
      </c>
      <c r="C177" t="s">
        <v>495</v>
      </c>
      <c r="D177" t="str">
        <f>IF(VLOOKUP(C177,'Capabilities Overview'!$A$2:$A$587,1)=C177,"","Not in UCL")</f>
        <v>Not in UCL</v>
      </c>
      <c r="E177" t="s">
        <v>1</v>
      </c>
      <c r="F177" t="s">
        <v>275</v>
      </c>
      <c r="G177" t="s">
        <v>275</v>
      </c>
      <c r="H177" t="s">
        <v>275</v>
      </c>
      <c r="I177" t="s">
        <v>275</v>
      </c>
      <c r="J177" t="s">
        <v>275</v>
      </c>
      <c r="K177" t="s">
        <v>275</v>
      </c>
      <c r="L177" t="s">
        <v>275</v>
      </c>
      <c r="M177" t="s">
        <v>1</v>
      </c>
      <c r="N177" t="s">
        <v>1</v>
      </c>
      <c r="O177" t="s">
        <v>1</v>
      </c>
      <c r="P177" t="s">
        <v>275</v>
      </c>
      <c r="Q177" t="s">
        <v>275</v>
      </c>
      <c r="R177" t="s">
        <v>275</v>
      </c>
      <c r="S177" t="s">
        <v>275</v>
      </c>
      <c r="T177" t="s">
        <v>275</v>
      </c>
      <c r="U177" t="s">
        <v>275</v>
      </c>
      <c r="V177" t="s">
        <v>275</v>
      </c>
      <c r="W177" t="s">
        <v>275</v>
      </c>
      <c r="X177" t="s">
        <v>275</v>
      </c>
      <c r="Y177" t="s">
        <v>275</v>
      </c>
      <c r="Z177" t="s">
        <v>275</v>
      </c>
      <c r="AA177" t="s">
        <v>275</v>
      </c>
      <c r="AB177" t="s">
        <v>275</v>
      </c>
      <c r="AC177" t="s">
        <v>275</v>
      </c>
      <c r="AD177" t="s">
        <v>275</v>
      </c>
    </row>
    <row r="178" spans="1:30">
      <c r="A178">
        <v>176</v>
      </c>
      <c r="B178" t="s">
        <v>496</v>
      </c>
      <c r="C178" t="s">
        <v>497</v>
      </c>
      <c r="D178" t="str">
        <f>IF(VLOOKUP(C178,'Capabilities Overview'!$A$2:$A$587,1)=C178,"","Not in UCL")</f>
        <v>Not in UCL</v>
      </c>
      <c r="E178" t="s">
        <v>1</v>
      </c>
      <c r="F178" t="s">
        <v>1</v>
      </c>
      <c r="G178" t="s">
        <v>275</v>
      </c>
      <c r="H178" t="s">
        <v>275</v>
      </c>
      <c r="I178" t="s">
        <v>275</v>
      </c>
      <c r="J178" t="s">
        <v>275</v>
      </c>
      <c r="K178" t="s">
        <v>275</v>
      </c>
      <c r="L178" t="s">
        <v>275</v>
      </c>
      <c r="M178" t="s">
        <v>1</v>
      </c>
      <c r="N178" t="s">
        <v>1</v>
      </c>
      <c r="O178" t="s">
        <v>1</v>
      </c>
      <c r="P178" t="s">
        <v>275</v>
      </c>
      <c r="Q178" t="s">
        <v>275</v>
      </c>
      <c r="R178" t="s">
        <v>275</v>
      </c>
      <c r="S178" t="s">
        <v>275</v>
      </c>
      <c r="T178" t="s">
        <v>275</v>
      </c>
      <c r="U178" t="s">
        <v>275</v>
      </c>
      <c r="V178" t="s">
        <v>275</v>
      </c>
      <c r="W178" t="s">
        <v>275</v>
      </c>
      <c r="X178" t="s">
        <v>275</v>
      </c>
      <c r="Y178" t="s">
        <v>275</v>
      </c>
      <c r="Z178" t="s">
        <v>275</v>
      </c>
      <c r="AA178" t="s">
        <v>275</v>
      </c>
      <c r="AB178" t="s">
        <v>275</v>
      </c>
      <c r="AC178" t="s">
        <v>275</v>
      </c>
      <c r="AD178" t="s">
        <v>275</v>
      </c>
    </row>
    <row r="179" spans="1:30">
      <c r="A179">
        <v>177</v>
      </c>
      <c r="B179" t="s">
        <v>498</v>
      </c>
      <c r="C179" t="s">
        <v>499</v>
      </c>
      <c r="D179" t="str">
        <f>IF(VLOOKUP(C179,'Capabilities Overview'!$A$2:$A$587,1)=C179,"","Not in UCL")</f>
        <v>Not in UCL</v>
      </c>
      <c r="E179" t="s">
        <v>1</v>
      </c>
      <c r="F179" t="s">
        <v>1</v>
      </c>
      <c r="G179" t="s">
        <v>275</v>
      </c>
      <c r="H179" t="s">
        <v>275</v>
      </c>
      <c r="I179" t="s">
        <v>275</v>
      </c>
      <c r="J179" t="s">
        <v>275</v>
      </c>
      <c r="K179" t="s">
        <v>275</v>
      </c>
      <c r="L179" t="s">
        <v>275</v>
      </c>
      <c r="M179" t="s">
        <v>1</v>
      </c>
      <c r="N179" t="s">
        <v>1</v>
      </c>
      <c r="O179" t="s">
        <v>1</v>
      </c>
      <c r="P179" t="s">
        <v>275</v>
      </c>
      <c r="Q179" t="s">
        <v>275</v>
      </c>
      <c r="R179" t="s">
        <v>275</v>
      </c>
      <c r="S179" t="s">
        <v>275</v>
      </c>
      <c r="T179" t="s">
        <v>275</v>
      </c>
      <c r="U179" t="s">
        <v>275</v>
      </c>
      <c r="V179" t="s">
        <v>275</v>
      </c>
      <c r="W179" t="s">
        <v>275</v>
      </c>
      <c r="X179" t="s">
        <v>275</v>
      </c>
      <c r="Y179" t="s">
        <v>275</v>
      </c>
      <c r="Z179" t="s">
        <v>275</v>
      </c>
      <c r="AA179" t="s">
        <v>275</v>
      </c>
      <c r="AB179" t="s">
        <v>275</v>
      </c>
      <c r="AC179" t="s">
        <v>275</v>
      </c>
      <c r="AD179" t="s">
        <v>275</v>
      </c>
    </row>
    <row r="180" spans="1:30">
      <c r="A180">
        <v>178</v>
      </c>
      <c r="B180" t="s">
        <v>500</v>
      </c>
      <c r="C180" t="s">
        <v>501</v>
      </c>
      <c r="D180" t="str">
        <f>IF(VLOOKUP(C180,'Capabilities Overview'!$A$2:$A$587,1)=C180,"","Not in UCL")</f>
        <v>Not in UCL</v>
      </c>
      <c r="E180" t="s">
        <v>1</v>
      </c>
      <c r="F180" t="s">
        <v>1</v>
      </c>
      <c r="G180" t="s">
        <v>275</v>
      </c>
      <c r="H180" t="s">
        <v>275</v>
      </c>
      <c r="I180" t="s">
        <v>275</v>
      </c>
      <c r="J180" t="s">
        <v>275</v>
      </c>
      <c r="K180" t="s">
        <v>275</v>
      </c>
      <c r="L180" t="s">
        <v>275</v>
      </c>
      <c r="M180" t="s">
        <v>1</v>
      </c>
      <c r="N180" t="s">
        <v>1</v>
      </c>
      <c r="O180" t="s">
        <v>1</v>
      </c>
      <c r="P180" t="s">
        <v>275</v>
      </c>
      <c r="Q180" t="s">
        <v>275</v>
      </c>
      <c r="R180" t="s">
        <v>275</v>
      </c>
      <c r="S180" t="s">
        <v>275</v>
      </c>
      <c r="T180" t="s">
        <v>275</v>
      </c>
      <c r="U180" t="s">
        <v>275</v>
      </c>
      <c r="V180" t="s">
        <v>275</v>
      </c>
      <c r="W180" t="s">
        <v>275</v>
      </c>
      <c r="X180" t="s">
        <v>275</v>
      </c>
      <c r="Y180" t="s">
        <v>275</v>
      </c>
      <c r="Z180" t="s">
        <v>275</v>
      </c>
      <c r="AA180" t="s">
        <v>275</v>
      </c>
      <c r="AB180" t="s">
        <v>275</v>
      </c>
      <c r="AC180" t="s">
        <v>275</v>
      </c>
      <c r="AD180" t="s">
        <v>275</v>
      </c>
    </row>
    <row r="181" spans="1:30">
      <c r="A181">
        <v>179</v>
      </c>
      <c r="B181" t="s">
        <v>502</v>
      </c>
      <c r="C181" t="s">
        <v>503</v>
      </c>
      <c r="D181" t="str">
        <f>IF(VLOOKUP(C181,'Capabilities Overview'!$A$2:$A$587,1)=C181,"","Not in UCL")</f>
        <v>Not in UCL</v>
      </c>
      <c r="E181" t="s">
        <v>1</v>
      </c>
      <c r="F181" t="s">
        <v>1</v>
      </c>
      <c r="G181" t="s">
        <v>275</v>
      </c>
      <c r="H181" t="s">
        <v>275</v>
      </c>
      <c r="I181" t="s">
        <v>275</v>
      </c>
      <c r="J181" t="s">
        <v>275</v>
      </c>
      <c r="K181" t="s">
        <v>275</v>
      </c>
      <c r="L181" t="s">
        <v>275</v>
      </c>
      <c r="M181" t="s">
        <v>1</v>
      </c>
      <c r="N181" t="s">
        <v>1</v>
      </c>
      <c r="O181" t="s">
        <v>1</v>
      </c>
      <c r="P181" t="s">
        <v>275</v>
      </c>
      <c r="Q181" t="s">
        <v>275</v>
      </c>
      <c r="R181" t="s">
        <v>275</v>
      </c>
      <c r="S181" t="s">
        <v>275</v>
      </c>
      <c r="T181" t="s">
        <v>275</v>
      </c>
      <c r="U181" t="s">
        <v>275</v>
      </c>
      <c r="V181" t="s">
        <v>275</v>
      </c>
      <c r="W181" t="s">
        <v>275</v>
      </c>
      <c r="X181" t="s">
        <v>275</v>
      </c>
      <c r="Y181" t="s">
        <v>275</v>
      </c>
      <c r="Z181" t="s">
        <v>275</v>
      </c>
      <c r="AA181" t="s">
        <v>275</v>
      </c>
      <c r="AB181" t="s">
        <v>275</v>
      </c>
      <c r="AC181" t="s">
        <v>275</v>
      </c>
      <c r="AD181" t="s">
        <v>275</v>
      </c>
    </row>
    <row r="182" spans="1:30">
      <c r="A182">
        <v>180</v>
      </c>
      <c r="B182" t="s">
        <v>504</v>
      </c>
      <c r="C182" t="s">
        <v>505</v>
      </c>
      <c r="D182" t="str">
        <f>IF(VLOOKUP(C182,'Capabilities Overview'!$A$2:$A$587,1)=C182,"","Not in UCL")</f>
        <v>Not in UCL</v>
      </c>
      <c r="E182" t="s">
        <v>1</v>
      </c>
      <c r="F182" t="s">
        <v>275</v>
      </c>
      <c r="G182" t="s">
        <v>275</v>
      </c>
      <c r="H182" t="s">
        <v>275</v>
      </c>
      <c r="I182" t="s">
        <v>275</v>
      </c>
      <c r="J182" t="s">
        <v>275</v>
      </c>
      <c r="K182" t="s">
        <v>275</v>
      </c>
      <c r="L182" t="s">
        <v>275</v>
      </c>
      <c r="M182" t="s">
        <v>1</v>
      </c>
      <c r="N182" t="s">
        <v>1</v>
      </c>
      <c r="O182" t="s">
        <v>1</v>
      </c>
      <c r="P182" t="s">
        <v>275</v>
      </c>
      <c r="Q182" t="s">
        <v>1</v>
      </c>
      <c r="R182" t="s">
        <v>275</v>
      </c>
      <c r="S182" t="s">
        <v>275</v>
      </c>
      <c r="T182" t="s">
        <v>275</v>
      </c>
      <c r="U182" t="s">
        <v>275</v>
      </c>
      <c r="V182" t="s">
        <v>275</v>
      </c>
      <c r="W182" t="s">
        <v>275</v>
      </c>
      <c r="X182" t="s">
        <v>275</v>
      </c>
      <c r="Y182" t="s">
        <v>275</v>
      </c>
      <c r="Z182" t="s">
        <v>275</v>
      </c>
      <c r="AA182" t="s">
        <v>275</v>
      </c>
      <c r="AB182" t="s">
        <v>275</v>
      </c>
      <c r="AC182" t="s">
        <v>275</v>
      </c>
      <c r="AD182" t="s">
        <v>275</v>
      </c>
    </row>
    <row r="183" spans="1:30">
      <c r="A183">
        <v>181</v>
      </c>
      <c r="B183" t="s">
        <v>506</v>
      </c>
      <c r="C183" t="s">
        <v>507</v>
      </c>
      <c r="D183" t="str">
        <f>IF(VLOOKUP(C183,'Capabilities Overview'!$A$2:$A$587,1)=C183,"","Not in UCL")</f>
        <v>Not in UCL</v>
      </c>
      <c r="E183" t="s">
        <v>1</v>
      </c>
      <c r="F183" t="s">
        <v>275</v>
      </c>
      <c r="G183" t="s">
        <v>275</v>
      </c>
      <c r="H183" t="s">
        <v>275</v>
      </c>
      <c r="I183" t="s">
        <v>275</v>
      </c>
      <c r="J183" t="s">
        <v>275</v>
      </c>
      <c r="K183" t="s">
        <v>275</v>
      </c>
      <c r="L183" t="s">
        <v>275</v>
      </c>
      <c r="M183" t="s">
        <v>1</v>
      </c>
      <c r="N183" t="s">
        <v>1</v>
      </c>
      <c r="O183" t="s">
        <v>1</v>
      </c>
      <c r="P183" t="s">
        <v>275</v>
      </c>
      <c r="Q183" t="s">
        <v>1</v>
      </c>
      <c r="R183" t="s">
        <v>275</v>
      </c>
      <c r="S183" t="s">
        <v>275</v>
      </c>
      <c r="T183" t="s">
        <v>275</v>
      </c>
      <c r="U183" t="s">
        <v>275</v>
      </c>
      <c r="V183" t="s">
        <v>275</v>
      </c>
      <c r="W183" t="s">
        <v>275</v>
      </c>
      <c r="X183" t="s">
        <v>275</v>
      </c>
      <c r="Y183" t="s">
        <v>275</v>
      </c>
      <c r="Z183" t="s">
        <v>275</v>
      </c>
      <c r="AA183" t="s">
        <v>275</v>
      </c>
      <c r="AB183" t="s">
        <v>275</v>
      </c>
      <c r="AC183" t="s">
        <v>275</v>
      </c>
      <c r="AD183" t="s">
        <v>275</v>
      </c>
    </row>
    <row r="184" spans="1:30">
      <c r="A184">
        <v>182</v>
      </c>
      <c r="B184" t="s">
        <v>508</v>
      </c>
      <c r="C184" t="s">
        <v>509</v>
      </c>
      <c r="D184" t="str">
        <f>IF(VLOOKUP(C184,'Capabilities Overview'!$A$2:$A$587,1)=C184,"","Not in UCL")</f>
        <v>Not in UCL</v>
      </c>
      <c r="E184" t="s">
        <v>1</v>
      </c>
      <c r="F184" t="s">
        <v>275</v>
      </c>
      <c r="G184" t="s">
        <v>275</v>
      </c>
      <c r="H184" t="s">
        <v>275</v>
      </c>
      <c r="I184" t="s">
        <v>275</v>
      </c>
      <c r="J184" t="s">
        <v>275</v>
      </c>
      <c r="K184" t="s">
        <v>275</v>
      </c>
      <c r="L184" t="s">
        <v>275</v>
      </c>
      <c r="M184" t="s">
        <v>1</v>
      </c>
      <c r="N184" t="s">
        <v>1</v>
      </c>
      <c r="O184" t="s">
        <v>1</v>
      </c>
      <c r="P184" t="s">
        <v>275</v>
      </c>
      <c r="Q184" t="s">
        <v>1</v>
      </c>
      <c r="R184" t="s">
        <v>275</v>
      </c>
      <c r="S184" t="s">
        <v>275</v>
      </c>
      <c r="T184" t="s">
        <v>275</v>
      </c>
      <c r="U184" t="s">
        <v>275</v>
      </c>
      <c r="V184" t="s">
        <v>275</v>
      </c>
      <c r="W184" t="s">
        <v>275</v>
      </c>
      <c r="X184" t="s">
        <v>275</v>
      </c>
      <c r="Y184" t="s">
        <v>275</v>
      </c>
      <c r="Z184" t="s">
        <v>275</v>
      </c>
      <c r="AA184" t="s">
        <v>275</v>
      </c>
      <c r="AB184" t="s">
        <v>275</v>
      </c>
      <c r="AC184" t="s">
        <v>275</v>
      </c>
      <c r="AD184" t="s">
        <v>275</v>
      </c>
    </row>
    <row r="185" spans="1:30">
      <c r="A185">
        <v>183</v>
      </c>
      <c r="B185" t="s">
        <v>510</v>
      </c>
      <c r="C185" t="s">
        <v>511</v>
      </c>
      <c r="D185" t="str">
        <f>IF(VLOOKUP(C185,'Capabilities Overview'!$A$2:$A$587,1)=C185,"","Not in UCL")</f>
        <v/>
      </c>
      <c r="E185" t="s">
        <v>1</v>
      </c>
      <c r="F185" t="s">
        <v>275</v>
      </c>
      <c r="G185" t="s">
        <v>275</v>
      </c>
      <c r="H185" t="s">
        <v>275</v>
      </c>
      <c r="I185" t="s">
        <v>275</v>
      </c>
      <c r="J185" t="s">
        <v>275</v>
      </c>
      <c r="K185" t="s">
        <v>275</v>
      </c>
      <c r="L185" t="s">
        <v>275</v>
      </c>
      <c r="M185" t="s">
        <v>275</v>
      </c>
      <c r="N185" t="s">
        <v>275</v>
      </c>
      <c r="O185" t="s">
        <v>275</v>
      </c>
      <c r="P185" t="s">
        <v>275</v>
      </c>
      <c r="Q185" t="s">
        <v>275</v>
      </c>
      <c r="R185" t="s">
        <v>275</v>
      </c>
      <c r="S185" t="s">
        <v>275</v>
      </c>
      <c r="T185" t="s">
        <v>275</v>
      </c>
      <c r="U185" t="s">
        <v>275</v>
      </c>
      <c r="V185" t="s">
        <v>275</v>
      </c>
      <c r="W185" t="s">
        <v>10</v>
      </c>
      <c r="X185" t="s">
        <v>275</v>
      </c>
      <c r="Y185" t="s">
        <v>275</v>
      </c>
      <c r="Z185" t="s">
        <v>275</v>
      </c>
      <c r="AA185" t="s">
        <v>275</v>
      </c>
      <c r="AB185" t="s">
        <v>275</v>
      </c>
      <c r="AC185" t="s">
        <v>275</v>
      </c>
      <c r="AD185" t="s">
        <v>275</v>
      </c>
    </row>
    <row r="186" spans="1:30">
      <c r="A186">
        <v>184</v>
      </c>
      <c r="B186" t="s">
        <v>512</v>
      </c>
      <c r="C186" t="s">
        <v>513</v>
      </c>
      <c r="D186" t="str">
        <f>IF(VLOOKUP(C186,'Capabilities Overview'!$A$2:$A$587,1)=C186,"","Not in UCL")</f>
        <v/>
      </c>
      <c r="E186" t="s">
        <v>1</v>
      </c>
      <c r="F186" t="s">
        <v>275</v>
      </c>
      <c r="G186" t="s">
        <v>275</v>
      </c>
      <c r="H186" t="s">
        <v>275</v>
      </c>
      <c r="I186" t="s">
        <v>275</v>
      </c>
      <c r="J186" t="s">
        <v>275</v>
      </c>
      <c r="K186" t="s">
        <v>275</v>
      </c>
      <c r="L186" t="s">
        <v>275</v>
      </c>
      <c r="M186" t="s">
        <v>1</v>
      </c>
      <c r="N186" t="s">
        <v>1</v>
      </c>
      <c r="O186" t="s">
        <v>1</v>
      </c>
      <c r="P186" t="s">
        <v>275</v>
      </c>
      <c r="Q186" t="s">
        <v>1</v>
      </c>
      <c r="R186" t="s">
        <v>275</v>
      </c>
      <c r="S186" t="s">
        <v>275</v>
      </c>
      <c r="T186" t="s">
        <v>275</v>
      </c>
      <c r="U186" t="s">
        <v>275</v>
      </c>
      <c r="V186" t="s">
        <v>275</v>
      </c>
      <c r="W186" t="s">
        <v>10</v>
      </c>
      <c r="X186" t="s">
        <v>275</v>
      </c>
      <c r="Y186" t="s">
        <v>275</v>
      </c>
      <c r="Z186" t="s">
        <v>275</v>
      </c>
      <c r="AA186" t="s">
        <v>275</v>
      </c>
      <c r="AB186" t="s">
        <v>275</v>
      </c>
      <c r="AC186" t="s">
        <v>275</v>
      </c>
      <c r="AD186" t="s">
        <v>275</v>
      </c>
    </row>
    <row r="187" spans="1:30">
      <c r="A187">
        <v>185</v>
      </c>
      <c r="B187" t="s">
        <v>514</v>
      </c>
      <c r="C187" t="s">
        <v>515</v>
      </c>
      <c r="D187" t="str">
        <f>IF(VLOOKUP(C187,'Capabilities Overview'!$A$2:$A$587,1)=C187,"","Not in UCL")</f>
        <v/>
      </c>
      <c r="E187" t="s">
        <v>1</v>
      </c>
      <c r="F187" t="s">
        <v>1</v>
      </c>
      <c r="G187" t="s">
        <v>275</v>
      </c>
      <c r="H187" t="s">
        <v>275</v>
      </c>
      <c r="I187" t="s">
        <v>275</v>
      </c>
      <c r="J187" t="s">
        <v>275</v>
      </c>
      <c r="K187" t="s">
        <v>275</v>
      </c>
      <c r="L187" t="s">
        <v>275</v>
      </c>
      <c r="M187" t="s">
        <v>275</v>
      </c>
      <c r="N187" t="s">
        <v>275</v>
      </c>
      <c r="O187" t="s">
        <v>275</v>
      </c>
      <c r="P187" t="s">
        <v>275</v>
      </c>
      <c r="Q187" t="s">
        <v>275</v>
      </c>
      <c r="R187" t="s">
        <v>275</v>
      </c>
      <c r="S187" t="s">
        <v>275</v>
      </c>
      <c r="T187" t="s">
        <v>275</v>
      </c>
      <c r="U187" t="s">
        <v>275</v>
      </c>
      <c r="V187" t="s">
        <v>275</v>
      </c>
      <c r="W187" t="s">
        <v>10</v>
      </c>
      <c r="X187" t="s">
        <v>275</v>
      </c>
      <c r="Y187" t="s">
        <v>275</v>
      </c>
      <c r="Z187" t="s">
        <v>275</v>
      </c>
      <c r="AA187" t="s">
        <v>275</v>
      </c>
      <c r="AB187" t="s">
        <v>275</v>
      </c>
      <c r="AC187" t="s">
        <v>275</v>
      </c>
      <c r="AD187" t="s">
        <v>275</v>
      </c>
    </row>
    <row r="188" spans="1:30">
      <c r="A188">
        <v>186</v>
      </c>
      <c r="B188" t="s">
        <v>516</v>
      </c>
      <c r="C188" t="s">
        <v>517</v>
      </c>
      <c r="D188" t="str">
        <f>IF(VLOOKUP(C188,'Capabilities Overview'!$A$2:$A$587,1)=C188,"","Not in UCL")</f>
        <v/>
      </c>
      <c r="E188" t="s">
        <v>1</v>
      </c>
      <c r="F188" t="s">
        <v>1</v>
      </c>
      <c r="G188" t="s">
        <v>275</v>
      </c>
      <c r="H188" t="s">
        <v>275</v>
      </c>
      <c r="I188" t="s">
        <v>275</v>
      </c>
      <c r="J188" t="s">
        <v>275</v>
      </c>
      <c r="K188" t="s">
        <v>275</v>
      </c>
      <c r="L188" t="s">
        <v>275</v>
      </c>
      <c r="M188" t="s">
        <v>1</v>
      </c>
      <c r="N188" t="s">
        <v>1</v>
      </c>
      <c r="O188" t="s">
        <v>1</v>
      </c>
      <c r="P188" t="s">
        <v>275</v>
      </c>
      <c r="Q188" t="s">
        <v>1</v>
      </c>
      <c r="R188" t="s">
        <v>275</v>
      </c>
      <c r="S188" t="s">
        <v>275</v>
      </c>
      <c r="T188" t="s">
        <v>275</v>
      </c>
      <c r="U188" t="s">
        <v>275</v>
      </c>
      <c r="V188" t="s">
        <v>275</v>
      </c>
      <c r="W188" t="s">
        <v>10</v>
      </c>
      <c r="X188" t="s">
        <v>275</v>
      </c>
      <c r="Y188" t="s">
        <v>275</v>
      </c>
      <c r="Z188" t="s">
        <v>275</v>
      </c>
      <c r="AA188" t="s">
        <v>275</v>
      </c>
      <c r="AB188" t="s">
        <v>275</v>
      </c>
      <c r="AC188" t="s">
        <v>275</v>
      </c>
      <c r="AD188" t="s">
        <v>275</v>
      </c>
    </row>
    <row r="189" spans="1:30">
      <c r="A189">
        <v>187</v>
      </c>
      <c r="B189" t="s">
        <v>518</v>
      </c>
      <c r="C189" t="s">
        <v>519</v>
      </c>
      <c r="D189" t="str">
        <f>IF(VLOOKUP(C189,'Capabilities Overview'!$A$2:$A$587,1)=C189,"","Not in UCL")</f>
        <v/>
      </c>
      <c r="E189" t="s">
        <v>1</v>
      </c>
      <c r="F189" t="s">
        <v>1</v>
      </c>
      <c r="G189" t="s">
        <v>275</v>
      </c>
      <c r="H189" t="s">
        <v>275</v>
      </c>
      <c r="I189" t="s">
        <v>275</v>
      </c>
      <c r="J189" t="s">
        <v>275</v>
      </c>
      <c r="K189" t="s">
        <v>275</v>
      </c>
      <c r="L189" t="s">
        <v>275</v>
      </c>
      <c r="M189" t="s">
        <v>275</v>
      </c>
      <c r="N189" t="s">
        <v>275</v>
      </c>
      <c r="O189" t="s">
        <v>275</v>
      </c>
      <c r="P189" t="s">
        <v>275</v>
      </c>
      <c r="Q189" t="s">
        <v>275</v>
      </c>
      <c r="R189" t="s">
        <v>275</v>
      </c>
      <c r="S189" t="s">
        <v>275</v>
      </c>
      <c r="T189" t="s">
        <v>275</v>
      </c>
      <c r="U189" t="s">
        <v>275</v>
      </c>
      <c r="V189" t="s">
        <v>275</v>
      </c>
      <c r="W189" t="s">
        <v>10</v>
      </c>
      <c r="X189" t="s">
        <v>275</v>
      </c>
      <c r="Y189" t="s">
        <v>275</v>
      </c>
      <c r="Z189" t="s">
        <v>275</v>
      </c>
      <c r="AA189" t="s">
        <v>275</v>
      </c>
      <c r="AB189" t="s">
        <v>275</v>
      </c>
      <c r="AC189" t="s">
        <v>275</v>
      </c>
      <c r="AD189" t="s">
        <v>275</v>
      </c>
    </row>
    <row r="190" spans="1:30">
      <c r="A190">
        <v>188</v>
      </c>
      <c r="B190" t="s">
        <v>520</v>
      </c>
      <c r="C190" t="s">
        <v>521</v>
      </c>
      <c r="D190" t="str">
        <f>IF(VLOOKUP(C190,'Capabilities Overview'!$A$2:$A$587,1)=C190,"","Not in UCL")</f>
        <v/>
      </c>
      <c r="E190" t="s">
        <v>1</v>
      </c>
      <c r="F190" t="s">
        <v>1</v>
      </c>
      <c r="G190" t="s">
        <v>275</v>
      </c>
      <c r="H190" t="s">
        <v>275</v>
      </c>
      <c r="I190" t="s">
        <v>1</v>
      </c>
      <c r="J190" t="s">
        <v>275</v>
      </c>
      <c r="K190" t="s">
        <v>275</v>
      </c>
      <c r="L190" t="s">
        <v>275</v>
      </c>
      <c r="M190" t="s">
        <v>1</v>
      </c>
      <c r="N190" t="s">
        <v>1</v>
      </c>
      <c r="O190" t="s">
        <v>1</v>
      </c>
      <c r="P190" t="s">
        <v>275</v>
      </c>
      <c r="Q190" t="s">
        <v>1</v>
      </c>
      <c r="R190" t="s">
        <v>275</v>
      </c>
      <c r="S190" t="s">
        <v>275</v>
      </c>
      <c r="T190" t="s">
        <v>275</v>
      </c>
      <c r="U190" t="s">
        <v>275</v>
      </c>
      <c r="V190" t="s">
        <v>275</v>
      </c>
      <c r="W190" t="s">
        <v>10</v>
      </c>
      <c r="X190" t="s">
        <v>275</v>
      </c>
      <c r="Y190" t="s">
        <v>275</v>
      </c>
      <c r="Z190" t="s">
        <v>275</v>
      </c>
      <c r="AA190" t="s">
        <v>275</v>
      </c>
      <c r="AB190" t="s">
        <v>275</v>
      </c>
      <c r="AC190" t="s">
        <v>275</v>
      </c>
      <c r="AD190" t="s">
        <v>275</v>
      </c>
    </row>
    <row r="191" spans="1:30">
      <c r="A191">
        <v>189</v>
      </c>
      <c r="B191" t="s">
        <v>522</v>
      </c>
      <c r="C191" t="s">
        <v>523</v>
      </c>
      <c r="D191" t="str">
        <f>IF(VLOOKUP(C191,'Capabilities Overview'!$A$2:$A$587,1)=C191,"","Not in UCL")</f>
        <v/>
      </c>
      <c r="E191" t="s">
        <v>1</v>
      </c>
      <c r="F191" t="s">
        <v>1</v>
      </c>
      <c r="G191" t="s">
        <v>275</v>
      </c>
      <c r="H191" t="s">
        <v>275</v>
      </c>
      <c r="I191" t="s">
        <v>275</v>
      </c>
      <c r="J191" t="s">
        <v>275</v>
      </c>
      <c r="K191" t="s">
        <v>275</v>
      </c>
      <c r="L191" t="s">
        <v>275</v>
      </c>
      <c r="M191" t="s">
        <v>275</v>
      </c>
      <c r="N191" t="s">
        <v>275</v>
      </c>
      <c r="O191" t="s">
        <v>275</v>
      </c>
      <c r="P191" t="s">
        <v>275</v>
      </c>
      <c r="Q191" t="s">
        <v>275</v>
      </c>
      <c r="R191" t="s">
        <v>275</v>
      </c>
      <c r="S191" t="s">
        <v>275</v>
      </c>
      <c r="T191" t="s">
        <v>275</v>
      </c>
      <c r="U191" t="s">
        <v>275</v>
      </c>
      <c r="V191" t="s">
        <v>275</v>
      </c>
      <c r="W191" t="s">
        <v>10</v>
      </c>
      <c r="X191" t="s">
        <v>275</v>
      </c>
      <c r="Y191" t="s">
        <v>275</v>
      </c>
      <c r="Z191" t="s">
        <v>275</v>
      </c>
      <c r="AA191" t="s">
        <v>275</v>
      </c>
      <c r="AB191" t="s">
        <v>275</v>
      </c>
      <c r="AC191" t="s">
        <v>275</v>
      </c>
      <c r="AD191" t="s">
        <v>275</v>
      </c>
    </row>
    <row r="192" spans="1:30">
      <c r="A192">
        <v>190</v>
      </c>
      <c r="B192" t="s">
        <v>524</v>
      </c>
      <c r="C192" t="s">
        <v>525</v>
      </c>
      <c r="D192" t="str">
        <f>IF(VLOOKUP(C192,'Capabilities Overview'!$A$2:$A$587,1)=C192,"","Not in UCL")</f>
        <v/>
      </c>
      <c r="E192" t="s">
        <v>1</v>
      </c>
      <c r="F192" t="s">
        <v>1</v>
      </c>
      <c r="G192" t="s">
        <v>275</v>
      </c>
      <c r="H192" t="s">
        <v>275</v>
      </c>
      <c r="I192" t="s">
        <v>275</v>
      </c>
      <c r="J192" t="s">
        <v>275</v>
      </c>
      <c r="K192" t="s">
        <v>275</v>
      </c>
      <c r="L192" t="s">
        <v>275</v>
      </c>
      <c r="M192" t="s">
        <v>1</v>
      </c>
      <c r="N192" t="s">
        <v>1</v>
      </c>
      <c r="O192" t="s">
        <v>1</v>
      </c>
      <c r="P192" t="s">
        <v>275</v>
      </c>
      <c r="Q192" t="s">
        <v>1</v>
      </c>
      <c r="R192" t="s">
        <v>275</v>
      </c>
      <c r="S192" t="s">
        <v>275</v>
      </c>
      <c r="T192" t="s">
        <v>275</v>
      </c>
      <c r="U192" t="s">
        <v>275</v>
      </c>
      <c r="V192" t="s">
        <v>275</v>
      </c>
      <c r="W192" t="s">
        <v>10</v>
      </c>
      <c r="X192" t="s">
        <v>275</v>
      </c>
      <c r="Y192" t="s">
        <v>275</v>
      </c>
      <c r="Z192" t="s">
        <v>275</v>
      </c>
      <c r="AA192" t="s">
        <v>275</v>
      </c>
      <c r="AB192" t="s">
        <v>275</v>
      </c>
      <c r="AC192" t="s">
        <v>275</v>
      </c>
      <c r="AD192" t="s">
        <v>275</v>
      </c>
    </row>
    <row r="193" spans="1:30">
      <c r="A193">
        <v>191</v>
      </c>
      <c r="B193" t="s">
        <v>526</v>
      </c>
      <c r="C193" t="s">
        <v>527</v>
      </c>
      <c r="D193" t="str">
        <f>IF(VLOOKUP(C193,'Capabilities Overview'!$A$2:$A$587,1)=C193,"","Not in UCL")</f>
        <v/>
      </c>
      <c r="E193" t="s">
        <v>1</v>
      </c>
      <c r="F193" t="s">
        <v>1</v>
      </c>
      <c r="G193" t="s">
        <v>275</v>
      </c>
      <c r="H193" t="s">
        <v>275</v>
      </c>
      <c r="I193" t="s">
        <v>275</v>
      </c>
      <c r="J193" t="s">
        <v>275</v>
      </c>
      <c r="K193" t="s">
        <v>275</v>
      </c>
      <c r="L193" t="s">
        <v>275</v>
      </c>
      <c r="M193" t="s">
        <v>1</v>
      </c>
      <c r="N193" t="s">
        <v>1</v>
      </c>
      <c r="O193" t="s">
        <v>1</v>
      </c>
      <c r="P193" t="s">
        <v>275</v>
      </c>
      <c r="Q193" t="s">
        <v>275</v>
      </c>
      <c r="R193" t="s">
        <v>275</v>
      </c>
      <c r="S193" t="s">
        <v>275</v>
      </c>
      <c r="T193" t="s">
        <v>275</v>
      </c>
      <c r="U193" t="s">
        <v>275</v>
      </c>
      <c r="V193" t="s">
        <v>275</v>
      </c>
      <c r="W193" t="s">
        <v>10</v>
      </c>
      <c r="X193" t="s">
        <v>275</v>
      </c>
      <c r="Y193" t="s">
        <v>275</v>
      </c>
      <c r="Z193" t="s">
        <v>275</v>
      </c>
      <c r="AA193" t="s">
        <v>275</v>
      </c>
      <c r="AB193" t="s">
        <v>275</v>
      </c>
      <c r="AC193" t="s">
        <v>275</v>
      </c>
      <c r="AD193" t="s">
        <v>275</v>
      </c>
    </row>
    <row r="194" spans="1:30">
      <c r="A194">
        <v>192</v>
      </c>
      <c r="B194" t="s">
        <v>528</v>
      </c>
      <c r="C194" t="s">
        <v>529</v>
      </c>
      <c r="D194" t="str">
        <f>IF(VLOOKUP(C194,'Capabilities Overview'!$A$2:$A$587,1)=C194,"","Not in UCL")</f>
        <v/>
      </c>
      <c r="E194" t="s">
        <v>1</v>
      </c>
      <c r="F194" t="s">
        <v>1</v>
      </c>
      <c r="G194" t="s">
        <v>275</v>
      </c>
      <c r="H194" t="s">
        <v>275</v>
      </c>
      <c r="I194" t="s">
        <v>275</v>
      </c>
      <c r="J194" t="s">
        <v>275</v>
      </c>
      <c r="K194" t="s">
        <v>275</v>
      </c>
      <c r="L194" t="s">
        <v>275</v>
      </c>
      <c r="M194" t="s">
        <v>275</v>
      </c>
      <c r="N194" t="s">
        <v>275</v>
      </c>
      <c r="O194" t="s">
        <v>275</v>
      </c>
      <c r="P194" t="s">
        <v>275</v>
      </c>
      <c r="Q194" t="s">
        <v>275</v>
      </c>
      <c r="R194" t="s">
        <v>275</v>
      </c>
      <c r="S194" t="s">
        <v>275</v>
      </c>
      <c r="T194" t="s">
        <v>275</v>
      </c>
      <c r="U194" t="s">
        <v>275</v>
      </c>
      <c r="V194" t="s">
        <v>275</v>
      </c>
      <c r="W194" t="s">
        <v>10</v>
      </c>
      <c r="X194" t="s">
        <v>275</v>
      </c>
      <c r="Y194" t="s">
        <v>275</v>
      </c>
      <c r="Z194" t="s">
        <v>275</v>
      </c>
      <c r="AA194" t="s">
        <v>275</v>
      </c>
      <c r="AB194" t="s">
        <v>275</v>
      </c>
      <c r="AC194" t="s">
        <v>275</v>
      </c>
      <c r="AD194" t="s">
        <v>275</v>
      </c>
    </row>
    <row r="195" spans="1:30">
      <c r="A195">
        <v>193</v>
      </c>
      <c r="B195" t="s">
        <v>530</v>
      </c>
      <c r="C195" t="s">
        <v>531</v>
      </c>
      <c r="D195" t="str">
        <f>IF(VLOOKUP(C195,'Capabilities Overview'!$A$2:$A$587,1)=C195,"","Not in UCL")</f>
        <v/>
      </c>
      <c r="E195" t="s">
        <v>1</v>
      </c>
      <c r="F195" t="s">
        <v>1</v>
      </c>
      <c r="G195" t="s">
        <v>275</v>
      </c>
      <c r="H195" t="s">
        <v>275</v>
      </c>
      <c r="I195" t="s">
        <v>275</v>
      </c>
      <c r="J195" t="s">
        <v>275</v>
      </c>
      <c r="K195" t="s">
        <v>275</v>
      </c>
      <c r="L195" t="s">
        <v>275</v>
      </c>
      <c r="M195" t="s">
        <v>1</v>
      </c>
      <c r="N195" t="s">
        <v>1</v>
      </c>
      <c r="O195" t="s">
        <v>1</v>
      </c>
      <c r="P195" t="s">
        <v>275</v>
      </c>
      <c r="Q195" t="s">
        <v>275</v>
      </c>
      <c r="R195" t="s">
        <v>275</v>
      </c>
      <c r="S195" t="s">
        <v>275</v>
      </c>
      <c r="T195" t="s">
        <v>275</v>
      </c>
      <c r="U195" t="s">
        <v>275</v>
      </c>
      <c r="V195" t="s">
        <v>275</v>
      </c>
      <c r="W195" t="s">
        <v>10</v>
      </c>
      <c r="X195" t="s">
        <v>275</v>
      </c>
      <c r="Y195" t="s">
        <v>275</v>
      </c>
      <c r="Z195" t="s">
        <v>275</v>
      </c>
      <c r="AA195" t="s">
        <v>275</v>
      </c>
      <c r="AB195" t="s">
        <v>275</v>
      </c>
      <c r="AC195" t="s">
        <v>275</v>
      </c>
      <c r="AD195" t="s">
        <v>275</v>
      </c>
    </row>
    <row r="196" spans="1:30">
      <c r="A196">
        <v>194</v>
      </c>
      <c r="B196" t="s">
        <v>532</v>
      </c>
      <c r="C196" t="s">
        <v>533</v>
      </c>
      <c r="D196" t="str">
        <f>IF(VLOOKUP(C196,'Capabilities Overview'!$A$2:$A$587,1)=C196,"","Not in UCL")</f>
        <v/>
      </c>
      <c r="E196" t="s">
        <v>1</v>
      </c>
      <c r="F196" t="s">
        <v>1</v>
      </c>
      <c r="G196" t="s">
        <v>275</v>
      </c>
      <c r="H196" t="s">
        <v>275</v>
      </c>
      <c r="I196" t="s">
        <v>1</v>
      </c>
      <c r="J196" t="s">
        <v>275</v>
      </c>
      <c r="K196" t="s">
        <v>275</v>
      </c>
      <c r="L196" t="s">
        <v>275</v>
      </c>
      <c r="M196" t="s">
        <v>1</v>
      </c>
      <c r="N196" t="s">
        <v>1</v>
      </c>
      <c r="O196" t="s">
        <v>1</v>
      </c>
      <c r="P196" t="s">
        <v>275</v>
      </c>
      <c r="Q196" t="s">
        <v>1</v>
      </c>
      <c r="R196" t="s">
        <v>275</v>
      </c>
      <c r="S196" t="s">
        <v>275</v>
      </c>
      <c r="T196" t="s">
        <v>275</v>
      </c>
      <c r="U196" t="s">
        <v>275</v>
      </c>
      <c r="V196" t="s">
        <v>275</v>
      </c>
      <c r="W196" t="s">
        <v>275</v>
      </c>
      <c r="X196" t="s">
        <v>275</v>
      </c>
      <c r="Y196" t="s">
        <v>275</v>
      </c>
      <c r="Z196" t="s">
        <v>275</v>
      </c>
      <c r="AA196" t="s">
        <v>275</v>
      </c>
      <c r="AB196" t="s">
        <v>275</v>
      </c>
      <c r="AC196" t="s">
        <v>275</v>
      </c>
      <c r="AD196" t="s">
        <v>275</v>
      </c>
    </row>
    <row r="197" spans="1:30">
      <c r="A197">
        <v>195</v>
      </c>
      <c r="B197" t="s">
        <v>534</v>
      </c>
      <c r="C197" t="s">
        <v>535</v>
      </c>
      <c r="D197" t="str">
        <f>IF(VLOOKUP(C197,'Capabilities Overview'!$A$2:$A$587,1)=C197,"","Not in UCL")</f>
        <v/>
      </c>
      <c r="E197" t="s">
        <v>1</v>
      </c>
      <c r="F197" t="s">
        <v>1</v>
      </c>
      <c r="G197" t="s">
        <v>275</v>
      </c>
      <c r="H197" t="s">
        <v>275</v>
      </c>
      <c r="I197" t="s">
        <v>275</v>
      </c>
      <c r="J197" t="s">
        <v>275</v>
      </c>
      <c r="K197" t="s">
        <v>275</v>
      </c>
      <c r="L197" t="s">
        <v>275</v>
      </c>
      <c r="M197" t="s">
        <v>1</v>
      </c>
      <c r="N197" t="s">
        <v>1</v>
      </c>
      <c r="O197" t="s">
        <v>1</v>
      </c>
      <c r="P197" t="s">
        <v>275</v>
      </c>
      <c r="Q197" t="s">
        <v>1</v>
      </c>
      <c r="R197" t="s">
        <v>275</v>
      </c>
      <c r="S197" t="s">
        <v>275</v>
      </c>
      <c r="T197" t="s">
        <v>275</v>
      </c>
      <c r="U197" t="s">
        <v>275</v>
      </c>
      <c r="V197" t="s">
        <v>275</v>
      </c>
      <c r="W197" t="s">
        <v>275</v>
      </c>
      <c r="X197" t="s">
        <v>275</v>
      </c>
      <c r="Y197" t="s">
        <v>275</v>
      </c>
      <c r="Z197" t="s">
        <v>275</v>
      </c>
      <c r="AA197" t="s">
        <v>275</v>
      </c>
      <c r="AB197" t="s">
        <v>275</v>
      </c>
      <c r="AC197" t="s">
        <v>275</v>
      </c>
      <c r="AD197" t="s">
        <v>275</v>
      </c>
    </row>
    <row r="198" spans="1:30">
      <c r="A198">
        <v>196</v>
      </c>
      <c r="B198" t="s">
        <v>536</v>
      </c>
      <c r="C198" t="s">
        <v>537</v>
      </c>
      <c r="D198" t="str">
        <f>IF(VLOOKUP(C198,'Capabilities Overview'!$A$2:$A$587,1)=C198,"","Not in UCL")</f>
        <v/>
      </c>
      <c r="E198" t="s">
        <v>1</v>
      </c>
      <c r="F198" t="s">
        <v>1</v>
      </c>
      <c r="G198" t="s">
        <v>275</v>
      </c>
      <c r="H198" t="s">
        <v>275</v>
      </c>
      <c r="I198" t="s">
        <v>1</v>
      </c>
      <c r="J198" t="s">
        <v>275</v>
      </c>
      <c r="K198" t="s">
        <v>275</v>
      </c>
      <c r="L198" t="s">
        <v>275</v>
      </c>
      <c r="M198" t="s">
        <v>1</v>
      </c>
      <c r="N198" t="s">
        <v>1</v>
      </c>
      <c r="O198" t="s">
        <v>275</v>
      </c>
      <c r="P198" t="s">
        <v>275</v>
      </c>
      <c r="Q198" t="s">
        <v>275</v>
      </c>
      <c r="R198" t="s">
        <v>1</v>
      </c>
      <c r="S198" t="s">
        <v>275</v>
      </c>
      <c r="T198" t="s">
        <v>275</v>
      </c>
      <c r="U198" t="s">
        <v>275</v>
      </c>
      <c r="V198" t="s">
        <v>275</v>
      </c>
      <c r="W198" t="s">
        <v>275</v>
      </c>
      <c r="X198" t="s">
        <v>275</v>
      </c>
      <c r="Y198" t="s">
        <v>275</v>
      </c>
      <c r="Z198" t="s">
        <v>275</v>
      </c>
      <c r="AA198" t="s">
        <v>275</v>
      </c>
      <c r="AB198" t="s">
        <v>275</v>
      </c>
      <c r="AC198" t="s">
        <v>275</v>
      </c>
      <c r="AD198" t="s">
        <v>275</v>
      </c>
    </row>
    <row r="199" spans="1:30">
      <c r="A199">
        <v>197</v>
      </c>
      <c r="B199" t="s">
        <v>538</v>
      </c>
      <c r="C199" t="s">
        <v>539</v>
      </c>
      <c r="D199" t="str">
        <f>IF(VLOOKUP(C199,'Capabilities Overview'!$A$2:$A$587,1)=C199,"","Not in UCL")</f>
        <v/>
      </c>
      <c r="E199" t="s">
        <v>1</v>
      </c>
      <c r="F199" t="s">
        <v>1</v>
      </c>
      <c r="G199" t="s">
        <v>275</v>
      </c>
      <c r="H199" t="s">
        <v>275</v>
      </c>
      <c r="I199" t="s">
        <v>1</v>
      </c>
      <c r="J199" t="s">
        <v>275</v>
      </c>
      <c r="K199" t="s">
        <v>275</v>
      </c>
      <c r="L199" t="s">
        <v>275</v>
      </c>
      <c r="M199" t="s">
        <v>1</v>
      </c>
      <c r="N199" t="s">
        <v>1</v>
      </c>
      <c r="O199" t="s">
        <v>1</v>
      </c>
      <c r="P199" t="s">
        <v>275</v>
      </c>
      <c r="Q199" t="s">
        <v>1</v>
      </c>
      <c r="R199" t="s">
        <v>1</v>
      </c>
      <c r="S199" t="s">
        <v>275</v>
      </c>
      <c r="T199" t="s">
        <v>275</v>
      </c>
      <c r="U199" t="s">
        <v>275</v>
      </c>
      <c r="V199" t="s">
        <v>275</v>
      </c>
      <c r="W199" t="s">
        <v>275</v>
      </c>
      <c r="X199" t="s">
        <v>275</v>
      </c>
      <c r="Y199" t="s">
        <v>275</v>
      </c>
      <c r="Z199" t="s">
        <v>275</v>
      </c>
      <c r="AA199" t="s">
        <v>275</v>
      </c>
      <c r="AB199" t="s">
        <v>275</v>
      </c>
      <c r="AC199" t="s">
        <v>275</v>
      </c>
      <c r="AD199" t="s">
        <v>275</v>
      </c>
    </row>
    <row r="200" spans="1:30">
      <c r="A200">
        <v>198</v>
      </c>
      <c r="B200" t="s">
        <v>540</v>
      </c>
      <c r="C200" t="s">
        <v>541</v>
      </c>
      <c r="D200" t="str">
        <f>IF(VLOOKUP(C200,'Capabilities Overview'!$A$2:$A$587,1)=C200,"","Not in UCL")</f>
        <v>Not in UCL</v>
      </c>
      <c r="E200" t="s">
        <v>1</v>
      </c>
      <c r="F200" t="s">
        <v>1</v>
      </c>
      <c r="G200" t="s">
        <v>275</v>
      </c>
      <c r="H200" t="s">
        <v>275</v>
      </c>
      <c r="I200" t="s">
        <v>1</v>
      </c>
      <c r="J200" t="s">
        <v>1</v>
      </c>
      <c r="K200" t="s">
        <v>1</v>
      </c>
      <c r="L200" t="s">
        <v>275</v>
      </c>
      <c r="M200" t="s">
        <v>1</v>
      </c>
      <c r="N200" t="s">
        <v>1</v>
      </c>
      <c r="O200" t="s">
        <v>1</v>
      </c>
      <c r="P200" t="s">
        <v>275</v>
      </c>
      <c r="Q200" t="s">
        <v>275</v>
      </c>
      <c r="R200" t="s">
        <v>275</v>
      </c>
      <c r="S200" t="s">
        <v>275</v>
      </c>
      <c r="T200" t="s">
        <v>275</v>
      </c>
      <c r="U200" t="s">
        <v>275</v>
      </c>
      <c r="V200" t="s">
        <v>275</v>
      </c>
      <c r="W200" t="s">
        <v>10</v>
      </c>
      <c r="X200" t="s">
        <v>275</v>
      </c>
      <c r="Y200" t="s">
        <v>275</v>
      </c>
      <c r="Z200" t="s">
        <v>275</v>
      </c>
      <c r="AA200" t="s">
        <v>275</v>
      </c>
      <c r="AB200" t="s">
        <v>275</v>
      </c>
      <c r="AC200" t="s">
        <v>275</v>
      </c>
      <c r="AD200" t="s">
        <v>275</v>
      </c>
    </row>
    <row r="201" spans="1:30">
      <c r="A201">
        <v>199</v>
      </c>
      <c r="B201" t="s">
        <v>542</v>
      </c>
      <c r="C201" t="s">
        <v>543</v>
      </c>
      <c r="D201" t="str">
        <f>IF(VLOOKUP(C201,'Capabilities Overview'!$A$2:$A$587,1)=C201,"","Not in UCL")</f>
        <v>Not in UCL</v>
      </c>
      <c r="E201" t="s">
        <v>1</v>
      </c>
      <c r="F201" t="s">
        <v>275</v>
      </c>
      <c r="G201" t="s">
        <v>275</v>
      </c>
      <c r="H201" t="s">
        <v>275</v>
      </c>
      <c r="I201" t="s">
        <v>275</v>
      </c>
      <c r="J201" t="s">
        <v>275</v>
      </c>
      <c r="K201" t="s">
        <v>275</v>
      </c>
      <c r="L201" t="s">
        <v>275</v>
      </c>
      <c r="M201" t="s">
        <v>1</v>
      </c>
      <c r="N201" t="s">
        <v>1</v>
      </c>
      <c r="O201" t="s">
        <v>1</v>
      </c>
      <c r="P201" t="s">
        <v>275</v>
      </c>
      <c r="Q201" t="s">
        <v>275</v>
      </c>
      <c r="R201" t="s">
        <v>275</v>
      </c>
      <c r="S201" t="s">
        <v>275</v>
      </c>
      <c r="T201" t="s">
        <v>275</v>
      </c>
      <c r="U201" t="s">
        <v>275</v>
      </c>
      <c r="V201" t="s">
        <v>275</v>
      </c>
      <c r="W201" t="s">
        <v>275</v>
      </c>
      <c r="X201" t="s">
        <v>275</v>
      </c>
      <c r="Y201" t="s">
        <v>275</v>
      </c>
      <c r="Z201" t="s">
        <v>275</v>
      </c>
      <c r="AA201" t="s">
        <v>275</v>
      </c>
      <c r="AB201" t="s">
        <v>275</v>
      </c>
      <c r="AC201" t="s">
        <v>275</v>
      </c>
      <c r="AD201" t="s">
        <v>275</v>
      </c>
    </row>
    <row r="202" spans="1:30">
      <c r="A202">
        <v>200</v>
      </c>
      <c r="B202" t="s">
        <v>544</v>
      </c>
      <c r="C202" t="s">
        <v>545</v>
      </c>
      <c r="D202" t="str">
        <f>IF(VLOOKUP(C202,'Capabilities Overview'!$A$2:$A$587,1)=C202,"","Not in UCL")</f>
        <v>Not in UCL</v>
      </c>
      <c r="E202" t="s">
        <v>1</v>
      </c>
      <c r="F202" t="s">
        <v>275</v>
      </c>
      <c r="G202" t="s">
        <v>275</v>
      </c>
      <c r="H202" t="s">
        <v>275</v>
      </c>
      <c r="I202" t="s">
        <v>275</v>
      </c>
      <c r="J202" t="s">
        <v>275</v>
      </c>
      <c r="K202" t="s">
        <v>275</v>
      </c>
      <c r="L202" t="s">
        <v>275</v>
      </c>
      <c r="M202" t="s">
        <v>1</v>
      </c>
      <c r="N202" t="s">
        <v>1</v>
      </c>
      <c r="O202" t="s">
        <v>1</v>
      </c>
      <c r="P202" t="s">
        <v>275</v>
      </c>
      <c r="Q202" t="s">
        <v>275</v>
      </c>
      <c r="R202" t="s">
        <v>275</v>
      </c>
      <c r="S202" t="s">
        <v>275</v>
      </c>
      <c r="T202" t="s">
        <v>275</v>
      </c>
      <c r="U202" t="s">
        <v>275</v>
      </c>
      <c r="V202" t="s">
        <v>275</v>
      </c>
      <c r="W202" t="s">
        <v>275</v>
      </c>
      <c r="X202" t="s">
        <v>275</v>
      </c>
      <c r="Y202" t="s">
        <v>275</v>
      </c>
      <c r="Z202" t="s">
        <v>275</v>
      </c>
      <c r="AA202" t="s">
        <v>275</v>
      </c>
      <c r="AB202" t="s">
        <v>275</v>
      </c>
      <c r="AC202" t="s">
        <v>275</v>
      </c>
      <c r="AD202" t="s">
        <v>275</v>
      </c>
    </row>
    <row r="203" spans="1:30">
      <c r="A203">
        <v>201</v>
      </c>
      <c r="B203" t="s">
        <v>546</v>
      </c>
      <c r="C203" t="s">
        <v>547</v>
      </c>
      <c r="D203" t="str">
        <f>IF(VLOOKUP(C203,'Capabilities Overview'!$A$2:$A$587,1)=C203,"","Not in UCL")</f>
        <v>Not in UCL</v>
      </c>
      <c r="E203" t="s">
        <v>1</v>
      </c>
      <c r="F203" t="s">
        <v>1</v>
      </c>
      <c r="G203" t="s">
        <v>275</v>
      </c>
      <c r="H203" t="s">
        <v>275</v>
      </c>
      <c r="I203" t="s">
        <v>1</v>
      </c>
      <c r="J203" t="s">
        <v>1</v>
      </c>
      <c r="K203" t="s">
        <v>1</v>
      </c>
      <c r="L203" t="s">
        <v>275</v>
      </c>
      <c r="M203" t="s">
        <v>1</v>
      </c>
      <c r="N203" t="s">
        <v>1</v>
      </c>
      <c r="O203" t="s">
        <v>1</v>
      </c>
      <c r="P203" t="s">
        <v>275</v>
      </c>
      <c r="Q203" t="s">
        <v>275</v>
      </c>
      <c r="R203" t="s">
        <v>275</v>
      </c>
      <c r="S203" t="s">
        <v>275</v>
      </c>
      <c r="T203" t="s">
        <v>275</v>
      </c>
      <c r="U203" t="s">
        <v>275</v>
      </c>
      <c r="V203" t="s">
        <v>275</v>
      </c>
      <c r="W203" t="s">
        <v>10</v>
      </c>
      <c r="X203" t="s">
        <v>275</v>
      </c>
      <c r="Y203" t="s">
        <v>275</v>
      </c>
      <c r="Z203" t="s">
        <v>275</v>
      </c>
      <c r="AA203" t="s">
        <v>275</v>
      </c>
      <c r="AB203" t="s">
        <v>275</v>
      </c>
      <c r="AC203" t="s">
        <v>275</v>
      </c>
      <c r="AD203" t="s">
        <v>275</v>
      </c>
    </row>
    <row r="204" spans="1:30">
      <c r="A204">
        <v>202</v>
      </c>
      <c r="B204" t="s">
        <v>548</v>
      </c>
      <c r="C204" t="s">
        <v>549</v>
      </c>
      <c r="D204" t="str">
        <f>IF(VLOOKUP(C204,'Capabilities Overview'!$A$2:$A$587,1)=C204,"","Not in UCL")</f>
        <v/>
      </c>
      <c r="E204" t="s">
        <v>1</v>
      </c>
      <c r="F204" t="s">
        <v>1</v>
      </c>
      <c r="G204" t="s">
        <v>275</v>
      </c>
      <c r="H204" t="s">
        <v>275</v>
      </c>
      <c r="I204" t="s">
        <v>1</v>
      </c>
      <c r="J204" t="s">
        <v>1</v>
      </c>
      <c r="K204" t="s">
        <v>1</v>
      </c>
      <c r="L204" t="s">
        <v>275</v>
      </c>
      <c r="M204" t="s">
        <v>1</v>
      </c>
      <c r="N204" t="s">
        <v>1</v>
      </c>
      <c r="O204" t="s">
        <v>1</v>
      </c>
      <c r="P204" t="s">
        <v>275</v>
      </c>
      <c r="Q204" t="s">
        <v>275</v>
      </c>
      <c r="R204" t="s">
        <v>275</v>
      </c>
      <c r="S204" t="s">
        <v>275</v>
      </c>
      <c r="T204" t="s">
        <v>275</v>
      </c>
      <c r="U204" t="s">
        <v>275</v>
      </c>
      <c r="V204" t="s">
        <v>275</v>
      </c>
      <c r="W204" t="s">
        <v>10</v>
      </c>
      <c r="X204" t="s">
        <v>275</v>
      </c>
      <c r="Y204" t="s">
        <v>275</v>
      </c>
      <c r="Z204" t="s">
        <v>275</v>
      </c>
      <c r="AA204" t="s">
        <v>275</v>
      </c>
      <c r="AB204" t="s">
        <v>275</v>
      </c>
      <c r="AC204" t="s">
        <v>275</v>
      </c>
      <c r="AD204" t="s">
        <v>275</v>
      </c>
    </row>
    <row r="205" spans="1:30">
      <c r="A205">
        <v>203</v>
      </c>
      <c r="B205" t="s">
        <v>548</v>
      </c>
      <c r="C205" t="s">
        <v>550</v>
      </c>
      <c r="D205" t="str">
        <f>IF(VLOOKUP(C205,'Capabilities Overview'!$A$2:$A$587,1)=C205,"","Not in UCL")</f>
        <v/>
      </c>
      <c r="E205" t="s">
        <v>1</v>
      </c>
      <c r="F205" t="s">
        <v>1</v>
      </c>
      <c r="G205" t="s">
        <v>275</v>
      </c>
      <c r="H205" t="s">
        <v>275</v>
      </c>
      <c r="I205" t="s">
        <v>1</v>
      </c>
      <c r="J205" t="s">
        <v>1</v>
      </c>
      <c r="K205" t="s">
        <v>1</v>
      </c>
      <c r="L205" t="s">
        <v>275</v>
      </c>
      <c r="M205" t="s">
        <v>1</v>
      </c>
      <c r="N205" t="s">
        <v>1</v>
      </c>
      <c r="O205" t="s">
        <v>1</v>
      </c>
      <c r="P205" t="s">
        <v>275</v>
      </c>
      <c r="Q205" t="s">
        <v>275</v>
      </c>
      <c r="R205" t="s">
        <v>275</v>
      </c>
      <c r="S205" t="s">
        <v>275</v>
      </c>
      <c r="T205" t="s">
        <v>275</v>
      </c>
      <c r="U205" t="s">
        <v>275</v>
      </c>
      <c r="V205" t="s">
        <v>275</v>
      </c>
      <c r="W205" t="s">
        <v>10</v>
      </c>
      <c r="X205" t="s">
        <v>275</v>
      </c>
      <c r="Y205" t="s">
        <v>275</v>
      </c>
      <c r="Z205" t="s">
        <v>275</v>
      </c>
      <c r="AA205" t="s">
        <v>275</v>
      </c>
      <c r="AB205" t="s">
        <v>275</v>
      </c>
      <c r="AC205" t="s">
        <v>275</v>
      </c>
      <c r="AD205" t="s">
        <v>275</v>
      </c>
    </row>
    <row r="206" spans="1:30">
      <c r="A206">
        <v>204</v>
      </c>
      <c r="B206" t="s">
        <v>551</v>
      </c>
      <c r="C206" t="s">
        <v>552</v>
      </c>
      <c r="D206" t="str">
        <f>IF(VLOOKUP(C206,'Capabilities Overview'!$A$2:$A$587,1)=C206,"","Not in UCL")</f>
        <v>Not in UCL</v>
      </c>
      <c r="E206" t="s">
        <v>1</v>
      </c>
      <c r="F206" t="s">
        <v>1</v>
      </c>
      <c r="G206" t="s">
        <v>275</v>
      </c>
      <c r="H206" t="s">
        <v>275</v>
      </c>
      <c r="I206" t="s">
        <v>1</v>
      </c>
      <c r="J206" t="s">
        <v>1</v>
      </c>
      <c r="K206" t="s">
        <v>1</v>
      </c>
      <c r="L206" t="s">
        <v>275</v>
      </c>
      <c r="M206" t="s">
        <v>1</v>
      </c>
      <c r="N206" t="s">
        <v>1</v>
      </c>
      <c r="O206" t="s">
        <v>1</v>
      </c>
      <c r="P206" t="s">
        <v>275</v>
      </c>
      <c r="Q206" t="s">
        <v>275</v>
      </c>
      <c r="R206" t="s">
        <v>275</v>
      </c>
      <c r="S206" t="s">
        <v>275</v>
      </c>
      <c r="T206" t="s">
        <v>275</v>
      </c>
      <c r="U206" t="s">
        <v>275</v>
      </c>
      <c r="V206" t="s">
        <v>275</v>
      </c>
      <c r="W206" t="s">
        <v>10</v>
      </c>
      <c r="X206" t="s">
        <v>275</v>
      </c>
      <c r="Y206" t="s">
        <v>275</v>
      </c>
      <c r="Z206" t="s">
        <v>275</v>
      </c>
      <c r="AA206" t="s">
        <v>275</v>
      </c>
      <c r="AB206" t="s">
        <v>275</v>
      </c>
      <c r="AC206" t="s">
        <v>275</v>
      </c>
      <c r="AD206" t="s">
        <v>275</v>
      </c>
    </row>
    <row r="207" spans="1:30">
      <c r="A207">
        <v>205</v>
      </c>
      <c r="B207" t="s">
        <v>553</v>
      </c>
      <c r="C207" t="s">
        <v>554</v>
      </c>
      <c r="D207" t="str">
        <f>IF(VLOOKUP(C207,'Capabilities Overview'!$A$2:$A$587,1)=C207,"","Not in UCL")</f>
        <v>Not in UCL</v>
      </c>
      <c r="E207" t="s">
        <v>1</v>
      </c>
      <c r="F207" t="s">
        <v>1</v>
      </c>
      <c r="G207" t="s">
        <v>275</v>
      </c>
      <c r="H207" t="s">
        <v>275</v>
      </c>
      <c r="I207" t="s">
        <v>1</v>
      </c>
      <c r="J207" t="s">
        <v>1</v>
      </c>
      <c r="K207" t="s">
        <v>1</v>
      </c>
      <c r="L207" t="s">
        <v>275</v>
      </c>
      <c r="M207" t="s">
        <v>1</v>
      </c>
      <c r="N207" t="s">
        <v>1</v>
      </c>
      <c r="O207" t="s">
        <v>1</v>
      </c>
      <c r="P207" t="s">
        <v>275</v>
      </c>
      <c r="Q207" t="s">
        <v>275</v>
      </c>
      <c r="R207" t="s">
        <v>275</v>
      </c>
      <c r="S207" t="s">
        <v>275</v>
      </c>
      <c r="T207" t="s">
        <v>275</v>
      </c>
      <c r="U207" t="s">
        <v>275</v>
      </c>
      <c r="V207" t="s">
        <v>275</v>
      </c>
      <c r="W207" t="s">
        <v>10</v>
      </c>
      <c r="X207" t="s">
        <v>275</v>
      </c>
      <c r="Y207" t="s">
        <v>275</v>
      </c>
      <c r="Z207" t="s">
        <v>275</v>
      </c>
      <c r="AA207" t="s">
        <v>275</v>
      </c>
      <c r="AB207" t="s">
        <v>275</v>
      </c>
      <c r="AC207" t="s">
        <v>275</v>
      </c>
      <c r="AD207" t="s">
        <v>275</v>
      </c>
    </row>
    <row r="208" spans="1:30">
      <c r="A208">
        <v>206</v>
      </c>
      <c r="B208" t="s">
        <v>555</v>
      </c>
      <c r="C208" t="s">
        <v>556</v>
      </c>
      <c r="D208" t="str">
        <f>IF(VLOOKUP(C208,'Capabilities Overview'!$A$2:$A$587,1)=C208,"","Not in UCL")</f>
        <v>Not in UCL</v>
      </c>
      <c r="E208" t="s">
        <v>41</v>
      </c>
      <c r="F208" t="s">
        <v>275</v>
      </c>
      <c r="G208" t="s">
        <v>275</v>
      </c>
      <c r="H208" t="s">
        <v>275</v>
      </c>
      <c r="I208" t="s">
        <v>275</v>
      </c>
      <c r="J208" t="s">
        <v>275</v>
      </c>
      <c r="K208" t="s">
        <v>275</v>
      </c>
      <c r="L208" t="s">
        <v>275</v>
      </c>
      <c r="M208" t="s">
        <v>41</v>
      </c>
      <c r="N208" t="s">
        <v>41</v>
      </c>
      <c r="O208" t="s">
        <v>41</v>
      </c>
      <c r="P208" t="s">
        <v>275</v>
      </c>
      <c r="Q208" t="s">
        <v>41</v>
      </c>
      <c r="R208" t="s">
        <v>1</v>
      </c>
      <c r="S208" t="s">
        <v>275</v>
      </c>
      <c r="T208" t="s">
        <v>275</v>
      </c>
      <c r="U208" t="s">
        <v>275</v>
      </c>
      <c r="V208" t="s">
        <v>275</v>
      </c>
      <c r="W208" t="s">
        <v>275</v>
      </c>
      <c r="X208" t="s">
        <v>275</v>
      </c>
      <c r="Y208" t="s">
        <v>275</v>
      </c>
      <c r="Z208" t="s">
        <v>275</v>
      </c>
      <c r="AA208" t="s">
        <v>275</v>
      </c>
      <c r="AB208" t="s">
        <v>275</v>
      </c>
      <c r="AC208" t="s">
        <v>275</v>
      </c>
      <c r="AD208" t="s">
        <v>275</v>
      </c>
    </row>
    <row r="209" spans="1:30">
      <c r="A209">
        <v>207</v>
      </c>
      <c r="B209" t="s">
        <v>557</v>
      </c>
      <c r="C209" t="s">
        <v>558</v>
      </c>
      <c r="D209" t="str">
        <f>IF(VLOOKUP(C209,'Capabilities Overview'!$A$2:$A$587,1)=C209,"","Not in UCL")</f>
        <v/>
      </c>
      <c r="E209" t="s">
        <v>1</v>
      </c>
      <c r="F209" t="s">
        <v>1</v>
      </c>
      <c r="G209" t="s">
        <v>275</v>
      </c>
      <c r="H209" t="s">
        <v>275</v>
      </c>
      <c r="I209" t="s">
        <v>1</v>
      </c>
      <c r="J209" t="s">
        <v>1</v>
      </c>
      <c r="K209" t="s">
        <v>1</v>
      </c>
      <c r="L209" t="s">
        <v>275</v>
      </c>
      <c r="M209" t="s">
        <v>1</v>
      </c>
      <c r="N209" t="s">
        <v>1</v>
      </c>
      <c r="O209" t="s">
        <v>1</v>
      </c>
      <c r="P209" t="s">
        <v>275</v>
      </c>
      <c r="Q209" t="s">
        <v>275</v>
      </c>
      <c r="R209" t="s">
        <v>275</v>
      </c>
      <c r="S209" t="s">
        <v>275</v>
      </c>
      <c r="T209" t="s">
        <v>275</v>
      </c>
      <c r="U209" t="s">
        <v>275</v>
      </c>
      <c r="V209" t="s">
        <v>275</v>
      </c>
      <c r="W209" t="s">
        <v>10</v>
      </c>
      <c r="X209" t="s">
        <v>275</v>
      </c>
      <c r="Y209" t="s">
        <v>275</v>
      </c>
      <c r="Z209" t="s">
        <v>275</v>
      </c>
      <c r="AA209" t="s">
        <v>275</v>
      </c>
      <c r="AB209" t="s">
        <v>275</v>
      </c>
      <c r="AC209" t="s">
        <v>275</v>
      </c>
      <c r="AD209" t="s">
        <v>275</v>
      </c>
    </row>
    <row r="210" spans="1:30">
      <c r="A210">
        <v>208</v>
      </c>
      <c r="B210" t="s">
        <v>559</v>
      </c>
      <c r="C210" t="s">
        <v>560</v>
      </c>
      <c r="D210" t="str">
        <f>IF(VLOOKUP(C210,'Capabilities Overview'!$A$2:$A$587,1)=C210,"","Not in UCL")</f>
        <v>Not in UCL</v>
      </c>
      <c r="E210" t="s">
        <v>1</v>
      </c>
      <c r="F210" t="s">
        <v>1</v>
      </c>
      <c r="G210" t="s">
        <v>275</v>
      </c>
      <c r="H210" t="s">
        <v>275</v>
      </c>
      <c r="I210" t="s">
        <v>1</v>
      </c>
      <c r="J210" t="s">
        <v>1</v>
      </c>
      <c r="K210" t="s">
        <v>1</v>
      </c>
      <c r="L210" t="s">
        <v>275</v>
      </c>
      <c r="M210" t="s">
        <v>1</v>
      </c>
      <c r="N210" t="s">
        <v>1</v>
      </c>
      <c r="O210" t="s">
        <v>1</v>
      </c>
      <c r="P210" t="s">
        <v>275</v>
      </c>
      <c r="Q210" t="s">
        <v>275</v>
      </c>
      <c r="R210" t="s">
        <v>275</v>
      </c>
      <c r="S210" t="s">
        <v>275</v>
      </c>
      <c r="T210" t="s">
        <v>275</v>
      </c>
      <c r="U210" t="s">
        <v>275</v>
      </c>
      <c r="V210" t="s">
        <v>275</v>
      </c>
      <c r="W210" t="s">
        <v>10</v>
      </c>
      <c r="X210" t="s">
        <v>275</v>
      </c>
      <c r="Y210" t="s">
        <v>275</v>
      </c>
      <c r="Z210" t="s">
        <v>275</v>
      </c>
      <c r="AA210" t="s">
        <v>275</v>
      </c>
      <c r="AB210" t="s">
        <v>275</v>
      </c>
      <c r="AC210" t="s">
        <v>275</v>
      </c>
      <c r="AD210" t="s">
        <v>275</v>
      </c>
    </row>
    <row r="211" spans="1:30">
      <c r="A211">
        <v>209</v>
      </c>
      <c r="B211" t="s">
        <v>561</v>
      </c>
      <c r="C211" t="s">
        <v>562</v>
      </c>
      <c r="D211" t="str">
        <f>IF(VLOOKUP(C211,'Capabilities Overview'!$A$2:$A$587,1)=C211,"","Not in UCL")</f>
        <v/>
      </c>
      <c r="E211" t="s">
        <v>1</v>
      </c>
      <c r="F211" t="s">
        <v>1</v>
      </c>
      <c r="G211" t="s">
        <v>275</v>
      </c>
      <c r="H211" t="s">
        <v>275</v>
      </c>
      <c r="I211" t="s">
        <v>1</v>
      </c>
      <c r="J211" t="s">
        <v>1</v>
      </c>
      <c r="K211" t="s">
        <v>1</v>
      </c>
      <c r="L211" t="s">
        <v>275</v>
      </c>
      <c r="M211" t="s">
        <v>1</v>
      </c>
      <c r="N211" t="s">
        <v>1</v>
      </c>
      <c r="O211" t="s">
        <v>1</v>
      </c>
      <c r="P211" t="s">
        <v>275</v>
      </c>
      <c r="Q211" t="s">
        <v>275</v>
      </c>
      <c r="R211" t="s">
        <v>275</v>
      </c>
      <c r="S211" t="s">
        <v>275</v>
      </c>
      <c r="T211" t="s">
        <v>275</v>
      </c>
      <c r="U211" t="s">
        <v>275</v>
      </c>
      <c r="V211" t="s">
        <v>275</v>
      </c>
      <c r="W211" t="s">
        <v>10</v>
      </c>
      <c r="X211" t="s">
        <v>275</v>
      </c>
      <c r="Y211" t="s">
        <v>275</v>
      </c>
      <c r="Z211" t="s">
        <v>275</v>
      </c>
      <c r="AA211" t="s">
        <v>275</v>
      </c>
      <c r="AB211" t="s">
        <v>275</v>
      </c>
      <c r="AC211" t="s">
        <v>275</v>
      </c>
      <c r="AD211" t="s">
        <v>275</v>
      </c>
    </row>
    <row r="212" spans="1:30">
      <c r="A212">
        <v>210</v>
      </c>
      <c r="B212" t="s">
        <v>563</v>
      </c>
      <c r="C212" t="s">
        <v>564</v>
      </c>
      <c r="D212" t="str">
        <f>IF(VLOOKUP(C212,'Capabilities Overview'!$A$2:$A$587,1)=C212,"","Not in UCL")</f>
        <v/>
      </c>
      <c r="E212" t="s">
        <v>1</v>
      </c>
      <c r="F212" t="s">
        <v>1</v>
      </c>
      <c r="G212" t="s">
        <v>275</v>
      </c>
      <c r="H212" t="s">
        <v>275</v>
      </c>
      <c r="I212" t="s">
        <v>1</v>
      </c>
      <c r="J212" t="s">
        <v>1</v>
      </c>
      <c r="K212" t="s">
        <v>1</v>
      </c>
      <c r="L212" t="s">
        <v>275</v>
      </c>
      <c r="M212" t="s">
        <v>1</v>
      </c>
      <c r="N212" t="s">
        <v>1</v>
      </c>
      <c r="O212" t="s">
        <v>1</v>
      </c>
      <c r="P212" t="s">
        <v>275</v>
      </c>
      <c r="Q212" t="s">
        <v>275</v>
      </c>
      <c r="R212" t="s">
        <v>275</v>
      </c>
      <c r="S212" t="s">
        <v>275</v>
      </c>
      <c r="T212" t="s">
        <v>275</v>
      </c>
      <c r="U212" t="s">
        <v>275</v>
      </c>
      <c r="V212" t="s">
        <v>275</v>
      </c>
      <c r="W212" t="s">
        <v>10</v>
      </c>
      <c r="X212" t="s">
        <v>275</v>
      </c>
      <c r="Y212" t="s">
        <v>275</v>
      </c>
      <c r="Z212" t="s">
        <v>275</v>
      </c>
      <c r="AA212" t="s">
        <v>275</v>
      </c>
      <c r="AB212" t="s">
        <v>275</v>
      </c>
      <c r="AC212" t="s">
        <v>275</v>
      </c>
      <c r="AD212" t="s">
        <v>275</v>
      </c>
    </row>
    <row r="213" spans="1:30">
      <c r="A213">
        <v>211</v>
      </c>
      <c r="B213" t="s">
        <v>565</v>
      </c>
      <c r="C213" t="s">
        <v>566</v>
      </c>
      <c r="D213" t="str">
        <f>IF(VLOOKUP(C213,'Capabilities Overview'!$A$2:$A$587,1)=C213,"","Not in UCL")</f>
        <v>Not in UCL</v>
      </c>
      <c r="E213" t="s">
        <v>1</v>
      </c>
      <c r="F213" t="s">
        <v>1</v>
      </c>
      <c r="G213" t="s">
        <v>275</v>
      </c>
      <c r="H213" t="s">
        <v>275</v>
      </c>
      <c r="I213" t="s">
        <v>1</v>
      </c>
      <c r="J213" t="s">
        <v>1</v>
      </c>
      <c r="K213" t="s">
        <v>1</v>
      </c>
      <c r="L213" t="s">
        <v>275</v>
      </c>
      <c r="M213" t="s">
        <v>1</v>
      </c>
      <c r="N213" t="s">
        <v>1</v>
      </c>
      <c r="O213" t="s">
        <v>1</v>
      </c>
      <c r="P213" t="s">
        <v>275</v>
      </c>
      <c r="Q213" t="s">
        <v>275</v>
      </c>
      <c r="R213" t="s">
        <v>275</v>
      </c>
      <c r="S213" t="s">
        <v>275</v>
      </c>
      <c r="T213" t="s">
        <v>275</v>
      </c>
      <c r="U213" t="s">
        <v>275</v>
      </c>
      <c r="V213" t="s">
        <v>275</v>
      </c>
      <c r="W213" t="s">
        <v>10</v>
      </c>
      <c r="X213" t="s">
        <v>275</v>
      </c>
      <c r="Y213" t="s">
        <v>275</v>
      </c>
      <c r="Z213" t="s">
        <v>275</v>
      </c>
      <c r="AA213" t="s">
        <v>275</v>
      </c>
      <c r="AB213" t="s">
        <v>275</v>
      </c>
      <c r="AC213" t="s">
        <v>275</v>
      </c>
      <c r="AD213" t="s">
        <v>275</v>
      </c>
    </row>
    <row r="214" spans="1:30">
      <c r="A214">
        <v>212</v>
      </c>
      <c r="B214" t="s">
        <v>567</v>
      </c>
      <c r="C214" t="s">
        <v>568</v>
      </c>
      <c r="D214" t="str">
        <f>IF(VLOOKUP(C214,'Capabilities Overview'!$A$2:$A$587,1)=C214,"","Not in UCL")</f>
        <v/>
      </c>
      <c r="E214" t="s">
        <v>1</v>
      </c>
      <c r="F214" t="s">
        <v>1</v>
      </c>
      <c r="G214" t="s">
        <v>275</v>
      </c>
      <c r="H214" t="s">
        <v>275</v>
      </c>
      <c r="I214" t="s">
        <v>1</v>
      </c>
      <c r="J214" t="s">
        <v>1</v>
      </c>
      <c r="K214" t="s">
        <v>1</v>
      </c>
      <c r="L214" t="s">
        <v>275</v>
      </c>
      <c r="M214" t="s">
        <v>1</v>
      </c>
      <c r="N214" t="s">
        <v>1</v>
      </c>
      <c r="O214" t="s">
        <v>1</v>
      </c>
      <c r="P214" t="s">
        <v>275</v>
      </c>
      <c r="Q214" t="s">
        <v>275</v>
      </c>
      <c r="R214" t="s">
        <v>275</v>
      </c>
      <c r="S214" t="s">
        <v>275</v>
      </c>
      <c r="T214" t="s">
        <v>275</v>
      </c>
      <c r="U214" t="s">
        <v>275</v>
      </c>
      <c r="V214" t="s">
        <v>275</v>
      </c>
      <c r="W214" t="s">
        <v>10</v>
      </c>
      <c r="X214" t="s">
        <v>275</v>
      </c>
      <c r="Y214" t="s">
        <v>275</v>
      </c>
      <c r="Z214" t="s">
        <v>275</v>
      </c>
      <c r="AA214" t="s">
        <v>275</v>
      </c>
      <c r="AB214" t="s">
        <v>275</v>
      </c>
      <c r="AC214" t="s">
        <v>275</v>
      </c>
      <c r="AD214" t="s">
        <v>275</v>
      </c>
    </row>
    <row r="215" spans="1:30">
      <c r="A215">
        <v>213</v>
      </c>
      <c r="B215" t="s">
        <v>569</v>
      </c>
      <c r="C215" t="s">
        <v>570</v>
      </c>
      <c r="D215" t="str">
        <f>IF(VLOOKUP(C215,'Capabilities Overview'!$A$2:$A$587,1)=C215,"","Not in UCL")</f>
        <v/>
      </c>
      <c r="E215" t="s">
        <v>1</v>
      </c>
      <c r="F215" t="s">
        <v>1</v>
      </c>
      <c r="G215" t="s">
        <v>275</v>
      </c>
      <c r="H215" t="s">
        <v>275</v>
      </c>
      <c r="I215" t="s">
        <v>1</v>
      </c>
      <c r="J215" t="s">
        <v>1</v>
      </c>
      <c r="K215" t="s">
        <v>1</v>
      </c>
      <c r="L215" t="s">
        <v>275</v>
      </c>
      <c r="M215" t="s">
        <v>1</v>
      </c>
      <c r="N215" t="s">
        <v>1</v>
      </c>
      <c r="O215" t="s">
        <v>1</v>
      </c>
      <c r="P215" t="s">
        <v>275</v>
      </c>
      <c r="Q215" t="s">
        <v>275</v>
      </c>
      <c r="R215" t="s">
        <v>275</v>
      </c>
      <c r="S215" t="s">
        <v>275</v>
      </c>
      <c r="T215" t="s">
        <v>275</v>
      </c>
      <c r="U215" t="s">
        <v>275</v>
      </c>
      <c r="V215" t="s">
        <v>275</v>
      </c>
      <c r="W215" t="s">
        <v>10</v>
      </c>
      <c r="X215" t="s">
        <v>275</v>
      </c>
      <c r="Y215" t="s">
        <v>275</v>
      </c>
      <c r="Z215" t="s">
        <v>275</v>
      </c>
      <c r="AA215" t="s">
        <v>275</v>
      </c>
      <c r="AB215" t="s">
        <v>275</v>
      </c>
      <c r="AC215" t="s">
        <v>275</v>
      </c>
      <c r="AD215" t="s">
        <v>275</v>
      </c>
    </row>
    <row r="216" spans="1:30">
      <c r="A216">
        <v>214</v>
      </c>
      <c r="B216" t="s">
        <v>571</v>
      </c>
      <c r="C216" t="s">
        <v>572</v>
      </c>
      <c r="D216" t="str">
        <f>IF(VLOOKUP(C216,'Capabilities Overview'!$A$2:$A$587,1)=C216,"","Not in UCL")</f>
        <v>Not in UCL</v>
      </c>
      <c r="E216" t="s">
        <v>1</v>
      </c>
      <c r="F216" t="s">
        <v>1</v>
      </c>
      <c r="G216" t="s">
        <v>275</v>
      </c>
      <c r="H216" t="s">
        <v>275</v>
      </c>
      <c r="I216" t="s">
        <v>1</v>
      </c>
      <c r="J216" t="s">
        <v>1</v>
      </c>
      <c r="K216" t="s">
        <v>1</v>
      </c>
      <c r="L216" t="s">
        <v>275</v>
      </c>
      <c r="M216" t="s">
        <v>1</v>
      </c>
      <c r="N216" t="s">
        <v>1</v>
      </c>
      <c r="O216" t="s">
        <v>1</v>
      </c>
      <c r="P216" t="s">
        <v>275</v>
      </c>
      <c r="Q216" t="s">
        <v>275</v>
      </c>
      <c r="R216" t="s">
        <v>275</v>
      </c>
      <c r="S216" t="s">
        <v>275</v>
      </c>
      <c r="T216" t="s">
        <v>275</v>
      </c>
      <c r="U216" t="s">
        <v>275</v>
      </c>
      <c r="V216" t="s">
        <v>275</v>
      </c>
      <c r="W216" t="s">
        <v>10</v>
      </c>
      <c r="X216" t="s">
        <v>275</v>
      </c>
      <c r="Y216" t="s">
        <v>275</v>
      </c>
      <c r="Z216" t="s">
        <v>275</v>
      </c>
      <c r="AA216" t="s">
        <v>275</v>
      </c>
      <c r="AB216" t="s">
        <v>275</v>
      </c>
      <c r="AC216" t="s">
        <v>275</v>
      </c>
      <c r="AD216" t="s">
        <v>275</v>
      </c>
    </row>
    <row r="217" spans="1:30">
      <c r="A217">
        <v>215</v>
      </c>
      <c r="B217" t="s">
        <v>573</v>
      </c>
      <c r="C217" t="s">
        <v>574</v>
      </c>
      <c r="D217" t="str">
        <f>IF(VLOOKUP(C217,'Capabilities Overview'!$A$2:$A$587,1)=C217,"","Not in UCL")</f>
        <v>Not in UCL</v>
      </c>
      <c r="E217" t="s">
        <v>1</v>
      </c>
      <c r="F217" t="s">
        <v>1</v>
      </c>
      <c r="G217" t="s">
        <v>275</v>
      </c>
      <c r="H217" t="s">
        <v>275</v>
      </c>
      <c r="I217" t="s">
        <v>1</v>
      </c>
      <c r="J217" t="s">
        <v>1</v>
      </c>
      <c r="K217" t="s">
        <v>1</v>
      </c>
      <c r="L217" t="s">
        <v>275</v>
      </c>
      <c r="M217" t="s">
        <v>1</v>
      </c>
      <c r="N217" t="s">
        <v>1</v>
      </c>
      <c r="O217" t="s">
        <v>1</v>
      </c>
      <c r="P217" t="s">
        <v>275</v>
      </c>
      <c r="Q217" t="s">
        <v>275</v>
      </c>
      <c r="R217" t="s">
        <v>275</v>
      </c>
      <c r="S217" t="s">
        <v>275</v>
      </c>
      <c r="T217" t="s">
        <v>275</v>
      </c>
      <c r="U217" t="s">
        <v>275</v>
      </c>
      <c r="V217" t="s">
        <v>275</v>
      </c>
      <c r="W217" t="s">
        <v>10</v>
      </c>
      <c r="X217" t="s">
        <v>275</v>
      </c>
      <c r="Y217" t="s">
        <v>275</v>
      </c>
      <c r="Z217" t="s">
        <v>275</v>
      </c>
      <c r="AA217" t="s">
        <v>275</v>
      </c>
      <c r="AB217" t="s">
        <v>275</v>
      </c>
      <c r="AC217" t="s">
        <v>275</v>
      </c>
      <c r="AD217" t="s">
        <v>275</v>
      </c>
    </row>
    <row r="218" spans="1:30">
      <c r="A218">
        <v>216</v>
      </c>
      <c r="B218" t="s">
        <v>575</v>
      </c>
      <c r="C218" t="s">
        <v>576</v>
      </c>
      <c r="D218" t="str">
        <f>IF(VLOOKUP(C218,'Capabilities Overview'!$A$2:$A$587,1)=C218,"","Not in UCL")</f>
        <v>Not in UCL</v>
      </c>
      <c r="E218" t="s">
        <v>1</v>
      </c>
      <c r="F218" t="s">
        <v>1</v>
      </c>
      <c r="G218" t="s">
        <v>1</v>
      </c>
      <c r="H218" t="s">
        <v>275</v>
      </c>
      <c r="I218" t="s">
        <v>275</v>
      </c>
      <c r="J218" t="s">
        <v>275</v>
      </c>
      <c r="K218" t="s">
        <v>275</v>
      </c>
      <c r="L218" t="s">
        <v>275</v>
      </c>
      <c r="M218" t="s">
        <v>1</v>
      </c>
      <c r="N218" t="s">
        <v>1</v>
      </c>
      <c r="O218" t="s">
        <v>1</v>
      </c>
      <c r="P218" t="s">
        <v>275</v>
      </c>
      <c r="Q218" t="s">
        <v>1</v>
      </c>
      <c r="R218" t="s">
        <v>275</v>
      </c>
      <c r="S218" t="s">
        <v>275</v>
      </c>
      <c r="T218" t="s">
        <v>275</v>
      </c>
      <c r="U218" t="s">
        <v>275</v>
      </c>
      <c r="V218" t="s">
        <v>275</v>
      </c>
      <c r="W218" t="s">
        <v>10</v>
      </c>
      <c r="X218" t="s">
        <v>275</v>
      </c>
      <c r="Y218" t="s">
        <v>275</v>
      </c>
      <c r="Z218" t="s">
        <v>275</v>
      </c>
      <c r="AA218" t="s">
        <v>275</v>
      </c>
      <c r="AB218" t="s">
        <v>275</v>
      </c>
      <c r="AC218" t="s">
        <v>275</v>
      </c>
      <c r="AD218" t="s">
        <v>275</v>
      </c>
    </row>
    <row r="219" spans="1:30">
      <c r="A219">
        <v>217</v>
      </c>
      <c r="B219" t="s">
        <v>577</v>
      </c>
      <c r="C219" t="s">
        <v>578</v>
      </c>
      <c r="D219" t="str">
        <f>IF(VLOOKUP(C219,'Capabilities Overview'!$A$2:$A$587,1)=C219,"","Not in UCL")</f>
        <v>Not in UCL</v>
      </c>
      <c r="E219" t="s">
        <v>1</v>
      </c>
      <c r="F219" t="s">
        <v>1</v>
      </c>
      <c r="G219" t="s">
        <v>275</v>
      </c>
      <c r="H219" t="s">
        <v>275</v>
      </c>
      <c r="I219" t="s">
        <v>275</v>
      </c>
      <c r="J219" t="s">
        <v>275</v>
      </c>
      <c r="K219" t="s">
        <v>275</v>
      </c>
      <c r="L219" t="s">
        <v>275</v>
      </c>
      <c r="M219" t="s">
        <v>1</v>
      </c>
      <c r="N219" t="s">
        <v>1</v>
      </c>
      <c r="O219" t="s">
        <v>1</v>
      </c>
      <c r="P219" t="s">
        <v>275</v>
      </c>
      <c r="Q219" t="s">
        <v>275</v>
      </c>
      <c r="R219" t="s">
        <v>275</v>
      </c>
      <c r="S219" t="s">
        <v>275</v>
      </c>
      <c r="T219" t="s">
        <v>275</v>
      </c>
      <c r="U219" t="s">
        <v>275</v>
      </c>
      <c r="V219" t="s">
        <v>275</v>
      </c>
      <c r="W219" t="s">
        <v>10</v>
      </c>
      <c r="X219" t="s">
        <v>275</v>
      </c>
      <c r="Y219" t="s">
        <v>275</v>
      </c>
      <c r="Z219" t="s">
        <v>275</v>
      </c>
      <c r="AA219" t="s">
        <v>275</v>
      </c>
      <c r="AB219" t="s">
        <v>275</v>
      </c>
      <c r="AC219" t="s">
        <v>275</v>
      </c>
      <c r="AD219" t="s">
        <v>275</v>
      </c>
    </row>
    <row r="220" spans="1:30">
      <c r="A220">
        <v>218</v>
      </c>
      <c r="B220" t="s">
        <v>579</v>
      </c>
      <c r="C220" t="s">
        <v>580</v>
      </c>
      <c r="D220" t="str">
        <f>IF(VLOOKUP(C220,'Capabilities Overview'!$A$2:$A$587,1)=C220,"","Not in UCL")</f>
        <v>Not in UCL</v>
      </c>
      <c r="E220" t="s">
        <v>1</v>
      </c>
      <c r="F220" t="s">
        <v>1</v>
      </c>
      <c r="G220" t="s">
        <v>1</v>
      </c>
      <c r="H220" t="s">
        <v>275</v>
      </c>
      <c r="I220" t="s">
        <v>275</v>
      </c>
      <c r="J220" t="s">
        <v>275</v>
      </c>
      <c r="K220" t="s">
        <v>275</v>
      </c>
      <c r="L220" t="s">
        <v>275</v>
      </c>
      <c r="M220" t="s">
        <v>1</v>
      </c>
      <c r="N220" t="s">
        <v>1</v>
      </c>
      <c r="O220" t="s">
        <v>1</v>
      </c>
      <c r="P220" t="s">
        <v>275</v>
      </c>
      <c r="Q220" t="s">
        <v>1</v>
      </c>
      <c r="R220" t="s">
        <v>275</v>
      </c>
      <c r="S220" t="s">
        <v>275</v>
      </c>
      <c r="T220" t="s">
        <v>275</v>
      </c>
      <c r="U220" t="s">
        <v>275</v>
      </c>
      <c r="V220" t="s">
        <v>275</v>
      </c>
      <c r="W220" t="s">
        <v>10</v>
      </c>
      <c r="X220" t="s">
        <v>275</v>
      </c>
      <c r="Y220" t="s">
        <v>275</v>
      </c>
      <c r="Z220" t="s">
        <v>275</v>
      </c>
      <c r="AA220" t="s">
        <v>275</v>
      </c>
      <c r="AB220" t="s">
        <v>275</v>
      </c>
      <c r="AC220" t="s">
        <v>275</v>
      </c>
      <c r="AD220" t="s">
        <v>275</v>
      </c>
    </row>
    <row r="221" spans="1:30">
      <c r="A221">
        <v>219</v>
      </c>
      <c r="B221" t="s">
        <v>581</v>
      </c>
      <c r="C221" t="s">
        <v>582</v>
      </c>
      <c r="D221" t="str">
        <f>IF(VLOOKUP(C221,'Capabilities Overview'!$A$2:$A$587,1)=C221,"","Not in UCL")</f>
        <v>Not in UCL</v>
      </c>
      <c r="E221" t="s">
        <v>1</v>
      </c>
      <c r="F221" t="s">
        <v>1</v>
      </c>
      <c r="G221" t="s">
        <v>1</v>
      </c>
      <c r="H221" t="s">
        <v>275</v>
      </c>
      <c r="I221" t="s">
        <v>275</v>
      </c>
      <c r="J221" t="s">
        <v>275</v>
      </c>
      <c r="K221" t="s">
        <v>275</v>
      </c>
      <c r="L221" t="s">
        <v>275</v>
      </c>
      <c r="M221" t="s">
        <v>1</v>
      </c>
      <c r="N221" t="s">
        <v>1</v>
      </c>
      <c r="O221" t="s">
        <v>1</v>
      </c>
      <c r="P221" t="s">
        <v>275</v>
      </c>
      <c r="Q221" t="s">
        <v>1</v>
      </c>
      <c r="R221" t="s">
        <v>275</v>
      </c>
      <c r="S221" t="s">
        <v>275</v>
      </c>
      <c r="T221" t="s">
        <v>275</v>
      </c>
      <c r="U221" t="s">
        <v>275</v>
      </c>
      <c r="V221" t="s">
        <v>275</v>
      </c>
      <c r="W221" t="s">
        <v>10</v>
      </c>
      <c r="X221" t="s">
        <v>275</v>
      </c>
      <c r="Y221" t="s">
        <v>275</v>
      </c>
      <c r="Z221" t="s">
        <v>275</v>
      </c>
      <c r="AA221" t="s">
        <v>275</v>
      </c>
      <c r="AB221" t="s">
        <v>275</v>
      </c>
      <c r="AC221" t="s">
        <v>275</v>
      </c>
      <c r="AD221" t="s">
        <v>275</v>
      </c>
    </row>
    <row r="222" spans="1:30">
      <c r="A222">
        <v>220</v>
      </c>
      <c r="B222" t="s">
        <v>583</v>
      </c>
      <c r="C222" t="s">
        <v>584</v>
      </c>
      <c r="D222" t="str">
        <f>IF(VLOOKUP(C222,'Capabilities Overview'!$A$2:$A$587,1)=C222,"","Not in UCL")</f>
        <v>Not in UCL</v>
      </c>
      <c r="E222" t="s">
        <v>1</v>
      </c>
      <c r="F222" t="s">
        <v>1</v>
      </c>
      <c r="G222" t="s">
        <v>1</v>
      </c>
      <c r="H222" t="s">
        <v>275</v>
      </c>
      <c r="I222" t="s">
        <v>275</v>
      </c>
      <c r="J222" t="s">
        <v>275</v>
      </c>
      <c r="K222" t="s">
        <v>275</v>
      </c>
      <c r="L222" t="s">
        <v>275</v>
      </c>
      <c r="M222" t="s">
        <v>1</v>
      </c>
      <c r="N222" t="s">
        <v>1</v>
      </c>
      <c r="O222" t="s">
        <v>1</v>
      </c>
      <c r="P222" t="s">
        <v>275</v>
      </c>
      <c r="Q222" t="s">
        <v>1</v>
      </c>
      <c r="R222" t="s">
        <v>275</v>
      </c>
      <c r="S222" t="s">
        <v>275</v>
      </c>
      <c r="T222" t="s">
        <v>275</v>
      </c>
      <c r="U222" t="s">
        <v>275</v>
      </c>
      <c r="V222" t="s">
        <v>275</v>
      </c>
      <c r="W222" t="s">
        <v>10</v>
      </c>
      <c r="X222" t="s">
        <v>275</v>
      </c>
      <c r="Y222" t="s">
        <v>275</v>
      </c>
      <c r="Z222" t="s">
        <v>275</v>
      </c>
      <c r="AA222" t="s">
        <v>275</v>
      </c>
      <c r="AB222" t="s">
        <v>275</v>
      </c>
      <c r="AC222" t="s">
        <v>275</v>
      </c>
      <c r="AD222" t="s">
        <v>275</v>
      </c>
    </row>
    <row r="223" spans="1:30">
      <c r="A223">
        <v>221</v>
      </c>
      <c r="B223" t="s">
        <v>585</v>
      </c>
      <c r="C223" t="s">
        <v>586</v>
      </c>
      <c r="D223" t="str">
        <f>IF(VLOOKUP(C223,'Capabilities Overview'!$A$2:$A$587,1)=C223,"","Not in UCL")</f>
        <v>Not in UCL</v>
      </c>
      <c r="E223" t="s">
        <v>1</v>
      </c>
      <c r="F223" t="s">
        <v>1</v>
      </c>
      <c r="G223" t="s">
        <v>1</v>
      </c>
      <c r="H223" t="s">
        <v>275</v>
      </c>
      <c r="I223" t="s">
        <v>275</v>
      </c>
      <c r="J223" t="s">
        <v>275</v>
      </c>
      <c r="K223" t="s">
        <v>275</v>
      </c>
      <c r="L223" t="s">
        <v>275</v>
      </c>
      <c r="M223" t="s">
        <v>1</v>
      </c>
      <c r="N223" t="s">
        <v>1</v>
      </c>
      <c r="O223" t="s">
        <v>1</v>
      </c>
      <c r="P223" t="s">
        <v>275</v>
      </c>
      <c r="Q223" t="s">
        <v>1</v>
      </c>
      <c r="R223" t="s">
        <v>1</v>
      </c>
      <c r="S223" t="s">
        <v>275</v>
      </c>
      <c r="T223" t="s">
        <v>275</v>
      </c>
      <c r="U223" t="s">
        <v>275</v>
      </c>
      <c r="V223" t="s">
        <v>275</v>
      </c>
      <c r="W223" t="s">
        <v>10</v>
      </c>
      <c r="X223" t="s">
        <v>275</v>
      </c>
      <c r="Y223" t="s">
        <v>275</v>
      </c>
      <c r="Z223" t="s">
        <v>275</v>
      </c>
      <c r="AA223" t="s">
        <v>275</v>
      </c>
      <c r="AB223" t="s">
        <v>275</v>
      </c>
      <c r="AC223" t="s">
        <v>275</v>
      </c>
      <c r="AD223" t="s">
        <v>275</v>
      </c>
    </row>
    <row r="224" spans="1:30">
      <c r="A224">
        <v>222</v>
      </c>
      <c r="B224" t="s">
        <v>587</v>
      </c>
      <c r="C224" t="s">
        <v>588</v>
      </c>
      <c r="D224" t="str">
        <f>IF(VLOOKUP(C224,'Capabilities Overview'!$A$2:$A$587,1)=C224,"","Not in UCL")</f>
        <v>Not in UCL</v>
      </c>
      <c r="E224" t="s">
        <v>1</v>
      </c>
      <c r="F224" t="s">
        <v>1</v>
      </c>
      <c r="G224" t="s">
        <v>1</v>
      </c>
      <c r="H224" t="s">
        <v>275</v>
      </c>
      <c r="I224" t="s">
        <v>275</v>
      </c>
      <c r="J224" t="s">
        <v>275</v>
      </c>
      <c r="K224" t="s">
        <v>275</v>
      </c>
      <c r="L224" t="s">
        <v>275</v>
      </c>
      <c r="M224" t="s">
        <v>1</v>
      </c>
      <c r="N224" t="s">
        <v>1</v>
      </c>
      <c r="O224" t="s">
        <v>1</v>
      </c>
      <c r="P224" t="s">
        <v>275</v>
      </c>
      <c r="Q224" t="s">
        <v>1</v>
      </c>
      <c r="R224" t="s">
        <v>275</v>
      </c>
      <c r="S224" t="s">
        <v>275</v>
      </c>
      <c r="T224" t="s">
        <v>275</v>
      </c>
      <c r="U224" t="s">
        <v>275</v>
      </c>
      <c r="V224" t="s">
        <v>275</v>
      </c>
      <c r="W224" t="s">
        <v>10</v>
      </c>
      <c r="X224" t="s">
        <v>275</v>
      </c>
      <c r="Y224" t="s">
        <v>275</v>
      </c>
      <c r="Z224" t="s">
        <v>275</v>
      </c>
      <c r="AA224" t="s">
        <v>275</v>
      </c>
      <c r="AB224" t="s">
        <v>275</v>
      </c>
      <c r="AC224" t="s">
        <v>275</v>
      </c>
      <c r="AD224" t="s">
        <v>275</v>
      </c>
    </row>
    <row r="225" spans="1:30">
      <c r="A225">
        <v>223</v>
      </c>
      <c r="B225" t="s">
        <v>589</v>
      </c>
      <c r="C225" t="s">
        <v>590</v>
      </c>
      <c r="D225" t="str">
        <f>IF(VLOOKUP(C225,'Capabilities Overview'!$A$2:$A$587,1)=C225,"","Not in UCL")</f>
        <v>Not in UCL</v>
      </c>
      <c r="E225" t="s">
        <v>1</v>
      </c>
      <c r="F225" t="s">
        <v>1</v>
      </c>
      <c r="G225" t="s">
        <v>1</v>
      </c>
      <c r="H225" t="s">
        <v>275</v>
      </c>
      <c r="I225" t="s">
        <v>275</v>
      </c>
      <c r="J225" t="s">
        <v>275</v>
      </c>
      <c r="K225" t="s">
        <v>275</v>
      </c>
      <c r="L225" t="s">
        <v>275</v>
      </c>
      <c r="M225" t="s">
        <v>1</v>
      </c>
      <c r="N225" t="s">
        <v>1</v>
      </c>
      <c r="O225" t="s">
        <v>1</v>
      </c>
      <c r="P225" t="s">
        <v>275</v>
      </c>
      <c r="Q225" t="s">
        <v>1</v>
      </c>
      <c r="R225" t="s">
        <v>275</v>
      </c>
      <c r="S225" t="s">
        <v>275</v>
      </c>
      <c r="T225" t="s">
        <v>275</v>
      </c>
      <c r="U225" t="s">
        <v>275</v>
      </c>
      <c r="V225" t="s">
        <v>275</v>
      </c>
      <c r="W225" t="s">
        <v>275</v>
      </c>
      <c r="X225" t="s">
        <v>275</v>
      </c>
      <c r="Y225" t="s">
        <v>275</v>
      </c>
      <c r="Z225" t="s">
        <v>275</v>
      </c>
      <c r="AA225" t="s">
        <v>275</v>
      </c>
      <c r="AB225" t="s">
        <v>275</v>
      </c>
      <c r="AC225" t="s">
        <v>275</v>
      </c>
      <c r="AD225" t="s">
        <v>275</v>
      </c>
    </row>
    <row r="226" spans="1:30">
      <c r="A226">
        <v>224</v>
      </c>
      <c r="B226" t="s">
        <v>591</v>
      </c>
      <c r="C226" t="s">
        <v>592</v>
      </c>
      <c r="D226" t="str">
        <f>IF(VLOOKUP(C226,'Capabilities Overview'!$A$2:$A$587,1)=C226,"","Not in UCL")</f>
        <v>Not in UCL</v>
      </c>
      <c r="E226" t="s">
        <v>1</v>
      </c>
      <c r="F226" t="s">
        <v>1</v>
      </c>
      <c r="G226" t="s">
        <v>1</v>
      </c>
      <c r="H226" t="s">
        <v>275</v>
      </c>
      <c r="I226" t="s">
        <v>275</v>
      </c>
      <c r="J226" t="s">
        <v>275</v>
      </c>
      <c r="K226" t="s">
        <v>275</v>
      </c>
      <c r="L226" t="s">
        <v>275</v>
      </c>
      <c r="M226" t="s">
        <v>1</v>
      </c>
      <c r="N226" t="s">
        <v>1</v>
      </c>
      <c r="O226" t="s">
        <v>1</v>
      </c>
      <c r="P226" t="s">
        <v>275</v>
      </c>
      <c r="Q226" t="s">
        <v>1</v>
      </c>
      <c r="R226" t="s">
        <v>275</v>
      </c>
      <c r="S226" t="s">
        <v>275</v>
      </c>
      <c r="T226" t="s">
        <v>275</v>
      </c>
      <c r="U226" t="s">
        <v>275</v>
      </c>
      <c r="V226" t="s">
        <v>275</v>
      </c>
      <c r="W226" t="s">
        <v>275</v>
      </c>
      <c r="X226" t="s">
        <v>275</v>
      </c>
      <c r="Y226" t="s">
        <v>275</v>
      </c>
      <c r="Z226" t="s">
        <v>275</v>
      </c>
      <c r="AA226" t="s">
        <v>275</v>
      </c>
      <c r="AB226" t="s">
        <v>275</v>
      </c>
      <c r="AC226" t="s">
        <v>275</v>
      </c>
      <c r="AD226" t="s">
        <v>275</v>
      </c>
    </row>
    <row r="227" spans="1:30">
      <c r="A227">
        <v>225</v>
      </c>
      <c r="B227" t="s">
        <v>593</v>
      </c>
      <c r="C227" t="s">
        <v>594</v>
      </c>
      <c r="D227" t="str">
        <f>IF(VLOOKUP(C227,'Capabilities Overview'!$A$2:$A$587,1)=C227,"","Not in UCL")</f>
        <v/>
      </c>
      <c r="E227" t="s">
        <v>1</v>
      </c>
      <c r="F227" t="s">
        <v>1</v>
      </c>
      <c r="G227" t="s">
        <v>275</v>
      </c>
      <c r="H227" t="s">
        <v>275</v>
      </c>
      <c r="I227" t="s">
        <v>1</v>
      </c>
      <c r="J227" t="s">
        <v>1</v>
      </c>
      <c r="K227" t="s">
        <v>1</v>
      </c>
      <c r="L227" t="s">
        <v>275</v>
      </c>
      <c r="M227" t="s">
        <v>1</v>
      </c>
      <c r="N227" t="s">
        <v>1</v>
      </c>
      <c r="O227" t="s">
        <v>1</v>
      </c>
      <c r="P227" t="s">
        <v>275</v>
      </c>
      <c r="Q227" t="s">
        <v>275</v>
      </c>
      <c r="R227" t="s">
        <v>275</v>
      </c>
      <c r="S227" t="s">
        <v>275</v>
      </c>
      <c r="T227" t="s">
        <v>275</v>
      </c>
      <c r="U227" t="s">
        <v>275</v>
      </c>
      <c r="V227" t="s">
        <v>275</v>
      </c>
      <c r="W227" t="s">
        <v>10</v>
      </c>
      <c r="X227" t="s">
        <v>275</v>
      </c>
      <c r="Y227" t="s">
        <v>275</v>
      </c>
      <c r="Z227" t="s">
        <v>275</v>
      </c>
      <c r="AA227" t="s">
        <v>275</v>
      </c>
      <c r="AB227" t="s">
        <v>275</v>
      </c>
      <c r="AC227" t="s">
        <v>275</v>
      </c>
      <c r="AD227" t="s">
        <v>275</v>
      </c>
    </row>
    <row r="228" spans="1:30">
      <c r="A228">
        <v>226</v>
      </c>
      <c r="B228" t="s">
        <v>595</v>
      </c>
      <c r="C228" t="s">
        <v>596</v>
      </c>
      <c r="D228" t="str">
        <f>IF(VLOOKUP(C228,'Capabilities Overview'!$A$2:$A$587,1)=C228,"","Not in UCL")</f>
        <v/>
      </c>
      <c r="E228" t="s">
        <v>1</v>
      </c>
      <c r="F228" t="s">
        <v>1</v>
      </c>
      <c r="G228" t="s">
        <v>275</v>
      </c>
      <c r="H228" t="s">
        <v>275</v>
      </c>
      <c r="I228" t="s">
        <v>1</v>
      </c>
      <c r="J228" t="s">
        <v>1</v>
      </c>
      <c r="K228" t="s">
        <v>1</v>
      </c>
      <c r="L228" t="s">
        <v>275</v>
      </c>
      <c r="M228" t="s">
        <v>1</v>
      </c>
      <c r="N228" t="s">
        <v>1</v>
      </c>
      <c r="O228" t="s">
        <v>1</v>
      </c>
      <c r="P228" t="s">
        <v>275</v>
      </c>
      <c r="Q228" t="s">
        <v>275</v>
      </c>
      <c r="R228" t="s">
        <v>275</v>
      </c>
      <c r="S228" t="s">
        <v>275</v>
      </c>
      <c r="T228" t="s">
        <v>275</v>
      </c>
      <c r="U228" t="s">
        <v>275</v>
      </c>
      <c r="V228" t="s">
        <v>275</v>
      </c>
      <c r="W228" t="s">
        <v>10</v>
      </c>
      <c r="X228" t="s">
        <v>275</v>
      </c>
      <c r="Y228" t="s">
        <v>275</v>
      </c>
      <c r="Z228" t="s">
        <v>275</v>
      </c>
      <c r="AA228" t="s">
        <v>275</v>
      </c>
      <c r="AB228" t="s">
        <v>275</v>
      </c>
      <c r="AC228" t="s">
        <v>275</v>
      </c>
      <c r="AD228" t="s">
        <v>275</v>
      </c>
    </row>
    <row r="229" spans="1:30">
      <c r="A229">
        <v>227</v>
      </c>
      <c r="B229" t="s">
        <v>597</v>
      </c>
      <c r="C229" t="s">
        <v>598</v>
      </c>
      <c r="D229" t="str">
        <f>IF(VLOOKUP(C229,'Capabilities Overview'!$A$2:$A$587,1)=C229,"","Not in UCL")</f>
        <v/>
      </c>
      <c r="E229" t="s">
        <v>1</v>
      </c>
      <c r="F229" t="s">
        <v>1</v>
      </c>
      <c r="G229" t="s">
        <v>275</v>
      </c>
      <c r="H229" t="s">
        <v>275</v>
      </c>
      <c r="I229" t="s">
        <v>1</v>
      </c>
      <c r="J229" t="s">
        <v>1</v>
      </c>
      <c r="K229" t="s">
        <v>1</v>
      </c>
      <c r="L229" t="s">
        <v>275</v>
      </c>
      <c r="M229" t="s">
        <v>1</v>
      </c>
      <c r="N229" t="s">
        <v>1</v>
      </c>
      <c r="O229" t="s">
        <v>1</v>
      </c>
      <c r="P229" t="s">
        <v>275</v>
      </c>
      <c r="Q229" t="s">
        <v>275</v>
      </c>
      <c r="R229" t="s">
        <v>275</v>
      </c>
      <c r="S229" t="s">
        <v>275</v>
      </c>
      <c r="T229" t="s">
        <v>275</v>
      </c>
      <c r="U229" t="s">
        <v>275</v>
      </c>
      <c r="V229" t="s">
        <v>275</v>
      </c>
      <c r="W229" t="s">
        <v>10</v>
      </c>
      <c r="X229" t="s">
        <v>275</v>
      </c>
      <c r="Y229" t="s">
        <v>275</v>
      </c>
      <c r="Z229" t="s">
        <v>275</v>
      </c>
      <c r="AA229" t="s">
        <v>275</v>
      </c>
      <c r="AB229" t="s">
        <v>275</v>
      </c>
      <c r="AC229" t="s">
        <v>275</v>
      </c>
      <c r="AD229" t="s">
        <v>275</v>
      </c>
    </row>
    <row r="230" spans="1:30">
      <c r="A230">
        <v>228</v>
      </c>
      <c r="B230" t="s">
        <v>599</v>
      </c>
      <c r="C230" t="s">
        <v>600</v>
      </c>
      <c r="D230" t="str">
        <f>IF(VLOOKUP(C230,'Capabilities Overview'!$A$2:$A$587,1)=C230,"","Not in UCL")</f>
        <v>Not in UCL</v>
      </c>
      <c r="E230" t="s">
        <v>1</v>
      </c>
      <c r="F230" t="s">
        <v>275</v>
      </c>
      <c r="G230" t="s">
        <v>275</v>
      </c>
      <c r="H230" t="s">
        <v>275</v>
      </c>
      <c r="I230" t="s">
        <v>275</v>
      </c>
      <c r="J230" t="s">
        <v>275</v>
      </c>
      <c r="K230" t="s">
        <v>275</v>
      </c>
      <c r="L230" t="s">
        <v>275</v>
      </c>
      <c r="M230" t="s">
        <v>1</v>
      </c>
      <c r="N230" t="s">
        <v>1</v>
      </c>
      <c r="O230" t="s">
        <v>1</v>
      </c>
      <c r="P230" t="s">
        <v>275</v>
      </c>
      <c r="Q230" t="s">
        <v>275</v>
      </c>
      <c r="R230" t="s">
        <v>275</v>
      </c>
      <c r="S230" t="s">
        <v>275</v>
      </c>
      <c r="T230" t="s">
        <v>275</v>
      </c>
      <c r="U230" t="s">
        <v>275</v>
      </c>
      <c r="V230" t="s">
        <v>275</v>
      </c>
      <c r="W230" t="s">
        <v>10</v>
      </c>
      <c r="X230" t="s">
        <v>275</v>
      </c>
      <c r="Y230" t="s">
        <v>275</v>
      </c>
      <c r="Z230" t="s">
        <v>275</v>
      </c>
      <c r="AA230" t="s">
        <v>275</v>
      </c>
      <c r="AB230" t="s">
        <v>275</v>
      </c>
      <c r="AC230" t="s">
        <v>275</v>
      </c>
      <c r="AD230" t="s">
        <v>275</v>
      </c>
    </row>
    <row r="231" spans="1:30">
      <c r="A231">
        <v>229</v>
      </c>
      <c r="B231" t="s">
        <v>601</v>
      </c>
      <c r="C231" t="s">
        <v>602</v>
      </c>
      <c r="D231" t="str">
        <f>IF(VLOOKUP(C231,'Capabilities Overview'!$A$2:$A$587,1)=C231,"","Not in UCL")</f>
        <v/>
      </c>
      <c r="E231" t="s">
        <v>1</v>
      </c>
      <c r="F231" t="s">
        <v>1</v>
      </c>
      <c r="G231" t="s">
        <v>275</v>
      </c>
      <c r="H231" t="s">
        <v>275</v>
      </c>
      <c r="I231" t="s">
        <v>1</v>
      </c>
      <c r="J231" t="s">
        <v>1</v>
      </c>
      <c r="K231" t="s">
        <v>1</v>
      </c>
      <c r="L231" t="s">
        <v>275</v>
      </c>
      <c r="M231" t="s">
        <v>1</v>
      </c>
      <c r="N231" t="s">
        <v>1</v>
      </c>
      <c r="O231" t="s">
        <v>1</v>
      </c>
      <c r="P231" t="s">
        <v>275</v>
      </c>
      <c r="Q231" t="s">
        <v>275</v>
      </c>
      <c r="R231" t="s">
        <v>275</v>
      </c>
      <c r="S231" t="s">
        <v>275</v>
      </c>
      <c r="T231" t="s">
        <v>275</v>
      </c>
      <c r="U231" t="s">
        <v>275</v>
      </c>
      <c r="V231" t="s">
        <v>275</v>
      </c>
      <c r="W231" t="s">
        <v>10</v>
      </c>
      <c r="X231" t="s">
        <v>275</v>
      </c>
      <c r="Y231" t="s">
        <v>275</v>
      </c>
      <c r="Z231" t="s">
        <v>275</v>
      </c>
      <c r="AA231" t="s">
        <v>275</v>
      </c>
      <c r="AB231" t="s">
        <v>275</v>
      </c>
      <c r="AC231" t="s">
        <v>275</v>
      </c>
      <c r="AD231" t="s">
        <v>275</v>
      </c>
    </row>
    <row r="232" spans="1:30">
      <c r="A232">
        <v>230</v>
      </c>
      <c r="B232" t="s">
        <v>603</v>
      </c>
      <c r="C232" t="s">
        <v>604</v>
      </c>
      <c r="D232" t="str">
        <f>IF(VLOOKUP(C232,'Capabilities Overview'!$A$2:$A$587,1)=C232,"","Not in UCL")</f>
        <v/>
      </c>
      <c r="E232" t="s">
        <v>1</v>
      </c>
      <c r="F232" t="s">
        <v>1</v>
      </c>
      <c r="G232" t="s">
        <v>275</v>
      </c>
      <c r="H232" t="s">
        <v>275</v>
      </c>
      <c r="I232" t="s">
        <v>1</v>
      </c>
      <c r="J232" t="s">
        <v>1</v>
      </c>
      <c r="K232" t="s">
        <v>1</v>
      </c>
      <c r="L232" t="s">
        <v>275</v>
      </c>
      <c r="M232" t="s">
        <v>1</v>
      </c>
      <c r="N232" t="s">
        <v>1</v>
      </c>
      <c r="O232" t="s">
        <v>1</v>
      </c>
      <c r="P232" t="s">
        <v>275</v>
      </c>
      <c r="Q232" t="s">
        <v>275</v>
      </c>
      <c r="R232" t="s">
        <v>275</v>
      </c>
      <c r="S232" t="s">
        <v>275</v>
      </c>
      <c r="T232" t="s">
        <v>275</v>
      </c>
      <c r="U232" t="s">
        <v>275</v>
      </c>
      <c r="V232" t="s">
        <v>275</v>
      </c>
      <c r="W232" t="s">
        <v>10</v>
      </c>
      <c r="X232" t="s">
        <v>275</v>
      </c>
      <c r="Y232" t="s">
        <v>275</v>
      </c>
      <c r="Z232" t="s">
        <v>275</v>
      </c>
      <c r="AA232" t="s">
        <v>275</v>
      </c>
      <c r="AB232" t="s">
        <v>275</v>
      </c>
      <c r="AC232" t="s">
        <v>275</v>
      </c>
      <c r="AD232" t="s">
        <v>275</v>
      </c>
    </row>
    <row r="233" spans="1:30">
      <c r="A233">
        <v>231</v>
      </c>
      <c r="B233" t="s">
        <v>597</v>
      </c>
      <c r="C233" t="s">
        <v>605</v>
      </c>
      <c r="D233" t="str">
        <f>IF(VLOOKUP(C233,'Capabilities Overview'!$A$2:$A$587,1)=C233,"","Not in UCL")</f>
        <v/>
      </c>
      <c r="E233" t="s">
        <v>1</v>
      </c>
      <c r="F233" t="s">
        <v>1</v>
      </c>
      <c r="G233" t="s">
        <v>275</v>
      </c>
      <c r="H233" t="s">
        <v>275</v>
      </c>
      <c r="I233" t="s">
        <v>1</v>
      </c>
      <c r="J233" t="s">
        <v>1</v>
      </c>
      <c r="K233" t="s">
        <v>1</v>
      </c>
      <c r="L233" t="s">
        <v>275</v>
      </c>
      <c r="M233" t="s">
        <v>1</v>
      </c>
      <c r="N233" t="s">
        <v>1</v>
      </c>
      <c r="O233" t="s">
        <v>1</v>
      </c>
      <c r="P233" t="s">
        <v>275</v>
      </c>
      <c r="Q233" t="s">
        <v>275</v>
      </c>
      <c r="R233" t="s">
        <v>275</v>
      </c>
      <c r="S233" t="s">
        <v>275</v>
      </c>
      <c r="T233" t="s">
        <v>275</v>
      </c>
      <c r="U233" t="s">
        <v>275</v>
      </c>
      <c r="V233" t="s">
        <v>275</v>
      </c>
      <c r="W233" t="s">
        <v>10</v>
      </c>
      <c r="X233" t="s">
        <v>275</v>
      </c>
      <c r="Y233" t="s">
        <v>275</v>
      </c>
      <c r="Z233" t="s">
        <v>275</v>
      </c>
      <c r="AA233" t="s">
        <v>275</v>
      </c>
      <c r="AB233" t="s">
        <v>275</v>
      </c>
      <c r="AC233" t="s">
        <v>275</v>
      </c>
      <c r="AD233" t="s">
        <v>275</v>
      </c>
    </row>
    <row r="234" spans="1:30">
      <c r="A234">
        <v>232</v>
      </c>
      <c r="B234" t="s">
        <v>606</v>
      </c>
      <c r="C234" t="s">
        <v>607</v>
      </c>
      <c r="D234" t="str">
        <f>IF(VLOOKUP(C234,'Capabilities Overview'!$A$2:$A$587,1)=C234,"","Not in UCL")</f>
        <v/>
      </c>
      <c r="E234" t="s">
        <v>1</v>
      </c>
      <c r="F234" t="s">
        <v>1</v>
      </c>
      <c r="G234" t="s">
        <v>275</v>
      </c>
      <c r="H234" t="s">
        <v>275</v>
      </c>
      <c r="I234" t="s">
        <v>1</v>
      </c>
      <c r="J234" t="s">
        <v>1</v>
      </c>
      <c r="K234" t="s">
        <v>1</v>
      </c>
      <c r="L234" t="s">
        <v>275</v>
      </c>
      <c r="M234" t="s">
        <v>1</v>
      </c>
      <c r="N234" t="s">
        <v>1</v>
      </c>
      <c r="O234" t="s">
        <v>1</v>
      </c>
      <c r="P234" t="s">
        <v>275</v>
      </c>
      <c r="Q234" t="s">
        <v>275</v>
      </c>
      <c r="R234" t="s">
        <v>275</v>
      </c>
      <c r="S234" t="s">
        <v>275</v>
      </c>
      <c r="T234" t="s">
        <v>275</v>
      </c>
      <c r="U234" t="s">
        <v>275</v>
      </c>
      <c r="V234" t="s">
        <v>275</v>
      </c>
      <c r="W234" t="s">
        <v>10</v>
      </c>
      <c r="X234" t="s">
        <v>275</v>
      </c>
      <c r="Y234" t="s">
        <v>275</v>
      </c>
      <c r="Z234" t="s">
        <v>275</v>
      </c>
      <c r="AA234" t="s">
        <v>275</v>
      </c>
      <c r="AB234" t="s">
        <v>275</v>
      </c>
      <c r="AC234" t="s">
        <v>275</v>
      </c>
      <c r="AD234" t="s">
        <v>275</v>
      </c>
    </row>
    <row r="235" spans="1:30">
      <c r="A235">
        <v>233</v>
      </c>
      <c r="B235" t="s">
        <v>608</v>
      </c>
      <c r="C235" t="s">
        <v>609</v>
      </c>
      <c r="D235" t="str">
        <f>IF(VLOOKUP(C235,'Capabilities Overview'!$A$2:$A$587,1)=C235,"","Not in UCL")</f>
        <v>Not in UCL</v>
      </c>
      <c r="E235" t="s">
        <v>1</v>
      </c>
      <c r="F235" t="s">
        <v>1</v>
      </c>
      <c r="G235" t="s">
        <v>275</v>
      </c>
      <c r="H235" t="s">
        <v>275</v>
      </c>
      <c r="I235" t="s">
        <v>1</v>
      </c>
      <c r="J235" t="s">
        <v>1</v>
      </c>
      <c r="K235" t="s">
        <v>1</v>
      </c>
      <c r="L235" t="s">
        <v>275</v>
      </c>
      <c r="M235" t="s">
        <v>1</v>
      </c>
      <c r="N235" t="s">
        <v>1</v>
      </c>
      <c r="O235" t="s">
        <v>1</v>
      </c>
      <c r="P235" t="s">
        <v>275</v>
      </c>
      <c r="Q235" t="s">
        <v>275</v>
      </c>
      <c r="R235" t="s">
        <v>275</v>
      </c>
      <c r="S235" t="s">
        <v>275</v>
      </c>
      <c r="T235" t="s">
        <v>275</v>
      </c>
      <c r="U235" t="s">
        <v>275</v>
      </c>
      <c r="V235" t="s">
        <v>275</v>
      </c>
      <c r="W235" t="s">
        <v>10</v>
      </c>
      <c r="X235" t="s">
        <v>275</v>
      </c>
      <c r="Y235" t="s">
        <v>275</v>
      </c>
      <c r="Z235" t="s">
        <v>275</v>
      </c>
      <c r="AA235" t="s">
        <v>275</v>
      </c>
      <c r="AB235" t="s">
        <v>275</v>
      </c>
      <c r="AC235" t="s">
        <v>275</v>
      </c>
      <c r="AD235" t="s">
        <v>275</v>
      </c>
    </row>
    <row r="236" spans="1:30">
      <c r="A236">
        <v>234</v>
      </c>
      <c r="B236" t="s">
        <v>610</v>
      </c>
      <c r="C236" t="s">
        <v>611</v>
      </c>
      <c r="D236" t="str">
        <f>IF(VLOOKUP(C236,'Capabilities Overview'!$A$2:$A$587,1)=C236,"","Not in UCL")</f>
        <v/>
      </c>
      <c r="E236" t="s">
        <v>1</v>
      </c>
      <c r="F236" t="s">
        <v>1</v>
      </c>
      <c r="G236" t="s">
        <v>275</v>
      </c>
      <c r="H236" t="s">
        <v>275</v>
      </c>
      <c r="I236" t="s">
        <v>1</v>
      </c>
      <c r="J236" t="s">
        <v>1</v>
      </c>
      <c r="K236" t="s">
        <v>1</v>
      </c>
      <c r="L236" t="s">
        <v>275</v>
      </c>
      <c r="M236" t="s">
        <v>1</v>
      </c>
      <c r="N236" t="s">
        <v>1</v>
      </c>
      <c r="O236" t="s">
        <v>1</v>
      </c>
      <c r="P236" t="s">
        <v>275</v>
      </c>
      <c r="Q236" t="s">
        <v>275</v>
      </c>
      <c r="R236" t="s">
        <v>275</v>
      </c>
      <c r="S236" t="s">
        <v>275</v>
      </c>
      <c r="T236" t="s">
        <v>275</v>
      </c>
      <c r="U236" t="s">
        <v>275</v>
      </c>
      <c r="V236" t="s">
        <v>275</v>
      </c>
      <c r="W236" t="s">
        <v>10</v>
      </c>
      <c r="X236" t="s">
        <v>275</v>
      </c>
      <c r="Y236" t="s">
        <v>275</v>
      </c>
      <c r="Z236" t="s">
        <v>275</v>
      </c>
      <c r="AA236" t="s">
        <v>275</v>
      </c>
      <c r="AB236" t="s">
        <v>275</v>
      </c>
      <c r="AC236" t="s">
        <v>275</v>
      </c>
      <c r="AD236" t="s">
        <v>275</v>
      </c>
    </row>
    <row r="237" spans="1:30">
      <c r="A237">
        <v>235</v>
      </c>
      <c r="B237" t="s">
        <v>612</v>
      </c>
      <c r="C237" t="s">
        <v>613</v>
      </c>
      <c r="D237" t="str">
        <f>IF(VLOOKUP(C237,'Capabilities Overview'!$A$2:$A$587,1)=C237,"","Not in UCL")</f>
        <v/>
      </c>
      <c r="E237" t="s">
        <v>1</v>
      </c>
      <c r="F237" t="s">
        <v>1</v>
      </c>
      <c r="G237" t="s">
        <v>275</v>
      </c>
      <c r="H237" t="s">
        <v>275</v>
      </c>
      <c r="I237" t="s">
        <v>1</v>
      </c>
      <c r="J237" t="s">
        <v>1</v>
      </c>
      <c r="K237" t="s">
        <v>1</v>
      </c>
      <c r="L237" t="s">
        <v>275</v>
      </c>
      <c r="M237" t="s">
        <v>1</v>
      </c>
      <c r="N237" t="s">
        <v>1</v>
      </c>
      <c r="O237" t="s">
        <v>1</v>
      </c>
      <c r="P237" t="s">
        <v>275</v>
      </c>
      <c r="Q237" t="s">
        <v>275</v>
      </c>
      <c r="R237" t="s">
        <v>275</v>
      </c>
      <c r="S237" t="s">
        <v>275</v>
      </c>
      <c r="T237" t="s">
        <v>275</v>
      </c>
      <c r="U237" t="s">
        <v>275</v>
      </c>
      <c r="V237" t="s">
        <v>275</v>
      </c>
      <c r="W237" t="s">
        <v>10</v>
      </c>
      <c r="X237" t="s">
        <v>275</v>
      </c>
      <c r="Y237" t="s">
        <v>275</v>
      </c>
      <c r="Z237" t="s">
        <v>275</v>
      </c>
      <c r="AA237" t="s">
        <v>275</v>
      </c>
      <c r="AB237" t="s">
        <v>275</v>
      </c>
      <c r="AC237" t="s">
        <v>275</v>
      </c>
      <c r="AD237" t="s">
        <v>275</v>
      </c>
    </row>
    <row r="238" spans="1:30">
      <c r="A238">
        <v>236</v>
      </c>
      <c r="B238" t="s">
        <v>614</v>
      </c>
      <c r="C238" t="s">
        <v>615</v>
      </c>
      <c r="D238" t="str">
        <f>IF(VLOOKUP(C238,'Capabilities Overview'!$A$2:$A$587,1)=C238,"","Not in UCL")</f>
        <v>Not in UCL</v>
      </c>
      <c r="E238" t="s">
        <v>1</v>
      </c>
      <c r="F238" t="s">
        <v>1</v>
      </c>
      <c r="G238" t="s">
        <v>275</v>
      </c>
      <c r="H238" t="s">
        <v>275</v>
      </c>
      <c r="I238" t="s">
        <v>1</v>
      </c>
      <c r="J238" t="s">
        <v>1</v>
      </c>
      <c r="K238" t="s">
        <v>1</v>
      </c>
      <c r="L238" t="s">
        <v>275</v>
      </c>
      <c r="M238" t="s">
        <v>1</v>
      </c>
      <c r="N238" t="s">
        <v>1</v>
      </c>
      <c r="O238" t="s">
        <v>1</v>
      </c>
      <c r="P238" t="s">
        <v>275</v>
      </c>
      <c r="Q238" t="s">
        <v>275</v>
      </c>
      <c r="R238" t="s">
        <v>275</v>
      </c>
      <c r="S238" t="s">
        <v>275</v>
      </c>
      <c r="T238" t="s">
        <v>275</v>
      </c>
      <c r="U238" t="s">
        <v>275</v>
      </c>
      <c r="V238" t="s">
        <v>275</v>
      </c>
      <c r="W238" t="s">
        <v>10</v>
      </c>
      <c r="X238" t="s">
        <v>275</v>
      </c>
      <c r="Y238" t="s">
        <v>275</v>
      </c>
      <c r="Z238" t="s">
        <v>275</v>
      </c>
      <c r="AA238" t="s">
        <v>275</v>
      </c>
      <c r="AB238" t="s">
        <v>275</v>
      </c>
      <c r="AC238" t="s">
        <v>275</v>
      </c>
      <c r="AD238" t="s">
        <v>275</v>
      </c>
    </row>
    <row r="239" spans="1:30">
      <c r="A239">
        <v>237</v>
      </c>
      <c r="B239" t="s">
        <v>616</v>
      </c>
      <c r="C239" t="s">
        <v>617</v>
      </c>
      <c r="D239" t="str">
        <f>IF(VLOOKUP(C239,'Capabilities Overview'!$A$2:$A$587,1)=C239,"","Not in UCL")</f>
        <v/>
      </c>
      <c r="E239" t="s">
        <v>1</v>
      </c>
      <c r="F239" t="s">
        <v>275</v>
      </c>
      <c r="G239" t="s">
        <v>275</v>
      </c>
      <c r="H239" t="s">
        <v>275</v>
      </c>
      <c r="I239" t="s">
        <v>275</v>
      </c>
      <c r="J239" t="s">
        <v>275</v>
      </c>
      <c r="K239" t="s">
        <v>275</v>
      </c>
      <c r="L239" t="s">
        <v>275</v>
      </c>
      <c r="M239" t="s">
        <v>1</v>
      </c>
      <c r="N239" t="s">
        <v>1</v>
      </c>
      <c r="O239" t="s">
        <v>1</v>
      </c>
      <c r="P239" t="s">
        <v>275</v>
      </c>
      <c r="Q239" t="s">
        <v>1</v>
      </c>
      <c r="R239" t="s">
        <v>275</v>
      </c>
      <c r="S239" t="s">
        <v>275</v>
      </c>
      <c r="T239" t="s">
        <v>275</v>
      </c>
      <c r="U239" t="s">
        <v>275</v>
      </c>
      <c r="V239" t="s">
        <v>275</v>
      </c>
      <c r="W239" t="s">
        <v>10</v>
      </c>
      <c r="X239" t="s">
        <v>275</v>
      </c>
      <c r="Y239" t="s">
        <v>275</v>
      </c>
      <c r="Z239" t="s">
        <v>275</v>
      </c>
      <c r="AA239" t="s">
        <v>275</v>
      </c>
      <c r="AB239" t="s">
        <v>275</v>
      </c>
      <c r="AC239" t="s">
        <v>275</v>
      </c>
      <c r="AD239" t="s">
        <v>275</v>
      </c>
    </row>
    <row r="240" spans="1:30">
      <c r="A240">
        <v>238</v>
      </c>
      <c r="B240" t="s">
        <v>618</v>
      </c>
      <c r="C240" t="s">
        <v>619</v>
      </c>
      <c r="D240" t="str">
        <f>IF(VLOOKUP(C240,'Capabilities Overview'!$A$2:$A$587,1)=C240,"","Not in UCL")</f>
        <v/>
      </c>
      <c r="E240" t="s">
        <v>1</v>
      </c>
      <c r="F240" t="s">
        <v>1</v>
      </c>
      <c r="G240" t="s">
        <v>275</v>
      </c>
      <c r="H240" t="s">
        <v>275</v>
      </c>
      <c r="I240" t="s">
        <v>1</v>
      </c>
      <c r="J240" t="s">
        <v>1</v>
      </c>
      <c r="K240" t="s">
        <v>1</v>
      </c>
      <c r="L240" t="s">
        <v>275</v>
      </c>
      <c r="M240" t="s">
        <v>1</v>
      </c>
      <c r="N240" t="s">
        <v>1</v>
      </c>
      <c r="O240" t="s">
        <v>1</v>
      </c>
      <c r="P240" t="s">
        <v>275</v>
      </c>
      <c r="Q240" t="s">
        <v>275</v>
      </c>
      <c r="R240" t="s">
        <v>275</v>
      </c>
      <c r="S240" t="s">
        <v>275</v>
      </c>
      <c r="T240" t="s">
        <v>275</v>
      </c>
      <c r="U240" t="s">
        <v>275</v>
      </c>
      <c r="V240" t="s">
        <v>275</v>
      </c>
      <c r="W240" t="s">
        <v>10</v>
      </c>
      <c r="X240" t="s">
        <v>275</v>
      </c>
      <c r="Y240" t="s">
        <v>275</v>
      </c>
      <c r="Z240" t="s">
        <v>275</v>
      </c>
      <c r="AA240" t="s">
        <v>275</v>
      </c>
      <c r="AB240" t="s">
        <v>275</v>
      </c>
      <c r="AC240" t="s">
        <v>275</v>
      </c>
      <c r="AD240" t="s">
        <v>275</v>
      </c>
    </row>
    <row r="241" spans="1:30">
      <c r="A241">
        <v>239</v>
      </c>
      <c r="B241" t="s">
        <v>620</v>
      </c>
      <c r="C241" t="s">
        <v>621</v>
      </c>
      <c r="D241" t="str">
        <f>IF(VLOOKUP(C241,'Capabilities Overview'!$A$2:$A$587,1)=C241,"","Not in UCL")</f>
        <v/>
      </c>
      <c r="E241" t="s">
        <v>1</v>
      </c>
      <c r="F241" t="s">
        <v>275</v>
      </c>
      <c r="G241" t="s">
        <v>275</v>
      </c>
      <c r="H241" t="s">
        <v>275</v>
      </c>
      <c r="I241" t="s">
        <v>275</v>
      </c>
      <c r="J241" t="s">
        <v>275</v>
      </c>
      <c r="K241" t="s">
        <v>275</v>
      </c>
      <c r="L241" t="s">
        <v>275</v>
      </c>
      <c r="M241" t="s">
        <v>1</v>
      </c>
      <c r="N241" t="s">
        <v>1</v>
      </c>
      <c r="O241" t="s">
        <v>1</v>
      </c>
      <c r="P241" t="s">
        <v>275</v>
      </c>
      <c r="Q241" t="s">
        <v>1</v>
      </c>
      <c r="R241" t="s">
        <v>275</v>
      </c>
      <c r="S241" t="s">
        <v>275</v>
      </c>
      <c r="T241" t="s">
        <v>275</v>
      </c>
      <c r="U241" t="s">
        <v>275</v>
      </c>
      <c r="V241" t="s">
        <v>275</v>
      </c>
      <c r="W241" t="s">
        <v>10</v>
      </c>
      <c r="X241" t="s">
        <v>275</v>
      </c>
      <c r="Y241" t="s">
        <v>275</v>
      </c>
      <c r="Z241" t="s">
        <v>275</v>
      </c>
      <c r="AA241" t="s">
        <v>275</v>
      </c>
      <c r="AB241" t="s">
        <v>275</v>
      </c>
      <c r="AC241" t="s">
        <v>275</v>
      </c>
      <c r="AD241" t="s">
        <v>275</v>
      </c>
    </row>
    <row r="242" spans="1:30">
      <c r="A242">
        <v>240</v>
      </c>
      <c r="B242" t="s">
        <v>622</v>
      </c>
      <c r="C242" t="s">
        <v>623</v>
      </c>
      <c r="D242" t="str">
        <f>IF(VLOOKUP(C242,'Capabilities Overview'!$A$2:$A$587,1)=C242,"","Not in UCL")</f>
        <v>Not in UCL</v>
      </c>
      <c r="E242" t="s">
        <v>1</v>
      </c>
      <c r="F242" t="s">
        <v>1</v>
      </c>
      <c r="G242" t="s">
        <v>275</v>
      </c>
      <c r="H242" t="s">
        <v>275</v>
      </c>
      <c r="I242" t="s">
        <v>1</v>
      </c>
      <c r="J242" t="s">
        <v>1</v>
      </c>
      <c r="K242" t="s">
        <v>1</v>
      </c>
      <c r="L242" t="s">
        <v>275</v>
      </c>
      <c r="M242" t="s">
        <v>1</v>
      </c>
      <c r="N242" t="s">
        <v>1</v>
      </c>
      <c r="O242" t="s">
        <v>1</v>
      </c>
      <c r="P242" t="s">
        <v>275</v>
      </c>
      <c r="Q242" t="s">
        <v>275</v>
      </c>
      <c r="R242" t="s">
        <v>275</v>
      </c>
      <c r="S242" t="s">
        <v>275</v>
      </c>
      <c r="T242" t="s">
        <v>275</v>
      </c>
      <c r="U242" t="s">
        <v>275</v>
      </c>
      <c r="V242" t="s">
        <v>275</v>
      </c>
      <c r="W242" t="s">
        <v>10</v>
      </c>
      <c r="X242" t="s">
        <v>275</v>
      </c>
      <c r="Y242" t="s">
        <v>275</v>
      </c>
      <c r="Z242" t="s">
        <v>275</v>
      </c>
      <c r="AA242" t="s">
        <v>275</v>
      </c>
      <c r="AB242" t="s">
        <v>275</v>
      </c>
      <c r="AC242" t="s">
        <v>275</v>
      </c>
      <c r="AD242" t="s">
        <v>275</v>
      </c>
    </row>
    <row r="243" spans="1:30">
      <c r="A243">
        <v>241</v>
      </c>
      <c r="B243" t="s">
        <v>624</v>
      </c>
      <c r="C243" t="s">
        <v>625</v>
      </c>
      <c r="D243" t="str">
        <f>IF(VLOOKUP(C243,'Capabilities Overview'!$A$2:$A$587,1)=C243,"","Not in UCL")</f>
        <v>Not in UCL</v>
      </c>
      <c r="E243" t="s">
        <v>1</v>
      </c>
      <c r="F243" t="s">
        <v>1</v>
      </c>
      <c r="G243" t="s">
        <v>275</v>
      </c>
      <c r="H243" t="s">
        <v>275</v>
      </c>
      <c r="I243" t="s">
        <v>1</v>
      </c>
      <c r="J243" t="s">
        <v>1</v>
      </c>
      <c r="K243" t="s">
        <v>1</v>
      </c>
      <c r="L243" t="s">
        <v>275</v>
      </c>
      <c r="M243" t="s">
        <v>1</v>
      </c>
      <c r="N243" t="s">
        <v>1</v>
      </c>
      <c r="O243" t="s">
        <v>1</v>
      </c>
      <c r="P243" t="s">
        <v>275</v>
      </c>
      <c r="Q243" t="s">
        <v>275</v>
      </c>
      <c r="R243" t="s">
        <v>275</v>
      </c>
      <c r="S243" t="s">
        <v>275</v>
      </c>
      <c r="T243" t="s">
        <v>275</v>
      </c>
      <c r="U243" t="s">
        <v>275</v>
      </c>
      <c r="V243" t="s">
        <v>275</v>
      </c>
      <c r="W243" t="s">
        <v>10</v>
      </c>
      <c r="X243" t="s">
        <v>275</v>
      </c>
      <c r="Y243" t="s">
        <v>275</v>
      </c>
      <c r="Z243" t="s">
        <v>275</v>
      </c>
      <c r="AA243" t="s">
        <v>275</v>
      </c>
      <c r="AB243" t="s">
        <v>275</v>
      </c>
      <c r="AC243" t="s">
        <v>275</v>
      </c>
      <c r="AD243" t="s">
        <v>275</v>
      </c>
    </row>
    <row r="244" spans="1:30">
      <c r="A244">
        <v>242</v>
      </c>
      <c r="B244" t="s">
        <v>626</v>
      </c>
      <c r="C244" t="s">
        <v>627</v>
      </c>
      <c r="D244" t="str">
        <f>IF(VLOOKUP(C244,'Capabilities Overview'!$A$2:$A$587,1)=C244,"","Not in UCL")</f>
        <v>Not in UCL</v>
      </c>
      <c r="E244" t="s">
        <v>1</v>
      </c>
      <c r="F244" t="s">
        <v>1</v>
      </c>
      <c r="G244" t="s">
        <v>275</v>
      </c>
      <c r="H244" t="s">
        <v>275</v>
      </c>
      <c r="I244" t="s">
        <v>1</v>
      </c>
      <c r="J244" t="s">
        <v>1</v>
      </c>
      <c r="K244" t="s">
        <v>1</v>
      </c>
      <c r="L244" t="s">
        <v>275</v>
      </c>
      <c r="M244" t="s">
        <v>1</v>
      </c>
      <c r="N244" t="s">
        <v>1</v>
      </c>
      <c r="O244" t="s">
        <v>1</v>
      </c>
      <c r="P244" t="s">
        <v>275</v>
      </c>
      <c r="Q244" t="s">
        <v>275</v>
      </c>
      <c r="R244" t="s">
        <v>275</v>
      </c>
      <c r="S244" t="s">
        <v>275</v>
      </c>
      <c r="T244" t="s">
        <v>275</v>
      </c>
      <c r="U244" t="s">
        <v>275</v>
      </c>
      <c r="V244" t="s">
        <v>275</v>
      </c>
      <c r="W244" t="s">
        <v>10</v>
      </c>
      <c r="X244" t="s">
        <v>275</v>
      </c>
      <c r="Y244" t="s">
        <v>275</v>
      </c>
      <c r="Z244" t="s">
        <v>275</v>
      </c>
      <c r="AA244" t="s">
        <v>275</v>
      </c>
      <c r="AB244" t="s">
        <v>275</v>
      </c>
      <c r="AC244" t="s">
        <v>275</v>
      </c>
      <c r="AD244" t="s">
        <v>275</v>
      </c>
    </row>
    <row r="245" spans="1:30">
      <c r="A245">
        <v>243</v>
      </c>
      <c r="B245" t="s">
        <v>628</v>
      </c>
      <c r="C245" t="s">
        <v>629</v>
      </c>
      <c r="D245" t="str">
        <f>IF(VLOOKUP(C245,'Capabilities Overview'!$A$2:$A$587,1)=C245,"","Not in UCL")</f>
        <v>Not in UCL</v>
      </c>
      <c r="E245" t="s">
        <v>1</v>
      </c>
      <c r="F245" t="s">
        <v>1</v>
      </c>
      <c r="G245" t="s">
        <v>275</v>
      </c>
      <c r="H245" t="s">
        <v>275</v>
      </c>
      <c r="I245" t="s">
        <v>1</v>
      </c>
      <c r="J245" t="s">
        <v>1</v>
      </c>
      <c r="K245" t="s">
        <v>1</v>
      </c>
      <c r="L245" t="s">
        <v>275</v>
      </c>
      <c r="M245" t="s">
        <v>1</v>
      </c>
      <c r="N245" t="s">
        <v>1</v>
      </c>
      <c r="O245" t="s">
        <v>1</v>
      </c>
      <c r="P245" t="s">
        <v>275</v>
      </c>
      <c r="Q245" t="s">
        <v>275</v>
      </c>
      <c r="R245" t="s">
        <v>275</v>
      </c>
      <c r="S245" t="s">
        <v>275</v>
      </c>
      <c r="T245" t="s">
        <v>275</v>
      </c>
      <c r="U245" t="s">
        <v>275</v>
      </c>
      <c r="V245" t="s">
        <v>275</v>
      </c>
      <c r="W245" t="s">
        <v>10</v>
      </c>
      <c r="X245" t="s">
        <v>275</v>
      </c>
      <c r="Y245" t="s">
        <v>275</v>
      </c>
      <c r="Z245" t="s">
        <v>275</v>
      </c>
      <c r="AA245" t="s">
        <v>275</v>
      </c>
      <c r="AB245" t="s">
        <v>275</v>
      </c>
      <c r="AC245" t="s">
        <v>275</v>
      </c>
      <c r="AD245" t="s">
        <v>275</v>
      </c>
    </row>
    <row r="246" spans="1:30">
      <c r="A246">
        <v>244</v>
      </c>
      <c r="B246" t="s">
        <v>630</v>
      </c>
      <c r="C246" t="s">
        <v>631</v>
      </c>
      <c r="D246" t="str">
        <f>IF(VLOOKUP(C246,'Capabilities Overview'!$A$2:$A$587,1)=C246,"","Not in UCL")</f>
        <v/>
      </c>
      <c r="E246" t="s">
        <v>1</v>
      </c>
      <c r="F246" t="s">
        <v>1</v>
      </c>
      <c r="G246" t="s">
        <v>275</v>
      </c>
      <c r="H246" t="s">
        <v>275</v>
      </c>
      <c r="I246" t="s">
        <v>1</v>
      </c>
      <c r="J246" t="s">
        <v>1</v>
      </c>
      <c r="K246" t="s">
        <v>1</v>
      </c>
      <c r="L246" t="s">
        <v>275</v>
      </c>
      <c r="M246" t="s">
        <v>1</v>
      </c>
      <c r="N246" t="s">
        <v>1</v>
      </c>
      <c r="O246" t="s">
        <v>1</v>
      </c>
      <c r="P246" t="s">
        <v>275</v>
      </c>
      <c r="Q246" t="s">
        <v>275</v>
      </c>
      <c r="R246" t="s">
        <v>275</v>
      </c>
      <c r="S246" t="s">
        <v>275</v>
      </c>
      <c r="T246" t="s">
        <v>275</v>
      </c>
      <c r="U246" t="s">
        <v>275</v>
      </c>
      <c r="V246" t="s">
        <v>275</v>
      </c>
      <c r="W246" t="s">
        <v>10</v>
      </c>
      <c r="X246" t="s">
        <v>275</v>
      </c>
      <c r="Y246" t="s">
        <v>275</v>
      </c>
      <c r="Z246" t="s">
        <v>275</v>
      </c>
      <c r="AA246" t="s">
        <v>275</v>
      </c>
      <c r="AB246" t="s">
        <v>275</v>
      </c>
      <c r="AC246" t="s">
        <v>275</v>
      </c>
      <c r="AD246" t="s">
        <v>275</v>
      </c>
    </row>
    <row r="247" spans="1:30">
      <c r="A247">
        <v>245</v>
      </c>
      <c r="B247" t="s">
        <v>632</v>
      </c>
      <c r="C247" t="s">
        <v>633</v>
      </c>
      <c r="D247" t="str">
        <f>IF(VLOOKUP(C247,'Capabilities Overview'!$A$2:$A$587,1)=C247,"","Not in UCL")</f>
        <v/>
      </c>
      <c r="E247" t="s">
        <v>1</v>
      </c>
      <c r="F247" t="s">
        <v>1</v>
      </c>
      <c r="G247" t="s">
        <v>275</v>
      </c>
      <c r="H247" t="s">
        <v>275</v>
      </c>
      <c r="I247" t="s">
        <v>1</v>
      </c>
      <c r="J247" t="s">
        <v>1</v>
      </c>
      <c r="K247" t="s">
        <v>1</v>
      </c>
      <c r="L247" t="s">
        <v>275</v>
      </c>
      <c r="M247" t="s">
        <v>1</v>
      </c>
      <c r="N247" t="s">
        <v>1</v>
      </c>
      <c r="O247" t="s">
        <v>1</v>
      </c>
      <c r="P247" t="s">
        <v>275</v>
      </c>
      <c r="Q247" t="s">
        <v>275</v>
      </c>
      <c r="R247" t="s">
        <v>275</v>
      </c>
      <c r="S247" t="s">
        <v>275</v>
      </c>
      <c r="T247" t="s">
        <v>275</v>
      </c>
      <c r="U247" t="s">
        <v>275</v>
      </c>
      <c r="V247" t="s">
        <v>275</v>
      </c>
      <c r="W247" t="s">
        <v>10</v>
      </c>
      <c r="X247" t="s">
        <v>275</v>
      </c>
      <c r="Y247" t="s">
        <v>275</v>
      </c>
      <c r="Z247" t="s">
        <v>275</v>
      </c>
      <c r="AA247" t="s">
        <v>275</v>
      </c>
      <c r="AB247" t="s">
        <v>275</v>
      </c>
      <c r="AC247" t="s">
        <v>275</v>
      </c>
      <c r="AD247" t="s">
        <v>275</v>
      </c>
    </row>
    <row r="248" spans="1:30">
      <c r="A248">
        <v>246</v>
      </c>
      <c r="B248" t="s">
        <v>634</v>
      </c>
      <c r="C248" t="s">
        <v>635</v>
      </c>
      <c r="D248" t="str">
        <f>IF(VLOOKUP(C248,'Capabilities Overview'!$A$2:$A$587,1)=C248,"","Not in UCL")</f>
        <v/>
      </c>
      <c r="E248" t="s">
        <v>1</v>
      </c>
      <c r="F248" t="s">
        <v>1</v>
      </c>
      <c r="G248" t="s">
        <v>275</v>
      </c>
      <c r="H248" t="s">
        <v>275</v>
      </c>
      <c r="I248" t="s">
        <v>1</v>
      </c>
      <c r="J248" t="s">
        <v>1</v>
      </c>
      <c r="K248" t="s">
        <v>1</v>
      </c>
      <c r="L248" t="s">
        <v>275</v>
      </c>
      <c r="M248" t="s">
        <v>1</v>
      </c>
      <c r="N248" t="s">
        <v>1</v>
      </c>
      <c r="O248" t="s">
        <v>1</v>
      </c>
      <c r="P248" t="s">
        <v>275</v>
      </c>
      <c r="Q248" t="s">
        <v>275</v>
      </c>
      <c r="R248" t="s">
        <v>275</v>
      </c>
      <c r="S248" t="s">
        <v>275</v>
      </c>
      <c r="T248" t="s">
        <v>275</v>
      </c>
      <c r="U248" t="s">
        <v>275</v>
      </c>
      <c r="V248" t="s">
        <v>275</v>
      </c>
      <c r="W248" t="s">
        <v>10</v>
      </c>
      <c r="X248" t="s">
        <v>275</v>
      </c>
      <c r="Y248" t="s">
        <v>275</v>
      </c>
      <c r="Z248" t="s">
        <v>275</v>
      </c>
      <c r="AA248" t="s">
        <v>275</v>
      </c>
      <c r="AB248" t="s">
        <v>275</v>
      </c>
      <c r="AC248" t="s">
        <v>275</v>
      </c>
      <c r="AD248" t="s">
        <v>275</v>
      </c>
    </row>
    <row r="249" spans="1:30">
      <c r="A249">
        <v>247</v>
      </c>
      <c r="B249" t="s">
        <v>636</v>
      </c>
      <c r="C249" t="s">
        <v>637</v>
      </c>
      <c r="D249" t="str">
        <f>IF(VLOOKUP(C249,'Capabilities Overview'!$A$2:$A$587,1)=C249,"","Not in UCL")</f>
        <v/>
      </c>
      <c r="E249" t="s">
        <v>1</v>
      </c>
      <c r="F249" t="s">
        <v>1</v>
      </c>
      <c r="G249" t="s">
        <v>275</v>
      </c>
      <c r="H249" t="s">
        <v>275</v>
      </c>
      <c r="I249" t="s">
        <v>1</v>
      </c>
      <c r="J249" t="s">
        <v>1</v>
      </c>
      <c r="K249" t="s">
        <v>1</v>
      </c>
      <c r="L249" t="s">
        <v>275</v>
      </c>
      <c r="M249" t="s">
        <v>1</v>
      </c>
      <c r="N249" t="s">
        <v>1</v>
      </c>
      <c r="O249" t="s">
        <v>1</v>
      </c>
      <c r="P249" t="s">
        <v>275</v>
      </c>
      <c r="Q249" t="s">
        <v>275</v>
      </c>
      <c r="R249" t="s">
        <v>275</v>
      </c>
      <c r="S249" t="s">
        <v>275</v>
      </c>
      <c r="T249" t="s">
        <v>275</v>
      </c>
      <c r="U249" t="s">
        <v>275</v>
      </c>
      <c r="V249" t="s">
        <v>275</v>
      </c>
      <c r="W249" t="s">
        <v>10</v>
      </c>
      <c r="X249" t="s">
        <v>275</v>
      </c>
      <c r="Y249" t="s">
        <v>275</v>
      </c>
      <c r="Z249" t="s">
        <v>275</v>
      </c>
      <c r="AA249" t="s">
        <v>275</v>
      </c>
      <c r="AB249" t="s">
        <v>275</v>
      </c>
      <c r="AC249" t="s">
        <v>275</v>
      </c>
      <c r="AD249" t="s">
        <v>275</v>
      </c>
    </row>
    <row r="250" spans="1:30">
      <c r="A250">
        <v>248</v>
      </c>
      <c r="B250" t="s">
        <v>638</v>
      </c>
      <c r="C250" t="s">
        <v>639</v>
      </c>
      <c r="D250" t="str">
        <f>IF(VLOOKUP(C250,'Capabilities Overview'!$A$2:$A$587,1)=C250,"","Not in UCL")</f>
        <v>Not in UCL</v>
      </c>
      <c r="E250" t="s">
        <v>10</v>
      </c>
      <c r="F250" t="s">
        <v>275</v>
      </c>
      <c r="G250" t="s">
        <v>275</v>
      </c>
      <c r="H250" t="s">
        <v>275</v>
      </c>
      <c r="I250" t="s">
        <v>275</v>
      </c>
      <c r="J250" t="s">
        <v>275</v>
      </c>
      <c r="K250" t="s">
        <v>275</v>
      </c>
      <c r="L250" t="s">
        <v>275</v>
      </c>
      <c r="M250" t="s">
        <v>10</v>
      </c>
      <c r="N250" t="s">
        <v>10</v>
      </c>
      <c r="O250" t="s">
        <v>10</v>
      </c>
      <c r="P250" t="s">
        <v>275</v>
      </c>
      <c r="Q250" t="s">
        <v>10</v>
      </c>
      <c r="R250" t="s">
        <v>10</v>
      </c>
      <c r="S250" t="s">
        <v>10</v>
      </c>
      <c r="T250" t="s">
        <v>275</v>
      </c>
      <c r="U250" t="s">
        <v>275</v>
      </c>
      <c r="V250" t="s">
        <v>275</v>
      </c>
      <c r="W250" t="s">
        <v>10</v>
      </c>
      <c r="X250" t="s">
        <v>275</v>
      </c>
      <c r="Y250" t="s">
        <v>275</v>
      </c>
      <c r="Z250" t="s">
        <v>275</v>
      </c>
      <c r="AA250" t="s">
        <v>275</v>
      </c>
      <c r="AB250" t="s">
        <v>275</v>
      </c>
      <c r="AC250" t="s">
        <v>275</v>
      </c>
      <c r="AD250" t="s">
        <v>275</v>
      </c>
    </row>
    <row r="251" spans="1:30">
      <c r="A251">
        <v>249</v>
      </c>
      <c r="B251" t="s">
        <v>640</v>
      </c>
      <c r="C251" t="s">
        <v>641</v>
      </c>
      <c r="D251" t="str">
        <f>IF(VLOOKUP(C251,'Capabilities Overview'!$A$2:$A$587,1)=C251,"","Not in UCL")</f>
        <v/>
      </c>
      <c r="E251" t="s">
        <v>1</v>
      </c>
      <c r="F251" t="s">
        <v>1</v>
      </c>
      <c r="G251" t="s">
        <v>275</v>
      </c>
      <c r="H251" t="s">
        <v>275</v>
      </c>
      <c r="I251" t="s">
        <v>1</v>
      </c>
      <c r="J251" t="s">
        <v>1</v>
      </c>
      <c r="K251" t="s">
        <v>1</v>
      </c>
      <c r="L251" t="s">
        <v>275</v>
      </c>
      <c r="M251" t="s">
        <v>1</v>
      </c>
      <c r="N251" t="s">
        <v>1</v>
      </c>
      <c r="O251" t="s">
        <v>1</v>
      </c>
      <c r="P251" t="s">
        <v>275</v>
      </c>
      <c r="Q251" t="s">
        <v>275</v>
      </c>
      <c r="R251" t="s">
        <v>275</v>
      </c>
      <c r="S251" t="s">
        <v>275</v>
      </c>
      <c r="T251" t="s">
        <v>275</v>
      </c>
      <c r="U251" t="s">
        <v>275</v>
      </c>
      <c r="V251" t="s">
        <v>275</v>
      </c>
      <c r="W251" t="s">
        <v>10</v>
      </c>
      <c r="X251" t="s">
        <v>275</v>
      </c>
      <c r="Y251" t="s">
        <v>275</v>
      </c>
      <c r="Z251" t="s">
        <v>275</v>
      </c>
      <c r="AA251" t="s">
        <v>275</v>
      </c>
      <c r="AB251" t="s">
        <v>275</v>
      </c>
      <c r="AC251" t="s">
        <v>275</v>
      </c>
      <c r="AD251" t="s">
        <v>275</v>
      </c>
    </row>
    <row r="252" spans="1:30">
      <c r="A252">
        <v>250</v>
      </c>
      <c r="B252" t="s">
        <v>642</v>
      </c>
      <c r="C252" t="s">
        <v>643</v>
      </c>
      <c r="D252" t="str">
        <f>IF(VLOOKUP(C252,'Capabilities Overview'!$A$2:$A$587,1)=C252,"","Not in UCL")</f>
        <v/>
      </c>
      <c r="E252" t="s">
        <v>1</v>
      </c>
      <c r="F252" t="s">
        <v>1</v>
      </c>
      <c r="G252" t="s">
        <v>275</v>
      </c>
      <c r="H252" t="s">
        <v>275</v>
      </c>
      <c r="I252" t="s">
        <v>1</v>
      </c>
      <c r="J252" t="s">
        <v>1</v>
      </c>
      <c r="K252" t="s">
        <v>1</v>
      </c>
      <c r="L252" t="s">
        <v>275</v>
      </c>
      <c r="M252" t="s">
        <v>1</v>
      </c>
      <c r="N252" t="s">
        <v>1</v>
      </c>
      <c r="O252" t="s">
        <v>1</v>
      </c>
      <c r="P252" t="s">
        <v>275</v>
      </c>
      <c r="Q252" t="s">
        <v>275</v>
      </c>
      <c r="R252" t="s">
        <v>275</v>
      </c>
      <c r="S252" t="s">
        <v>275</v>
      </c>
      <c r="T252" t="s">
        <v>275</v>
      </c>
      <c r="U252" t="s">
        <v>275</v>
      </c>
      <c r="V252" t="s">
        <v>275</v>
      </c>
      <c r="W252" t="s">
        <v>10</v>
      </c>
      <c r="X252" t="s">
        <v>275</v>
      </c>
      <c r="Y252" t="s">
        <v>275</v>
      </c>
      <c r="Z252" t="s">
        <v>275</v>
      </c>
      <c r="AA252" t="s">
        <v>275</v>
      </c>
      <c r="AB252" t="s">
        <v>275</v>
      </c>
      <c r="AC252" t="s">
        <v>275</v>
      </c>
      <c r="AD252" t="s">
        <v>275</v>
      </c>
    </row>
    <row r="253" spans="1:30">
      <c r="A253">
        <v>251</v>
      </c>
      <c r="B253" t="s">
        <v>644</v>
      </c>
      <c r="C253" t="s">
        <v>645</v>
      </c>
      <c r="D253" t="str">
        <f>IF(VLOOKUP(C253,'Capabilities Overview'!$A$2:$A$587,1)=C253,"","Not in UCL")</f>
        <v>Not in UCL</v>
      </c>
      <c r="E253" t="s">
        <v>1</v>
      </c>
      <c r="F253" t="s">
        <v>1</v>
      </c>
      <c r="G253" t="s">
        <v>275</v>
      </c>
      <c r="H253" t="s">
        <v>275</v>
      </c>
      <c r="I253" t="s">
        <v>1</v>
      </c>
      <c r="J253" t="s">
        <v>1</v>
      </c>
      <c r="K253" t="s">
        <v>1</v>
      </c>
      <c r="L253" t="s">
        <v>275</v>
      </c>
      <c r="M253" t="s">
        <v>1</v>
      </c>
      <c r="N253" t="s">
        <v>1</v>
      </c>
      <c r="O253" t="s">
        <v>1</v>
      </c>
      <c r="P253" t="s">
        <v>275</v>
      </c>
      <c r="Q253" t="s">
        <v>275</v>
      </c>
      <c r="R253" t="s">
        <v>275</v>
      </c>
      <c r="S253" t="s">
        <v>275</v>
      </c>
      <c r="T253" t="s">
        <v>275</v>
      </c>
      <c r="U253" t="s">
        <v>275</v>
      </c>
      <c r="V253" t="s">
        <v>275</v>
      </c>
      <c r="W253" t="s">
        <v>10</v>
      </c>
      <c r="X253" t="s">
        <v>275</v>
      </c>
      <c r="Y253" t="s">
        <v>275</v>
      </c>
      <c r="Z253" t="s">
        <v>275</v>
      </c>
      <c r="AA253" t="s">
        <v>275</v>
      </c>
      <c r="AB253" t="s">
        <v>275</v>
      </c>
      <c r="AC253" t="s">
        <v>275</v>
      </c>
      <c r="AD253" t="s">
        <v>275</v>
      </c>
    </row>
    <row r="254" spans="1:30">
      <c r="A254">
        <v>252</v>
      </c>
      <c r="B254" t="s">
        <v>646</v>
      </c>
      <c r="C254" t="s">
        <v>647</v>
      </c>
      <c r="D254" t="str">
        <f>IF(VLOOKUP(C254,'Capabilities Overview'!$A$2:$A$587,1)=C254,"","Not in UCL")</f>
        <v>Not in UCL</v>
      </c>
      <c r="E254" t="s">
        <v>1</v>
      </c>
      <c r="F254" t="s">
        <v>1</v>
      </c>
      <c r="G254" t="s">
        <v>275</v>
      </c>
      <c r="H254" t="s">
        <v>275</v>
      </c>
      <c r="I254" t="s">
        <v>1</v>
      </c>
      <c r="J254" t="s">
        <v>1</v>
      </c>
      <c r="K254" t="s">
        <v>1</v>
      </c>
      <c r="L254" t="s">
        <v>275</v>
      </c>
      <c r="M254" t="s">
        <v>1</v>
      </c>
      <c r="N254" t="s">
        <v>1</v>
      </c>
      <c r="O254" t="s">
        <v>1</v>
      </c>
      <c r="P254" t="s">
        <v>275</v>
      </c>
      <c r="Q254" t="s">
        <v>275</v>
      </c>
      <c r="R254" t="s">
        <v>275</v>
      </c>
      <c r="S254" t="s">
        <v>275</v>
      </c>
      <c r="T254" t="s">
        <v>275</v>
      </c>
      <c r="U254" t="s">
        <v>275</v>
      </c>
      <c r="V254" t="s">
        <v>275</v>
      </c>
      <c r="W254" t="s">
        <v>10</v>
      </c>
      <c r="X254" t="s">
        <v>275</v>
      </c>
      <c r="Y254" t="s">
        <v>275</v>
      </c>
      <c r="Z254" t="s">
        <v>275</v>
      </c>
      <c r="AA254" t="s">
        <v>275</v>
      </c>
      <c r="AB254" t="s">
        <v>275</v>
      </c>
      <c r="AC254" t="s">
        <v>275</v>
      </c>
      <c r="AD254" t="s">
        <v>275</v>
      </c>
    </row>
    <row r="255" spans="1:30">
      <c r="A255">
        <v>253</v>
      </c>
      <c r="B255" t="s">
        <v>648</v>
      </c>
      <c r="C255" t="s">
        <v>649</v>
      </c>
      <c r="D255" t="str">
        <f>IF(VLOOKUP(C255,'Capabilities Overview'!$A$2:$A$587,1)=C255,"","Not in UCL")</f>
        <v/>
      </c>
      <c r="E255" t="s">
        <v>1</v>
      </c>
      <c r="F255" t="s">
        <v>1</v>
      </c>
      <c r="G255" t="s">
        <v>275</v>
      </c>
      <c r="H255" t="s">
        <v>275</v>
      </c>
      <c r="I255" t="s">
        <v>1</v>
      </c>
      <c r="J255" t="s">
        <v>1</v>
      </c>
      <c r="K255" t="s">
        <v>1</v>
      </c>
      <c r="L255" t="s">
        <v>275</v>
      </c>
      <c r="M255" t="s">
        <v>1</v>
      </c>
      <c r="N255" t="s">
        <v>1</v>
      </c>
      <c r="O255" t="s">
        <v>1</v>
      </c>
      <c r="P255" t="s">
        <v>275</v>
      </c>
      <c r="Q255" t="s">
        <v>275</v>
      </c>
      <c r="R255" t="s">
        <v>275</v>
      </c>
      <c r="S255" t="s">
        <v>275</v>
      </c>
      <c r="T255" t="s">
        <v>275</v>
      </c>
      <c r="U255" t="s">
        <v>275</v>
      </c>
      <c r="V255" t="s">
        <v>275</v>
      </c>
      <c r="W255" t="s">
        <v>10</v>
      </c>
      <c r="X255" t="s">
        <v>275</v>
      </c>
      <c r="Y255" t="s">
        <v>275</v>
      </c>
      <c r="Z255" t="s">
        <v>275</v>
      </c>
      <c r="AA255" t="s">
        <v>275</v>
      </c>
      <c r="AB255" t="s">
        <v>275</v>
      </c>
      <c r="AC255" t="s">
        <v>275</v>
      </c>
      <c r="AD255" t="s">
        <v>275</v>
      </c>
    </row>
    <row r="256" spans="1:30">
      <c r="A256">
        <v>254</v>
      </c>
      <c r="B256" t="s">
        <v>650</v>
      </c>
      <c r="C256" t="s">
        <v>651</v>
      </c>
      <c r="D256" t="str">
        <f>IF(VLOOKUP(C256,'Capabilities Overview'!$A$2:$A$587,1)=C256,"","Not in UCL")</f>
        <v/>
      </c>
      <c r="E256" t="s">
        <v>1</v>
      </c>
      <c r="F256" t="s">
        <v>1</v>
      </c>
      <c r="G256" t="s">
        <v>275</v>
      </c>
      <c r="H256" t="s">
        <v>275</v>
      </c>
      <c r="I256" t="s">
        <v>1</v>
      </c>
      <c r="J256" t="s">
        <v>1</v>
      </c>
      <c r="K256" t="s">
        <v>1</v>
      </c>
      <c r="L256" t="s">
        <v>275</v>
      </c>
      <c r="M256" t="s">
        <v>1</v>
      </c>
      <c r="N256" t="s">
        <v>1</v>
      </c>
      <c r="O256" t="s">
        <v>1</v>
      </c>
      <c r="P256" t="s">
        <v>275</v>
      </c>
      <c r="Q256" t="s">
        <v>275</v>
      </c>
      <c r="R256" t="s">
        <v>275</v>
      </c>
      <c r="S256" t="s">
        <v>275</v>
      </c>
      <c r="T256" t="s">
        <v>275</v>
      </c>
      <c r="U256" t="s">
        <v>275</v>
      </c>
      <c r="V256" t="s">
        <v>275</v>
      </c>
      <c r="W256" t="s">
        <v>10</v>
      </c>
      <c r="X256" t="s">
        <v>275</v>
      </c>
      <c r="Y256" t="s">
        <v>275</v>
      </c>
      <c r="Z256" t="s">
        <v>275</v>
      </c>
      <c r="AA256" t="s">
        <v>275</v>
      </c>
      <c r="AB256" t="s">
        <v>275</v>
      </c>
      <c r="AC256" t="s">
        <v>275</v>
      </c>
      <c r="AD256" t="s">
        <v>275</v>
      </c>
    </row>
    <row r="257" spans="1:30">
      <c r="A257">
        <v>255</v>
      </c>
      <c r="B257" t="s">
        <v>652</v>
      </c>
      <c r="C257" t="s">
        <v>653</v>
      </c>
      <c r="D257" t="str">
        <f>IF(VLOOKUP(C257,'Capabilities Overview'!$A$2:$A$587,1)=C257,"","Not in UCL")</f>
        <v/>
      </c>
      <c r="E257" t="s">
        <v>1</v>
      </c>
      <c r="F257" t="s">
        <v>1</v>
      </c>
      <c r="G257" t="s">
        <v>275</v>
      </c>
      <c r="H257" t="s">
        <v>275</v>
      </c>
      <c r="I257" t="s">
        <v>1</v>
      </c>
      <c r="J257" t="s">
        <v>1</v>
      </c>
      <c r="K257" t="s">
        <v>1</v>
      </c>
      <c r="L257" t="s">
        <v>275</v>
      </c>
      <c r="M257" t="s">
        <v>1</v>
      </c>
      <c r="N257" t="s">
        <v>1</v>
      </c>
      <c r="O257" t="s">
        <v>1</v>
      </c>
      <c r="P257" t="s">
        <v>275</v>
      </c>
      <c r="Q257" t="s">
        <v>275</v>
      </c>
      <c r="R257" t="s">
        <v>275</v>
      </c>
      <c r="S257" t="s">
        <v>275</v>
      </c>
      <c r="T257" t="s">
        <v>275</v>
      </c>
      <c r="U257" t="s">
        <v>275</v>
      </c>
      <c r="V257" t="s">
        <v>275</v>
      </c>
      <c r="W257" t="s">
        <v>10</v>
      </c>
      <c r="X257" t="s">
        <v>275</v>
      </c>
      <c r="Y257" t="s">
        <v>275</v>
      </c>
      <c r="Z257" t="s">
        <v>275</v>
      </c>
      <c r="AA257" t="s">
        <v>275</v>
      </c>
      <c r="AB257" t="s">
        <v>275</v>
      </c>
      <c r="AC257" t="s">
        <v>275</v>
      </c>
      <c r="AD257" t="s">
        <v>275</v>
      </c>
    </row>
    <row r="258" spans="1:30">
      <c r="A258">
        <v>256</v>
      </c>
      <c r="B258" t="s">
        <v>654</v>
      </c>
      <c r="C258" t="s">
        <v>655</v>
      </c>
      <c r="D258" t="str">
        <f>IF(VLOOKUP(C258,'Capabilities Overview'!$A$2:$A$587,1)=C258,"","Not in UCL")</f>
        <v/>
      </c>
      <c r="E258" t="s">
        <v>1</v>
      </c>
      <c r="F258" t="s">
        <v>1</v>
      </c>
      <c r="G258" t="s">
        <v>275</v>
      </c>
      <c r="H258" t="s">
        <v>275</v>
      </c>
      <c r="I258" t="s">
        <v>1</v>
      </c>
      <c r="J258" t="s">
        <v>1</v>
      </c>
      <c r="K258" t="s">
        <v>1</v>
      </c>
      <c r="L258" t="s">
        <v>275</v>
      </c>
      <c r="M258" t="s">
        <v>1</v>
      </c>
      <c r="N258" t="s">
        <v>1</v>
      </c>
      <c r="O258" t="s">
        <v>1</v>
      </c>
      <c r="P258" t="s">
        <v>275</v>
      </c>
      <c r="Q258" t="s">
        <v>275</v>
      </c>
      <c r="R258" t="s">
        <v>275</v>
      </c>
      <c r="S258" t="s">
        <v>275</v>
      </c>
      <c r="T258" t="s">
        <v>275</v>
      </c>
      <c r="U258" t="s">
        <v>275</v>
      </c>
      <c r="V258" t="s">
        <v>275</v>
      </c>
      <c r="W258" t="s">
        <v>10</v>
      </c>
      <c r="X258" t="s">
        <v>275</v>
      </c>
      <c r="Y258" t="s">
        <v>275</v>
      </c>
      <c r="Z258" t="s">
        <v>275</v>
      </c>
      <c r="AA258" t="s">
        <v>275</v>
      </c>
      <c r="AB258" t="s">
        <v>275</v>
      </c>
      <c r="AC258" t="s">
        <v>275</v>
      </c>
      <c r="AD258" t="s">
        <v>275</v>
      </c>
    </row>
    <row r="259" spans="1:30">
      <c r="A259">
        <v>257</v>
      </c>
      <c r="B259" t="s">
        <v>656</v>
      </c>
      <c r="C259" t="s">
        <v>657</v>
      </c>
      <c r="D259" t="str">
        <f>IF(VLOOKUP(C259,'Capabilities Overview'!$A$2:$A$587,1)=C259,"","Not in UCL")</f>
        <v/>
      </c>
      <c r="E259" t="s">
        <v>1</v>
      </c>
      <c r="F259" t="s">
        <v>275</v>
      </c>
      <c r="G259" t="s">
        <v>275</v>
      </c>
      <c r="H259" t="s">
        <v>275</v>
      </c>
      <c r="I259" t="s">
        <v>1</v>
      </c>
      <c r="J259" t="s">
        <v>275</v>
      </c>
      <c r="K259" t="s">
        <v>275</v>
      </c>
      <c r="L259" t="s">
        <v>275</v>
      </c>
      <c r="M259" t="s">
        <v>275</v>
      </c>
      <c r="N259" t="s">
        <v>275</v>
      </c>
      <c r="O259" t="s">
        <v>275</v>
      </c>
      <c r="P259" t="s">
        <v>275</v>
      </c>
      <c r="Q259" t="s">
        <v>275</v>
      </c>
      <c r="R259" t="s">
        <v>275</v>
      </c>
      <c r="S259" t="s">
        <v>275</v>
      </c>
      <c r="T259" t="s">
        <v>275</v>
      </c>
      <c r="U259" t="s">
        <v>275</v>
      </c>
      <c r="V259" t="s">
        <v>275</v>
      </c>
      <c r="W259" t="s">
        <v>10</v>
      </c>
      <c r="X259" t="s">
        <v>275</v>
      </c>
      <c r="Y259" t="s">
        <v>275</v>
      </c>
      <c r="Z259" t="s">
        <v>275</v>
      </c>
      <c r="AA259" t="s">
        <v>275</v>
      </c>
      <c r="AB259" t="s">
        <v>275</v>
      </c>
      <c r="AC259" t="s">
        <v>275</v>
      </c>
      <c r="AD259" t="s">
        <v>275</v>
      </c>
    </row>
    <row r="260" spans="1:30">
      <c r="A260">
        <v>258</v>
      </c>
      <c r="B260" t="s">
        <v>658</v>
      </c>
      <c r="C260" t="s">
        <v>659</v>
      </c>
      <c r="D260" t="str">
        <f>IF(VLOOKUP(C260,'Capabilities Overview'!$A$2:$A$587,1)=C260,"","Not in UCL")</f>
        <v/>
      </c>
      <c r="E260" t="s">
        <v>1</v>
      </c>
      <c r="F260" t="s">
        <v>275</v>
      </c>
      <c r="G260" t="s">
        <v>275</v>
      </c>
      <c r="H260" t="s">
        <v>275</v>
      </c>
      <c r="I260" t="s">
        <v>1</v>
      </c>
      <c r="J260" t="s">
        <v>1</v>
      </c>
      <c r="K260" t="s">
        <v>1</v>
      </c>
      <c r="L260" t="s">
        <v>275</v>
      </c>
      <c r="M260" t="s">
        <v>275</v>
      </c>
      <c r="N260" t="s">
        <v>275</v>
      </c>
      <c r="O260" t="s">
        <v>1</v>
      </c>
      <c r="P260" t="s">
        <v>275</v>
      </c>
      <c r="Q260" t="s">
        <v>275</v>
      </c>
      <c r="R260" t="s">
        <v>275</v>
      </c>
      <c r="S260" t="s">
        <v>275</v>
      </c>
      <c r="T260" t="s">
        <v>275</v>
      </c>
      <c r="U260" t="s">
        <v>275</v>
      </c>
      <c r="V260" t="s">
        <v>275</v>
      </c>
      <c r="W260" t="s">
        <v>10</v>
      </c>
      <c r="X260" t="s">
        <v>275</v>
      </c>
      <c r="Y260" t="s">
        <v>275</v>
      </c>
      <c r="Z260" t="s">
        <v>275</v>
      </c>
      <c r="AA260" t="s">
        <v>275</v>
      </c>
      <c r="AB260" t="s">
        <v>275</v>
      </c>
      <c r="AC260" t="s">
        <v>275</v>
      </c>
      <c r="AD260" t="s">
        <v>275</v>
      </c>
    </row>
    <row r="261" spans="1:30">
      <c r="A261">
        <v>259</v>
      </c>
      <c r="B261" t="s">
        <v>660</v>
      </c>
      <c r="C261" t="s">
        <v>661</v>
      </c>
      <c r="D261" t="str">
        <f>IF(VLOOKUP(C261,'Capabilities Overview'!$A$2:$A$587,1)=C261,"","Not in UCL")</f>
        <v/>
      </c>
      <c r="E261" t="s">
        <v>1</v>
      </c>
      <c r="F261" t="s">
        <v>275</v>
      </c>
      <c r="G261" t="s">
        <v>275</v>
      </c>
      <c r="H261" t="s">
        <v>275</v>
      </c>
      <c r="I261" t="s">
        <v>1</v>
      </c>
      <c r="J261" t="s">
        <v>1</v>
      </c>
      <c r="K261" t="s">
        <v>1</v>
      </c>
      <c r="L261" t="s">
        <v>275</v>
      </c>
      <c r="M261" t="s">
        <v>275</v>
      </c>
      <c r="N261" t="s">
        <v>275</v>
      </c>
      <c r="O261" t="s">
        <v>1</v>
      </c>
      <c r="P261" t="s">
        <v>275</v>
      </c>
      <c r="Q261" t="s">
        <v>275</v>
      </c>
      <c r="R261" t="s">
        <v>275</v>
      </c>
      <c r="S261" t="s">
        <v>275</v>
      </c>
      <c r="T261" t="s">
        <v>275</v>
      </c>
      <c r="U261" t="s">
        <v>275</v>
      </c>
      <c r="V261" t="s">
        <v>275</v>
      </c>
      <c r="W261" t="s">
        <v>10</v>
      </c>
      <c r="X261" t="s">
        <v>275</v>
      </c>
      <c r="Y261" t="s">
        <v>275</v>
      </c>
      <c r="Z261" t="s">
        <v>275</v>
      </c>
      <c r="AA261" t="s">
        <v>275</v>
      </c>
      <c r="AB261" t="s">
        <v>275</v>
      </c>
      <c r="AC261" t="s">
        <v>275</v>
      </c>
      <c r="AD261" t="s">
        <v>275</v>
      </c>
    </row>
    <row r="262" spans="1:30">
      <c r="A262">
        <v>260</v>
      </c>
      <c r="B262" t="s">
        <v>662</v>
      </c>
      <c r="C262" t="s">
        <v>663</v>
      </c>
      <c r="D262" t="str">
        <f>IF(VLOOKUP(C262,'Capabilities Overview'!$A$2:$A$587,1)=C262,"","Not in UCL")</f>
        <v/>
      </c>
      <c r="E262" t="s">
        <v>1</v>
      </c>
      <c r="F262" t="s">
        <v>275</v>
      </c>
      <c r="G262" t="s">
        <v>275</v>
      </c>
      <c r="H262" t="s">
        <v>275</v>
      </c>
      <c r="I262" t="s">
        <v>275</v>
      </c>
      <c r="J262" t="s">
        <v>275</v>
      </c>
      <c r="K262" t="s">
        <v>275</v>
      </c>
      <c r="L262" t="s">
        <v>275</v>
      </c>
      <c r="M262" t="s">
        <v>275</v>
      </c>
      <c r="N262" t="s">
        <v>275</v>
      </c>
      <c r="O262" t="s">
        <v>1</v>
      </c>
      <c r="P262" t="s">
        <v>275</v>
      </c>
      <c r="Q262" t="s">
        <v>275</v>
      </c>
      <c r="R262" t="s">
        <v>275</v>
      </c>
      <c r="S262" t="s">
        <v>275</v>
      </c>
      <c r="T262" t="s">
        <v>275</v>
      </c>
      <c r="U262" t="s">
        <v>275</v>
      </c>
      <c r="V262" t="s">
        <v>275</v>
      </c>
      <c r="W262" t="s">
        <v>10</v>
      </c>
      <c r="X262" t="s">
        <v>275</v>
      </c>
      <c r="Y262" t="s">
        <v>275</v>
      </c>
      <c r="Z262" t="s">
        <v>275</v>
      </c>
      <c r="AA262" t="s">
        <v>275</v>
      </c>
      <c r="AB262" t="s">
        <v>275</v>
      </c>
      <c r="AC262" t="s">
        <v>275</v>
      </c>
      <c r="AD262" t="s">
        <v>275</v>
      </c>
    </row>
    <row r="263" spans="1:30">
      <c r="A263">
        <v>261</v>
      </c>
      <c r="B263" t="s">
        <v>664</v>
      </c>
      <c r="C263" t="s">
        <v>665</v>
      </c>
      <c r="D263" t="str">
        <f>IF(VLOOKUP(C263,'Capabilities Overview'!$A$2:$A$587,1)=C263,"","Not in UCL")</f>
        <v/>
      </c>
      <c r="E263" t="s">
        <v>1</v>
      </c>
      <c r="F263" t="s">
        <v>275</v>
      </c>
      <c r="G263" t="s">
        <v>275</v>
      </c>
      <c r="H263" t="s">
        <v>275</v>
      </c>
      <c r="I263" t="s">
        <v>275</v>
      </c>
      <c r="J263" t="s">
        <v>1</v>
      </c>
      <c r="K263" t="s">
        <v>1</v>
      </c>
      <c r="L263" t="s">
        <v>275</v>
      </c>
      <c r="M263" t="s">
        <v>1</v>
      </c>
      <c r="N263" t="s">
        <v>1</v>
      </c>
      <c r="O263" t="s">
        <v>1</v>
      </c>
      <c r="P263" t="s">
        <v>275</v>
      </c>
      <c r="Q263" t="s">
        <v>275</v>
      </c>
      <c r="R263" t="s">
        <v>275</v>
      </c>
      <c r="S263" t="s">
        <v>275</v>
      </c>
      <c r="T263" t="s">
        <v>275</v>
      </c>
      <c r="U263" t="s">
        <v>275</v>
      </c>
      <c r="V263" t="s">
        <v>275</v>
      </c>
      <c r="W263" t="s">
        <v>10</v>
      </c>
      <c r="X263" t="s">
        <v>275</v>
      </c>
      <c r="Y263" t="s">
        <v>275</v>
      </c>
      <c r="Z263" t="s">
        <v>275</v>
      </c>
      <c r="AA263" t="s">
        <v>275</v>
      </c>
      <c r="AB263" t="s">
        <v>275</v>
      </c>
      <c r="AC263" t="s">
        <v>275</v>
      </c>
      <c r="AD263" t="s">
        <v>275</v>
      </c>
    </row>
    <row r="264" spans="1:30">
      <c r="A264">
        <v>262</v>
      </c>
      <c r="B264" t="s">
        <v>666</v>
      </c>
      <c r="C264" t="s">
        <v>667</v>
      </c>
      <c r="D264" t="str">
        <f>IF(VLOOKUP(C264,'Capabilities Overview'!$A$2:$A$587,1)=C264,"","Not in UCL")</f>
        <v/>
      </c>
      <c r="E264" t="s">
        <v>1</v>
      </c>
      <c r="F264" t="s">
        <v>275</v>
      </c>
      <c r="G264" t="s">
        <v>275</v>
      </c>
      <c r="H264" t="s">
        <v>275</v>
      </c>
      <c r="I264" t="s">
        <v>275</v>
      </c>
      <c r="J264" t="s">
        <v>275</v>
      </c>
      <c r="K264" t="s">
        <v>275</v>
      </c>
      <c r="L264" t="s">
        <v>275</v>
      </c>
      <c r="M264" t="s">
        <v>275</v>
      </c>
      <c r="N264" t="s">
        <v>275</v>
      </c>
      <c r="O264" t="s">
        <v>1</v>
      </c>
      <c r="P264" t="s">
        <v>275</v>
      </c>
      <c r="Q264" t="s">
        <v>275</v>
      </c>
      <c r="R264" t="s">
        <v>275</v>
      </c>
      <c r="S264" t="s">
        <v>275</v>
      </c>
      <c r="T264" t="s">
        <v>275</v>
      </c>
      <c r="U264" t="s">
        <v>275</v>
      </c>
      <c r="V264" t="s">
        <v>275</v>
      </c>
      <c r="W264" t="s">
        <v>10</v>
      </c>
      <c r="X264" t="s">
        <v>275</v>
      </c>
      <c r="Y264" t="s">
        <v>275</v>
      </c>
      <c r="Z264" t="s">
        <v>275</v>
      </c>
      <c r="AA264" t="s">
        <v>275</v>
      </c>
      <c r="AB264" t="s">
        <v>275</v>
      </c>
      <c r="AC264" t="s">
        <v>275</v>
      </c>
      <c r="AD264" t="s">
        <v>275</v>
      </c>
    </row>
    <row r="265" spans="1:30">
      <c r="A265">
        <v>263</v>
      </c>
      <c r="B265" t="s">
        <v>668</v>
      </c>
      <c r="C265" t="s">
        <v>669</v>
      </c>
      <c r="D265" t="str">
        <f>IF(VLOOKUP(C265,'Capabilities Overview'!$A$2:$A$587,1)=C265,"","Not in UCL")</f>
        <v/>
      </c>
      <c r="E265" t="s">
        <v>1</v>
      </c>
      <c r="F265" t="s">
        <v>275</v>
      </c>
      <c r="G265" t="s">
        <v>275</v>
      </c>
      <c r="H265" t="s">
        <v>275</v>
      </c>
      <c r="I265" t="s">
        <v>1</v>
      </c>
      <c r="J265" t="s">
        <v>1</v>
      </c>
      <c r="K265" t="s">
        <v>1</v>
      </c>
      <c r="L265" t="s">
        <v>275</v>
      </c>
      <c r="M265" t="s">
        <v>275</v>
      </c>
      <c r="N265" t="s">
        <v>275</v>
      </c>
      <c r="O265" t="s">
        <v>1</v>
      </c>
      <c r="P265" t="s">
        <v>275</v>
      </c>
      <c r="Q265" t="s">
        <v>275</v>
      </c>
      <c r="R265" t="s">
        <v>275</v>
      </c>
      <c r="S265" t="s">
        <v>275</v>
      </c>
      <c r="T265" t="s">
        <v>275</v>
      </c>
      <c r="U265" t="s">
        <v>275</v>
      </c>
      <c r="V265" t="s">
        <v>275</v>
      </c>
      <c r="W265" t="s">
        <v>10</v>
      </c>
      <c r="X265" t="s">
        <v>275</v>
      </c>
      <c r="Y265" t="s">
        <v>275</v>
      </c>
      <c r="Z265" t="s">
        <v>275</v>
      </c>
      <c r="AA265" t="s">
        <v>275</v>
      </c>
      <c r="AB265" t="s">
        <v>275</v>
      </c>
      <c r="AC265" t="s">
        <v>275</v>
      </c>
      <c r="AD265" t="s">
        <v>275</v>
      </c>
    </row>
    <row r="266" spans="1:30">
      <c r="A266">
        <v>264</v>
      </c>
      <c r="B266" t="s">
        <v>670</v>
      </c>
      <c r="C266" t="s">
        <v>671</v>
      </c>
      <c r="D266" t="str">
        <f>IF(VLOOKUP(C266,'Capabilities Overview'!$A$2:$A$587,1)=C266,"","Not in UCL")</f>
        <v/>
      </c>
      <c r="E266" t="s">
        <v>1</v>
      </c>
      <c r="F266" t="s">
        <v>275</v>
      </c>
      <c r="G266" t="s">
        <v>275</v>
      </c>
      <c r="H266" t="s">
        <v>275</v>
      </c>
      <c r="I266" t="s">
        <v>1</v>
      </c>
      <c r="J266" t="s">
        <v>41</v>
      </c>
      <c r="K266" t="s">
        <v>41</v>
      </c>
      <c r="L266" t="s">
        <v>275</v>
      </c>
      <c r="M266" t="s">
        <v>275</v>
      </c>
      <c r="N266" t="s">
        <v>275</v>
      </c>
      <c r="O266" t="s">
        <v>275</v>
      </c>
      <c r="P266" t="s">
        <v>275</v>
      </c>
      <c r="Q266" t="s">
        <v>275</v>
      </c>
      <c r="R266" t="s">
        <v>275</v>
      </c>
      <c r="S266" t="s">
        <v>275</v>
      </c>
      <c r="T266" t="s">
        <v>275</v>
      </c>
      <c r="U266" t="s">
        <v>275</v>
      </c>
      <c r="V266" t="s">
        <v>275</v>
      </c>
      <c r="W266" t="s">
        <v>10</v>
      </c>
      <c r="X266" t="s">
        <v>275</v>
      </c>
      <c r="Y266" t="s">
        <v>275</v>
      </c>
      <c r="Z266" t="s">
        <v>275</v>
      </c>
      <c r="AA266" t="s">
        <v>275</v>
      </c>
      <c r="AB266" t="s">
        <v>275</v>
      </c>
      <c r="AC266" t="s">
        <v>275</v>
      </c>
      <c r="AD266" t="s">
        <v>275</v>
      </c>
    </row>
    <row r="267" spans="1:30">
      <c r="A267">
        <v>265</v>
      </c>
      <c r="B267" t="s">
        <v>672</v>
      </c>
      <c r="C267" t="s">
        <v>673</v>
      </c>
      <c r="D267" t="str">
        <f>IF(VLOOKUP(C267,'Capabilities Overview'!$A$2:$A$587,1)=C267,"","Not in UCL")</f>
        <v/>
      </c>
      <c r="E267" t="s">
        <v>1</v>
      </c>
      <c r="F267" t="s">
        <v>275</v>
      </c>
      <c r="G267" t="s">
        <v>275</v>
      </c>
      <c r="H267" t="s">
        <v>275</v>
      </c>
      <c r="I267" t="s">
        <v>275</v>
      </c>
      <c r="J267" t="s">
        <v>275</v>
      </c>
      <c r="K267" t="s">
        <v>275</v>
      </c>
      <c r="L267" t="s">
        <v>275</v>
      </c>
      <c r="M267" t="s">
        <v>1</v>
      </c>
      <c r="N267" t="s">
        <v>1</v>
      </c>
      <c r="O267" t="s">
        <v>1</v>
      </c>
      <c r="P267" t="s">
        <v>275</v>
      </c>
      <c r="Q267" t="s">
        <v>1</v>
      </c>
      <c r="R267" t="s">
        <v>275</v>
      </c>
      <c r="S267" t="s">
        <v>275</v>
      </c>
      <c r="T267" t="s">
        <v>275</v>
      </c>
      <c r="U267" t="s">
        <v>275</v>
      </c>
      <c r="V267" t="s">
        <v>275</v>
      </c>
      <c r="W267" t="s">
        <v>275</v>
      </c>
      <c r="X267" t="s">
        <v>275</v>
      </c>
      <c r="Y267" t="s">
        <v>275</v>
      </c>
      <c r="Z267" t="s">
        <v>275</v>
      </c>
      <c r="AA267" t="s">
        <v>275</v>
      </c>
      <c r="AB267" t="s">
        <v>275</v>
      </c>
      <c r="AC267" t="s">
        <v>275</v>
      </c>
      <c r="AD267" t="s">
        <v>275</v>
      </c>
    </row>
    <row r="268" spans="1:30">
      <c r="A268">
        <v>266</v>
      </c>
      <c r="B268" t="s">
        <v>674</v>
      </c>
      <c r="C268" t="s">
        <v>675</v>
      </c>
      <c r="D268" t="str">
        <f>IF(VLOOKUP(C268,'Capabilities Overview'!$A$2:$A$587,1)=C268,"","Not in UCL")</f>
        <v/>
      </c>
      <c r="E268" t="s">
        <v>1</v>
      </c>
      <c r="F268" t="s">
        <v>275</v>
      </c>
      <c r="G268" t="s">
        <v>275</v>
      </c>
      <c r="H268" t="s">
        <v>275</v>
      </c>
      <c r="I268" t="s">
        <v>275</v>
      </c>
      <c r="J268" t="s">
        <v>275</v>
      </c>
      <c r="K268" t="s">
        <v>275</v>
      </c>
      <c r="L268" t="s">
        <v>275</v>
      </c>
      <c r="M268" t="s">
        <v>1</v>
      </c>
      <c r="N268" t="s">
        <v>1</v>
      </c>
      <c r="O268" t="s">
        <v>1</v>
      </c>
      <c r="P268" t="s">
        <v>275</v>
      </c>
      <c r="Q268" t="s">
        <v>275</v>
      </c>
      <c r="R268" t="s">
        <v>275</v>
      </c>
      <c r="S268" t="s">
        <v>275</v>
      </c>
      <c r="T268" t="s">
        <v>275</v>
      </c>
      <c r="U268" t="s">
        <v>275</v>
      </c>
      <c r="V268" t="s">
        <v>275</v>
      </c>
      <c r="W268" t="s">
        <v>275</v>
      </c>
      <c r="X268" t="s">
        <v>275</v>
      </c>
      <c r="Y268" t="s">
        <v>275</v>
      </c>
      <c r="Z268" t="s">
        <v>275</v>
      </c>
      <c r="AA268" t="s">
        <v>275</v>
      </c>
      <c r="AB268" t="s">
        <v>275</v>
      </c>
      <c r="AC268" t="s">
        <v>275</v>
      </c>
      <c r="AD268" t="s">
        <v>275</v>
      </c>
    </row>
    <row r="269" spans="1:30">
      <c r="A269">
        <v>267</v>
      </c>
      <c r="B269" t="s">
        <v>676</v>
      </c>
      <c r="C269" t="s">
        <v>677</v>
      </c>
      <c r="D269" t="str">
        <f>IF(VLOOKUP(C269,'Capabilities Overview'!$A$2:$A$587,1)=C269,"","Not in UCL")</f>
        <v/>
      </c>
      <c r="E269" t="s">
        <v>1</v>
      </c>
      <c r="F269" t="s">
        <v>275</v>
      </c>
      <c r="G269" t="s">
        <v>275</v>
      </c>
      <c r="H269" t="s">
        <v>275</v>
      </c>
      <c r="I269" t="s">
        <v>275</v>
      </c>
      <c r="J269" t="s">
        <v>275</v>
      </c>
      <c r="K269" t="s">
        <v>275</v>
      </c>
      <c r="L269" t="s">
        <v>275</v>
      </c>
      <c r="M269" t="s">
        <v>1</v>
      </c>
      <c r="N269" t="s">
        <v>1</v>
      </c>
      <c r="O269" t="s">
        <v>1</v>
      </c>
      <c r="P269" t="s">
        <v>275</v>
      </c>
      <c r="Q269" t="s">
        <v>275</v>
      </c>
      <c r="R269" t="s">
        <v>275</v>
      </c>
      <c r="S269" t="s">
        <v>275</v>
      </c>
      <c r="T269" t="s">
        <v>275</v>
      </c>
      <c r="U269" t="s">
        <v>275</v>
      </c>
      <c r="V269" t="s">
        <v>275</v>
      </c>
      <c r="W269" t="s">
        <v>275</v>
      </c>
      <c r="X269" t="s">
        <v>275</v>
      </c>
      <c r="Y269" t="s">
        <v>275</v>
      </c>
      <c r="Z269" t="s">
        <v>275</v>
      </c>
      <c r="AA269" t="s">
        <v>275</v>
      </c>
      <c r="AB269" t="s">
        <v>275</v>
      </c>
      <c r="AC269" t="s">
        <v>275</v>
      </c>
      <c r="AD269" t="s">
        <v>275</v>
      </c>
    </row>
    <row r="270" spans="1:30">
      <c r="A270">
        <v>268</v>
      </c>
      <c r="B270" t="s">
        <v>678</v>
      </c>
      <c r="C270" t="s">
        <v>679</v>
      </c>
      <c r="D270" t="str">
        <f>IF(VLOOKUP(C270,'Capabilities Overview'!$A$2:$A$587,1)=C270,"","Not in UCL")</f>
        <v/>
      </c>
      <c r="E270" t="s">
        <v>1</v>
      </c>
      <c r="F270" t="s">
        <v>275</v>
      </c>
      <c r="G270" t="s">
        <v>275</v>
      </c>
      <c r="H270" t="s">
        <v>275</v>
      </c>
      <c r="I270" t="s">
        <v>275</v>
      </c>
      <c r="J270" t="s">
        <v>275</v>
      </c>
      <c r="K270" t="s">
        <v>275</v>
      </c>
      <c r="L270" t="s">
        <v>275</v>
      </c>
      <c r="M270" t="s">
        <v>1</v>
      </c>
      <c r="N270" t="s">
        <v>1</v>
      </c>
      <c r="O270" t="s">
        <v>1</v>
      </c>
      <c r="P270" t="s">
        <v>275</v>
      </c>
      <c r="Q270" t="s">
        <v>275</v>
      </c>
      <c r="R270" t="s">
        <v>275</v>
      </c>
      <c r="S270" t="s">
        <v>275</v>
      </c>
      <c r="T270" t="s">
        <v>275</v>
      </c>
      <c r="U270" t="s">
        <v>275</v>
      </c>
      <c r="V270" t="s">
        <v>275</v>
      </c>
      <c r="W270" t="s">
        <v>275</v>
      </c>
      <c r="X270" t="s">
        <v>275</v>
      </c>
      <c r="Y270" t="s">
        <v>275</v>
      </c>
      <c r="Z270" t="s">
        <v>275</v>
      </c>
      <c r="AA270" t="s">
        <v>275</v>
      </c>
      <c r="AB270" t="s">
        <v>275</v>
      </c>
      <c r="AC270" t="s">
        <v>275</v>
      </c>
      <c r="AD270" t="s">
        <v>275</v>
      </c>
    </row>
    <row r="271" spans="1:30">
      <c r="A271">
        <v>269</v>
      </c>
      <c r="B271" t="s">
        <v>680</v>
      </c>
      <c r="C271" t="s">
        <v>681</v>
      </c>
      <c r="D271" t="str">
        <f>IF(VLOOKUP(C271,'Capabilities Overview'!$A$2:$A$587,1)=C271,"","Not in UCL")</f>
        <v/>
      </c>
      <c r="E271" t="s">
        <v>1</v>
      </c>
      <c r="F271" t="s">
        <v>275</v>
      </c>
      <c r="G271" t="s">
        <v>275</v>
      </c>
      <c r="H271" t="s">
        <v>275</v>
      </c>
      <c r="I271" t="s">
        <v>275</v>
      </c>
      <c r="J271" t="s">
        <v>275</v>
      </c>
      <c r="K271" t="s">
        <v>275</v>
      </c>
      <c r="L271" t="s">
        <v>275</v>
      </c>
      <c r="M271" t="s">
        <v>1</v>
      </c>
      <c r="N271" t="s">
        <v>1</v>
      </c>
      <c r="O271" t="s">
        <v>1</v>
      </c>
      <c r="P271" t="s">
        <v>275</v>
      </c>
      <c r="Q271" t="s">
        <v>275</v>
      </c>
      <c r="R271" t="s">
        <v>275</v>
      </c>
      <c r="S271" t="s">
        <v>275</v>
      </c>
      <c r="T271" t="s">
        <v>275</v>
      </c>
      <c r="U271" t="s">
        <v>275</v>
      </c>
      <c r="V271" t="s">
        <v>275</v>
      </c>
      <c r="W271" t="s">
        <v>275</v>
      </c>
      <c r="X271" t="s">
        <v>275</v>
      </c>
      <c r="Y271" t="s">
        <v>275</v>
      </c>
      <c r="Z271" t="s">
        <v>275</v>
      </c>
      <c r="AA271" t="s">
        <v>275</v>
      </c>
      <c r="AB271" t="s">
        <v>275</v>
      </c>
      <c r="AC271" t="s">
        <v>275</v>
      </c>
      <c r="AD271" t="s">
        <v>275</v>
      </c>
    </row>
    <row r="272" spans="1:30">
      <c r="A272">
        <v>270</v>
      </c>
      <c r="B272" t="s">
        <v>682</v>
      </c>
      <c r="C272" t="s">
        <v>683</v>
      </c>
      <c r="D272" t="str">
        <f>IF(VLOOKUP(C272,'Capabilities Overview'!$A$2:$A$587,1)=C272,"","Not in UCL")</f>
        <v/>
      </c>
      <c r="E272" t="s">
        <v>1</v>
      </c>
      <c r="F272" t="s">
        <v>275</v>
      </c>
      <c r="G272" t="s">
        <v>275</v>
      </c>
      <c r="H272" t="s">
        <v>275</v>
      </c>
      <c r="I272" t="s">
        <v>275</v>
      </c>
      <c r="J272" t="s">
        <v>275</v>
      </c>
      <c r="K272" t="s">
        <v>275</v>
      </c>
      <c r="L272" t="s">
        <v>275</v>
      </c>
      <c r="M272" t="s">
        <v>1</v>
      </c>
      <c r="N272" t="s">
        <v>1</v>
      </c>
      <c r="O272" t="s">
        <v>1</v>
      </c>
      <c r="P272" t="s">
        <v>275</v>
      </c>
      <c r="Q272" t="s">
        <v>275</v>
      </c>
      <c r="R272" t="s">
        <v>275</v>
      </c>
      <c r="S272" t="s">
        <v>275</v>
      </c>
      <c r="T272" t="s">
        <v>275</v>
      </c>
      <c r="U272" t="s">
        <v>275</v>
      </c>
      <c r="V272" t="s">
        <v>275</v>
      </c>
      <c r="W272" t="s">
        <v>275</v>
      </c>
      <c r="X272" t="s">
        <v>275</v>
      </c>
      <c r="Y272" t="s">
        <v>275</v>
      </c>
      <c r="Z272" t="s">
        <v>275</v>
      </c>
      <c r="AA272" t="s">
        <v>275</v>
      </c>
      <c r="AB272" t="s">
        <v>275</v>
      </c>
      <c r="AC272" t="s">
        <v>275</v>
      </c>
      <c r="AD272" t="s">
        <v>275</v>
      </c>
    </row>
    <row r="273" spans="1:30">
      <c r="A273">
        <v>271</v>
      </c>
      <c r="B273" t="s">
        <v>128</v>
      </c>
      <c r="C273" t="s">
        <v>129</v>
      </c>
      <c r="D273" t="str">
        <f>IF(VLOOKUP(C273,'Capabilities Overview'!$A$2:$A$587,1)=C273,"","Not in UCL")</f>
        <v/>
      </c>
      <c r="E273" t="s">
        <v>275</v>
      </c>
      <c r="F273" t="s">
        <v>275</v>
      </c>
      <c r="G273" t="s">
        <v>275</v>
      </c>
      <c r="H273" t="s">
        <v>275</v>
      </c>
      <c r="I273" t="s">
        <v>275</v>
      </c>
      <c r="J273" t="s">
        <v>275</v>
      </c>
      <c r="K273" t="s">
        <v>275</v>
      </c>
      <c r="L273" t="s">
        <v>275</v>
      </c>
      <c r="M273" t="s">
        <v>275</v>
      </c>
      <c r="N273" t="s">
        <v>275</v>
      </c>
      <c r="O273" t="s">
        <v>275</v>
      </c>
      <c r="P273" t="s">
        <v>275</v>
      </c>
      <c r="Q273" t="s">
        <v>275</v>
      </c>
      <c r="R273" t="s">
        <v>275</v>
      </c>
      <c r="S273" t="s">
        <v>275</v>
      </c>
      <c r="T273" t="s">
        <v>1</v>
      </c>
      <c r="U273" t="s">
        <v>275</v>
      </c>
      <c r="V273" t="s">
        <v>275</v>
      </c>
      <c r="W273" t="s">
        <v>275</v>
      </c>
      <c r="X273" t="s">
        <v>275</v>
      </c>
      <c r="Y273" t="s">
        <v>275</v>
      </c>
      <c r="Z273" t="s">
        <v>275</v>
      </c>
      <c r="AA273" t="s">
        <v>275</v>
      </c>
      <c r="AB273" t="s">
        <v>275</v>
      </c>
      <c r="AC273" t="s">
        <v>275</v>
      </c>
      <c r="AD273" t="s">
        <v>1</v>
      </c>
    </row>
    <row r="274" spans="1:30">
      <c r="A274">
        <v>272</v>
      </c>
      <c r="B274" t="s">
        <v>684</v>
      </c>
      <c r="C274" t="s">
        <v>685</v>
      </c>
      <c r="D274" t="str">
        <f>IF(VLOOKUP(C274,'Capabilities Overview'!$A$2:$A$587,1)=C274,"","Not in UCL")</f>
        <v/>
      </c>
      <c r="E274" t="s">
        <v>1</v>
      </c>
      <c r="F274" t="s">
        <v>275</v>
      </c>
      <c r="G274" t="s">
        <v>275</v>
      </c>
      <c r="H274" t="s">
        <v>275</v>
      </c>
      <c r="I274" t="s">
        <v>275</v>
      </c>
      <c r="J274" t="s">
        <v>275</v>
      </c>
      <c r="K274" t="s">
        <v>275</v>
      </c>
      <c r="L274" t="s">
        <v>275</v>
      </c>
      <c r="M274" t="s">
        <v>1</v>
      </c>
      <c r="N274" t="s">
        <v>1</v>
      </c>
      <c r="O274" t="s">
        <v>1</v>
      </c>
      <c r="P274" t="s">
        <v>275</v>
      </c>
      <c r="Q274" t="s">
        <v>1</v>
      </c>
      <c r="R274" t="s">
        <v>275</v>
      </c>
      <c r="S274" t="s">
        <v>275</v>
      </c>
      <c r="T274" t="s">
        <v>275</v>
      </c>
      <c r="U274" t="s">
        <v>275</v>
      </c>
      <c r="V274" t="s">
        <v>275</v>
      </c>
      <c r="W274" t="s">
        <v>275</v>
      </c>
      <c r="X274" t="s">
        <v>275</v>
      </c>
      <c r="Y274" t="s">
        <v>275</v>
      </c>
      <c r="Z274" t="s">
        <v>275</v>
      </c>
      <c r="AA274" t="s">
        <v>275</v>
      </c>
      <c r="AB274" t="s">
        <v>275</v>
      </c>
      <c r="AC274" t="s">
        <v>275</v>
      </c>
      <c r="AD274" t="s">
        <v>275</v>
      </c>
    </row>
    <row r="275" spans="1:30">
      <c r="A275">
        <v>273</v>
      </c>
      <c r="B275" t="s">
        <v>130</v>
      </c>
      <c r="C275" t="s">
        <v>131</v>
      </c>
      <c r="D275" t="str">
        <f>IF(VLOOKUP(C275,'Capabilities Overview'!$A$2:$A$587,1)=C275,"","Not in UCL")</f>
        <v/>
      </c>
      <c r="E275" t="s">
        <v>275</v>
      </c>
      <c r="F275" t="s">
        <v>275</v>
      </c>
      <c r="G275" t="s">
        <v>275</v>
      </c>
      <c r="H275" t="s">
        <v>275</v>
      </c>
      <c r="I275" t="s">
        <v>275</v>
      </c>
      <c r="J275" t="s">
        <v>275</v>
      </c>
      <c r="K275" t="s">
        <v>275</v>
      </c>
      <c r="L275" t="s">
        <v>275</v>
      </c>
      <c r="M275" t="s">
        <v>275</v>
      </c>
      <c r="N275" t="s">
        <v>275</v>
      </c>
      <c r="O275" t="s">
        <v>275</v>
      </c>
      <c r="P275" t="s">
        <v>275</v>
      </c>
      <c r="Q275" t="s">
        <v>275</v>
      </c>
      <c r="R275" t="s">
        <v>275</v>
      </c>
      <c r="S275" t="s">
        <v>275</v>
      </c>
      <c r="T275" t="s">
        <v>1</v>
      </c>
      <c r="U275" t="s">
        <v>275</v>
      </c>
      <c r="V275" t="s">
        <v>275</v>
      </c>
      <c r="W275" t="s">
        <v>275</v>
      </c>
      <c r="X275" t="s">
        <v>275</v>
      </c>
      <c r="Y275" t="s">
        <v>275</v>
      </c>
      <c r="Z275" t="s">
        <v>275</v>
      </c>
      <c r="AA275" t="s">
        <v>275</v>
      </c>
      <c r="AB275" t="s">
        <v>275</v>
      </c>
      <c r="AC275" t="s">
        <v>275</v>
      </c>
      <c r="AD275" t="s">
        <v>1</v>
      </c>
    </row>
    <row r="276" spans="1:30">
      <c r="A276">
        <v>274</v>
      </c>
      <c r="B276" t="s">
        <v>132</v>
      </c>
      <c r="C276" t="s">
        <v>133</v>
      </c>
      <c r="D276" t="str">
        <f>IF(VLOOKUP(C276,'Capabilities Overview'!$A$2:$A$587,1)=C276,"","Not in UCL")</f>
        <v/>
      </c>
      <c r="E276" t="s">
        <v>1</v>
      </c>
      <c r="F276" t="s">
        <v>275</v>
      </c>
      <c r="G276" t="s">
        <v>275</v>
      </c>
      <c r="H276" t="s">
        <v>275</v>
      </c>
      <c r="I276" t="s">
        <v>275</v>
      </c>
      <c r="J276" t="s">
        <v>275</v>
      </c>
      <c r="K276" t="s">
        <v>275</v>
      </c>
      <c r="L276" t="s">
        <v>275</v>
      </c>
      <c r="M276" t="s">
        <v>1</v>
      </c>
      <c r="N276" t="s">
        <v>1</v>
      </c>
      <c r="O276" t="s">
        <v>1</v>
      </c>
      <c r="P276" t="s">
        <v>275</v>
      </c>
      <c r="Q276" t="s">
        <v>1</v>
      </c>
      <c r="R276" t="s">
        <v>1</v>
      </c>
      <c r="S276" t="s">
        <v>275</v>
      </c>
      <c r="T276" t="s">
        <v>1</v>
      </c>
      <c r="U276" t="s">
        <v>275</v>
      </c>
      <c r="V276" t="s">
        <v>275</v>
      </c>
      <c r="W276" t="s">
        <v>10</v>
      </c>
      <c r="X276" t="s">
        <v>275</v>
      </c>
      <c r="Y276" t="s">
        <v>275</v>
      </c>
      <c r="Z276" t="s">
        <v>275</v>
      </c>
      <c r="AA276" t="s">
        <v>275</v>
      </c>
      <c r="AB276" t="s">
        <v>275</v>
      </c>
      <c r="AC276" t="s">
        <v>275</v>
      </c>
      <c r="AD276" t="s">
        <v>1</v>
      </c>
    </row>
    <row r="277" spans="1:30">
      <c r="A277">
        <v>275</v>
      </c>
      <c r="B277" t="s">
        <v>686</v>
      </c>
      <c r="C277" t="s">
        <v>687</v>
      </c>
      <c r="D277" t="str">
        <f>IF(VLOOKUP(C277,'Capabilities Overview'!$A$2:$A$587,1)=C277,"","Not in UCL")</f>
        <v/>
      </c>
      <c r="E277" t="s">
        <v>1</v>
      </c>
      <c r="F277" t="s">
        <v>1</v>
      </c>
      <c r="G277" t="s">
        <v>275</v>
      </c>
      <c r="H277" t="s">
        <v>275</v>
      </c>
      <c r="I277" t="s">
        <v>275</v>
      </c>
      <c r="J277" t="s">
        <v>275</v>
      </c>
      <c r="K277" t="s">
        <v>275</v>
      </c>
      <c r="L277" t="s">
        <v>275</v>
      </c>
      <c r="M277" t="s">
        <v>1</v>
      </c>
      <c r="N277" t="s">
        <v>1</v>
      </c>
      <c r="O277" t="s">
        <v>1</v>
      </c>
      <c r="P277" t="s">
        <v>275</v>
      </c>
      <c r="Q277" t="s">
        <v>1</v>
      </c>
      <c r="R277" t="s">
        <v>275</v>
      </c>
      <c r="S277" t="s">
        <v>275</v>
      </c>
      <c r="T277" t="s">
        <v>275</v>
      </c>
      <c r="U277" t="s">
        <v>275</v>
      </c>
      <c r="V277" t="s">
        <v>275</v>
      </c>
      <c r="W277" t="s">
        <v>10</v>
      </c>
      <c r="X277" t="s">
        <v>275</v>
      </c>
      <c r="Y277" t="s">
        <v>275</v>
      </c>
      <c r="Z277" t="s">
        <v>275</v>
      </c>
      <c r="AA277" t="s">
        <v>275</v>
      </c>
      <c r="AB277" t="s">
        <v>275</v>
      </c>
      <c r="AC277" t="s">
        <v>275</v>
      </c>
      <c r="AD277" t="s">
        <v>275</v>
      </c>
    </row>
    <row r="278" spans="1:30">
      <c r="A278">
        <v>276</v>
      </c>
      <c r="B278" t="s">
        <v>688</v>
      </c>
      <c r="C278" t="s">
        <v>689</v>
      </c>
      <c r="D278" t="str">
        <f>IF(VLOOKUP(C278,'Capabilities Overview'!$A$2:$A$587,1)=C278,"","Not in UCL")</f>
        <v/>
      </c>
      <c r="E278" t="s">
        <v>1</v>
      </c>
      <c r="F278" t="s">
        <v>1</v>
      </c>
      <c r="G278" t="s">
        <v>275</v>
      </c>
      <c r="H278" t="s">
        <v>275</v>
      </c>
      <c r="I278" t="s">
        <v>275</v>
      </c>
      <c r="J278" t="s">
        <v>275</v>
      </c>
      <c r="K278" t="s">
        <v>275</v>
      </c>
      <c r="L278" t="s">
        <v>275</v>
      </c>
      <c r="M278" t="s">
        <v>1</v>
      </c>
      <c r="N278" t="s">
        <v>1</v>
      </c>
      <c r="O278" t="s">
        <v>1</v>
      </c>
      <c r="P278" t="s">
        <v>275</v>
      </c>
      <c r="Q278" t="s">
        <v>1</v>
      </c>
      <c r="R278" t="s">
        <v>275</v>
      </c>
      <c r="S278" t="s">
        <v>275</v>
      </c>
      <c r="T278" t="s">
        <v>275</v>
      </c>
      <c r="U278" t="s">
        <v>275</v>
      </c>
      <c r="V278" t="s">
        <v>275</v>
      </c>
      <c r="W278" t="s">
        <v>10</v>
      </c>
      <c r="X278" t="s">
        <v>275</v>
      </c>
      <c r="Y278" t="s">
        <v>275</v>
      </c>
      <c r="Z278" t="s">
        <v>275</v>
      </c>
      <c r="AA278" t="s">
        <v>275</v>
      </c>
      <c r="AB278" t="s">
        <v>275</v>
      </c>
      <c r="AC278" t="s">
        <v>275</v>
      </c>
      <c r="AD278" t="s">
        <v>275</v>
      </c>
    </row>
    <row r="279" spans="1:30">
      <c r="A279">
        <v>277</v>
      </c>
      <c r="B279" t="s">
        <v>134</v>
      </c>
      <c r="C279" t="s">
        <v>135</v>
      </c>
      <c r="D279" t="str">
        <f>IF(VLOOKUP(C279,'Capabilities Overview'!$A$2:$A$587,1)=C279,"","Not in UCL")</f>
        <v/>
      </c>
      <c r="E279" t="s">
        <v>1</v>
      </c>
      <c r="F279" t="s">
        <v>1</v>
      </c>
      <c r="G279" t="s">
        <v>275</v>
      </c>
      <c r="H279" t="s">
        <v>275</v>
      </c>
      <c r="I279" t="s">
        <v>275</v>
      </c>
      <c r="J279" t="s">
        <v>275</v>
      </c>
      <c r="K279" t="s">
        <v>275</v>
      </c>
      <c r="L279" t="s">
        <v>275</v>
      </c>
      <c r="M279" t="s">
        <v>275</v>
      </c>
      <c r="N279" t="s">
        <v>275</v>
      </c>
      <c r="O279" t="s">
        <v>275</v>
      </c>
      <c r="P279" t="s">
        <v>275</v>
      </c>
      <c r="Q279" t="s">
        <v>275</v>
      </c>
      <c r="R279" t="s">
        <v>275</v>
      </c>
      <c r="S279" t="s">
        <v>275</v>
      </c>
      <c r="T279" t="s">
        <v>1</v>
      </c>
      <c r="U279" t="s">
        <v>275</v>
      </c>
      <c r="V279" t="s">
        <v>275</v>
      </c>
      <c r="W279" t="s">
        <v>10</v>
      </c>
      <c r="X279" t="s">
        <v>275</v>
      </c>
      <c r="Y279" t="s">
        <v>275</v>
      </c>
      <c r="Z279" t="s">
        <v>275</v>
      </c>
      <c r="AA279" t="s">
        <v>275</v>
      </c>
      <c r="AB279" t="s">
        <v>275</v>
      </c>
      <c r="AC279" t="s">
        <v>275</v>
      </c>
      <c r="AD279" t="s">
        <v>1</v>
      </c>
    </row>
    <row r="280" spans="1:30">
      <c r="A280">
        <v>278</v>
      </c>
      <c r="B280" t="s">
        <v>690</v>
      </c>
      <c r="C280" t="s">
        <v>691</v>
      </c>
      <c r="D280" t="str">
        <f>IF(VLOOKUP(C280,'Capabilities Overview'!$A$2:$A$587,1)=C280,"","Not in UCL")</f>
        <v/>
      </c>
      <c r="E280" t="s">
        <v>1</v>
      </c>
      <c r="F280" t="s">
        <v>1</v>
      </c>
      <c r="G280" t="s">
        <v>275</v>
      </c>
      <c r="H280" t="s">
        <v>275</v>
      </c>
      <c r="I280" t="s">
        <v>275</v>
      </c>
      <c r="J280" t="s">
        <v>275</v>
      </c>
      <c r="K280" t="s">
        <v>275</v>
      </c>
      <c r="L280" t="s">
        <v>275</v>
      </c>
      <c r="M280" t="s">
        <v>1</v>
      </c>
      <c r="N280" t="s">
        <v>1</v>
      </c>
      <c r="O280" t="s">
        <v>1</v>
      </c>
      <c r="P280" t="s">
        <v>275</v>
      </c>
      <c r="Q280" t="s">
        <v>275</v>
      </c>
      <c r="R280" t="s">
        <v>275</v>
      </c>
      <c r="S280" t="s">
        <v>275</v>
      </c>
      <c r="T280" t="s">
        <v>275</v>
      </c>
      <c r="U280" t="s">
        <v>275</v>
      </c>
      <c r="V280" t="s">
        <v>275</v>
      </c>
      <c r="W280" t="s">
        <v>10</v>
      </c>
      <c r="X280" t="s">
        <v>275</v>
      </c>
      <c r="Y280" t="s">
        <v>275</v>
      </c>
      <c r="Z280" t="s">
        <v>275</v>
      </c>
      <c r="AA280" t="s">
        <v>275</v>
      </c>
      <c r="AB280" t="s">
        <v>275</v>
      </c>
      <c r="AC280" t="s">
        <v>275</v>
      </c>
      <c r="AD280" t="s">
        <v>275</v>
      </c>
    </row>
    <row r="281" spans="1:30">
      <c r="A281">
        <v>279</v>
      </c>
      <c r="B281" t="s">
        <v>692</v>
      </c>
      <c r="C281" t="s">
        <v>693</v>
      </c>
      <c r="D281" t="str">
        <f>IF(VLOOKUP(C281,'Capabilities Overview'!$A$2:$A$587,1)=C281,"","Not in UCL")</f>
        <v/>
      </c>
      <c r="E281" t="s">
        <v>1</v>
      </c>
      <c r="F281" t="s">
        <v>1</v>
      </c>
      <c r="G281" t="s">
        <v>1</v>
      </c>
      <c r="H281" t="s">
        <v>275</v>
      </c>
      <c r="I281" t="s">
        <v>275</v>
      </c>
      <c r="J281" t="s">
        <v>275</v>
      </c>
      <c r="K281" t="s">
        <v>275</v>
      </c>
      <c r="L281" t="s">
        <v>275</v>
      </c>
      <c r="M281" t="s">
        <v>1</v>
      </c>
      <c r="N281" t="s">
        <v>1</v>
      </c>
      <c r="O281" t="s">
        <v>1</v>
      </c>
      <c r="P281" t="s">
        <v>275</v>
      </c>
      <c r="Q281" t="s">
        <v>275</v>
      </c>
      <c r="R281" t="s">
        <v>275</v>
      </c>
      <c r="S281" t="s">
        <v>275</v>
      </c>
      <c r="T281" t="s">
        <v>275</v>
      </c>
      <c r="U281" t="s">
        <v>275</v>
      </c>
      <c r="V281" t="s">
        <v>275</v>
      </c>
      <c r="W281" t="s">
        <v>10</v>
      </c>
      <c r="X281" t="s">
        <v>275</v>
      </c>
      <c r="Y281" t="s">
        <v>275</v>
      </c>
      <c r="Z281" t="s">
        <v>275</v>
      </c>
      <c r="AA281" t="s">
        <v>275</v>
      </c>
      <c r="AB281" t="s">
        <v>275</v>
      </c>
      <c r="AC281" t="s">
        <v>275</v>
      </c>
      <c r="AD281" t="s">
        <v>275</v>
      </c>
    </row>
    <row r="282" spans="1:30">
      <c r="A282">
        <v>280</v>
      </c>
      <c r="B282" t="s">
        <v>136</v>
      </c>
      <c r="C282" t="s">
        <v>137</v>
      </c>
      <c r="D282" t="str">
        <f>IF(VLOOKUP(C282,'Capabilities Overview'!$A$2:$A$587,1)=C282,"","Not in UCL")</f>
        <v/>
      </c>
      <c r="E282" t="s">
        <v>1</v>
      </c>
      <c r="F282" t="s">
        <v>1</v>
      </c>
      <c r="G282" t="s">
        <v>1</v>
      </c>
      <c r="H282" t="s">
        <v>275</v>
      </c>
      <c r="I282" t="s">
        <v>275</v>
      </c>
      <c r="J282" t="s">
        <v>275</v>
      </c>
      <c r="K282" t="s">
        <v>275</v>
      </c>
      <c r="L282" t="s">
        <v>275</v>
      </c>
      <c r="M282" t="s">
        <v>1</v>
      </c>
      <c r="N282" t="s">
        <v>1</v>
      </c>
      <c r="O282" t="s">
        <v>1</v>
      </c>
      <c r="P282" t="s">
        <v>275</v>
      </c>
      <c r="Q282" t="s">
        <v>1</v>
      </c>
      <c r="R282" t="s">
        <v>1</v>
      </c>
      <c r="S282" t="s">
        <v>275</v>
      </c>
      <c r="T282" t="s">
        <v>1</v>
      </c>
      <c r="U282" t="s">
        <v>275</v>
      </c>
      <c r="V282" t="s">
        <v>275</v>
      </c>
      <c r="W282" t="s">
        <v>10</v>
      </c>
      <c r="X282" t="s">
        <v>275</v>
      </c>
      <c r="Y282" t="s">
        <v>275</v>
      </c>
      <c r="Z282" t="s">
        <v>275</v>
      </c>
      <c r="AA282" t="s">
        <v>275</v>
      </c>
      <c r="AB282" t="s">
        <v>275</v>
      </c>
      <c r="AC282" t="s">
        <v>275</v>
      </c>
      <c r="AD282" t="s">
        <v>1</v>
      </c>
    </row>
    <row r="283" spans="1:30">
      <c r="A283">
        <v>281</v>
      </c>
      <c r="B283" t="s">
        <v>138</v>
      </c>
      <c r="C283" t="s">
        <v>139</v>
      </c>
      <c r="D283" t="str">
        <f>IF(VLOOKUP(C283,'Capabilities Overview'!$A$2:$A$587,1)=C283,"","Not in UCL")</f>
        <v/>
      </c>
      <c r="E283" t="s">
        <v>1</v>
      </c>
      <c r="F283" t="s">
        <v>1</v>
      </c>
      <c r="G283" t="s">
        <v>1</v>
      </c>
      <c r="H283" t="s">
        <v>275</v>
      </c>
      <c r="I283" t="s">
        <v>275</v>
      </c>
      <c r="J283" t="s">
        <v>275</v>
      </c>
      <c r="K283" t="s">
        <v>275</v>
      </c>
      <c r="L283" t="s">
        <v>275</v>
      </c>
      <c r="M283" t="s">
        <v>1</v>
      </c>
      <c r="N283" t="s">
        <v>1</v>
      </c>
      <c r="O283" t="s">
        <v>1</v>
      </c>
      <c r="P283" t="s">
        <v>275</v>
      </c>
      <c r="Q283" t="s">
        <v>1</v>
      </c>
      <c r="R283" t="s">
        <v>1</v>
      </c>
      <c r="S283" t="s">
        <v>275</v>
      </c>
      <c r="T283" t="s">
        <v>1</v>
      </c>
      <c r="U283" t="s">
        <v>275</v>
      </c>
      <c r="V283" t="s">
        <v>275</v>
      </c>
      <c r="W283" t="s">
        <v>10</v>
      </c>
      <c r="X283" t="s">
        <v>275</v>
      </c>
      <c r="Y283" t="s">
        <v>275</v>
      </c>
      <c r="Z283" t="s">
        <v>275</v>
      </c>
      <c r="AA283" t="s">
        <v>275</v>
      </c>
      <c r="AB283" t="s">
        <v>275</v>
      </c>
      <c r="AC283" t="s">
        <v>275</v>
      </c>
      <c r="AD283" t="s">
        <v>1</v>
      </c>
    </row>
    <row r="284" spans="1:30">
      <c r="A284">
        <v>282</v>
      </c>
      <c r="B284" t="s">
        <v>694</v>
      </c>
      <c r="C284" t="s">
        <v>695</v>
      </c>
      <c r="D284" t="str">
        <f>IF(VLOOKUP(C284,'Capabilities Overview'!$A$2:$A$587,1)=C284,"","Not in UCL")</f>
        <v/>
      </c>
      <c r="E284" t="s">
        <v>1</v>
      </c>
      <c r="F284" t="s">
        <v>1</v>
      </c>
      <c r="G284" t="s">
        <v>275</v>
      </c>
      <c r="H284" t="s">
        <v>275</v>
      </c>
      <c r="I284" t="s">
        <v>1</v>
      </c>
      <c r="J284" t="s">
        <v>1</v>
      </c>
      <c r="K284" t="s">
        <v>1</v>
      </c>
      <c r="L284" t="s">
        <v>275</v>
      </c>
      <c r="M284" t="s">
        <v>1</v>
      </c>
      <c r="N284" t="s">
        <v>1</v>
      </c>
      <c r="O284" t="s">
        <v>1</v>
      </c>
      <c r="P284" t="s">
        <v>275</v>
      </c>
      <c r="Q284" t="s">
        <v>1</v>
      </c>
      <c r="R284" t="s">
        <v>275</v>
      </c>
      <c r="S284" t="s">
        <v>275</v>
      </c>
      <c r="T284" t="s">
        <v>275</v>
      </c>
      <c r="U284" t="s">
        <v>275</v>
      </c>
      <c r="V284" t="s">
        <v>275</v>
      </c>
      <c r="W284" t="s">
        <v>10</v>
      </c>
      <c r="X284" t="s">
        <v>275</v>
      </c>
      <c r="Y284" t="s">
        <v>275</v>
      </c>
      <c r="Z284" t="s">
        <v>275</v>
      </c>
      <c r="AA284" t="s">
        <v>275</v>
      </c>
      <c r="AB284" t="s">
        <v>275</v>
      </c>
      <c r="AC284" t="s">
        <v>275</v>
      </c>
      <c r="AD284" t="s">
        <v>275</v>
      </c>
    </row>
    <row r="285" spans="1:30">
      <c r="A285">
        <v>283</v>
      </c>
      <c r="B285" t="s">
        <v>696</v>
      </c>
      <c r="C285" t="s">
        <v>697</v>
      </c>
      <c r="D285" t="str">
        <f>IF(VLOOKUP(C285,'Capabilities Overview'!$A$2:$A$587,1)=C285,"","Not in UCL")</f>
        <v/>
      </c>
      <c r="E285" t="s">
        <v>1</v>
      </c>
      <c r="F285" t="s">
        <v>1</v>
      </c>
      <c r="G285" t="s">
        <v>275</v>
      </c>
      <c r="H285" t="s">
        <v>275</v>
      </c>
      <c r="I285" t="s">
        <v>275</v>
      </c>
      <c r="J285" t="s">
        <v>275</v>
      </c>
      <c r="K285" t="s">
        <v>275</v>
      </c>
      <c r="L285" t="s">
        <v>275</v>
      </c>
      <c r="M285" t="s">
        <v>41</v>
      </c>
      <c r="N285" t="s">
        <v>41</v>
      </c>
      <c r="O285" t="s">
        <v>41</v>
      </c>
      <c r="P285" t="s">
        <v>275</v>
      </c>
      <c r="Q285" t="s">
        <v>41</v>
      </c>
      <c r="R285" t="s">
        <v>275</v>
      </c>
      <c r="S285" t="s">
        <v>275</v>
      </c>
      <c r="T285" t="s">
        <v>275</v>
      </c>
      <c r="U285" t="s">
        <v>275</v>
      </c>
      <c r="V285" t="s">
        <v>275</v>
      </c>
      <c r="W285" t="s">
        <v>10</v>
      </c>
      <c r="X285" t="s">
        <v>275</v>
      </c>
      <c r="Y285" t="s">
        <v>275</v>
      </c>
      <c r="Z285" t="s">
        <v>275</v>
      </c>
      <c r="AA285" t="s">
        <v>275</v>
      </c>
      <c r="AB285" t="s">
        <v>275</v>
      </c>
      <c r="AC285" t="s">
        <v>275</v>
      </c>
      <c r="AD285" t="s">
        <v>275</v>
      </c>
    </row>
    <row r="286" spans="1:30">
      <c r="A286">
        <v>284</v>
      </c>
      <c r="B286" t="s">
        <v>698</v>
      </c>
      <c r="C286" t="s">
        <v>699</v>
      </c>
      <c r="D286" t="str">
        <f>IF(VLOOKUP(C286,'Capabilities Overview'!$A$2:$A$587,1)=C286,"","Not in UCL")</f>
        <v/>
      </c>
      <c r="E286" t="s">
        <v>1</v>
      </c>
      <c r="F286" t="s">
        <v>1</v>
      </c>
      <c r="G286" t="s">
        <v>275</v>
      </c>
      <c r="H286" t="s">
        <v>275</v>
      </c>
      <c r="I286" t="s">
        <v>1</v>
      </c>
      <c r="J286" t="s">
        <v>275</v>
      </c>
      <c r="K286" t="s">
        <v>275</v>
      </c>
      <c r="L286" t="s">
        <v>275</v>
      </c>
      <c r="M286" t="s">
        <v>41</v>
      </c>
      <c r="N286" t="s">
        <v>1</v>
      </c>
      <c r="O286" t="s">
        <v>41</v>
      </c>
      <c r="P286" t="s">
        <v>275</v>
      </c>
      <c r="Q286" t="s">
        <v>41</v>
      </c>
      <c r="R286" t="s">
        <v>275</v>
      </c>
      <c r="S286" t="s">
        <v>275</v>
      </c>
      <c r="T286" t="s">
        <v>275</v>
      </c>
      <c r="U286" t="s">
        <v>275</v>
      </c>
      <c r="V286" t="s">
        <v>275</v>
      </c>
      <c r="W286" t="s">
        <v>10</v>
      </c>
      <c r="X286" t="s">
        <v>275</v>
      </c>
      <c r="Y286" t="s">
        <v>275</v>
      </c>
      <c r="Z286" t="s">
        <v>275</v>
      </c>
      <c r="AA286" t="s">
        <v>275</v>
      </c>
      <c r="AB286" t="s">
        <v>275</v>
      </c>
      <c r="AC286" t="s">
        <v>275</v>
      </c>
      <c r="AD286" t="s">
        <v>275</v>
      </c>
    </row>
    <row r="287" spans="1:30">
      <c r="A287">
        <v>285</v>
      </c>
      <c r="B287" t="s">
        <v>700</v>
      </c>
      <c r="C287" t="s">
        <v>701</v>
      </c>
      <c r="D287" t="str">
        <f>IF(VLOOKUP(C287,'Capabilities Overview'!$A$2:$A$587,1)=C287,"","Not in UCL")</f>
        <v/>
      </c>
      <c r="E287" t="s">
        <v>1</v>
      </c>
      <c r="F287" t="s">
        <v>1</v>
      </c>
      <c r="G287" t="s">
        <v>275</v>
      </c>
      <c r="H287" t="s">
        <v>275</v>
      </c>
      <c r="I287" t="s">
        <v>275</v>
      </c>
      <c r="J287" t="s">
        <v>275</v>
      </c>
      <c r="K287" t="s">
        <v>275</v>
      </c>
      <c r="L287" t="s">
        <v>275</v>
      </c>
      <c r="M287" t="s">
        <v>41</v>
      </c>
      <c r="N287" t="s">
        <v>41</v>
      </c>
      <c r="O287" t="s">
        <v>41</v>
      </c>
      <c r="P287" t="s">
        <v>275</v>
      </c>
      <c r="Q287" t="s">
        <v>41</v>
      </c>
      <c r="R287" t="s">
        <v>275</v>
      </c>
      <c r="S287" t="s">
        <v>275</v>
      </c>
      <c r="T287" t="s">
        <v>275</v>
      </c>
      <c r="U287" t="s">
        <v>275</v>
      </c>
      <c r="V287" t="s">
        <v>275</v>
      </c>
      <c r="W287" t="s">
        <v>10</v>
      </c>
      <c r="X287" t="s">
        <v>275</v>
      </c>
      <c r="Y287" t="s">
        <v>275</v>
      </c>
      <c r="Z287" t="s">
        <v>275</v>
      </c>
      <c r="AA287" t="s">
        <v>275</v>
      </c>
      <c r="AB287" t="s">
        <v>275</v>
      </c>
      <c r="AC287" t="s">
        <v>275</v>
      </c>
      <c r="AD287" t="s">
        <v>275</v>
      </c>
    </row>
    <row r="288" spans="1:30">
      <c r="A288">
        <v>286</v>
      </c>
      <c r="B288" t="s">
        <v>702</v>
      </c>
      <c r="C288" t="s">
        <v>703</v>
      </c>
      <c r="D288" t="str">
        <f>IF(VLOOKUP(C288,'Capabilities Overview'!$A$2:$A$587,1)=C288,"","Not in UCL")</f>
        <v/>
      </c>
      <c r="E288" t="s">
        <v>1</v>
      </c>
      <c r="F288" t="s">
        <v>1</v>
      </c>
      <c r="G288" t="s">
        <v>275</v>
      </c>
      <c r="H288" t="s">
        <v>275</v>
      </c>
      <c r="I288" t="s">
        <v>1</v>
      </c>
      <c r="J288" t="s">
        <v>275</v>
      </c>
      <c r="K288" t="s">
        <v>275</v>
      </c>
      <c r="L288" t="s">
        <v>275</v>
      </c>
      <c r="M288" t="s">
        <v>41</v>
      </c>
      <c r="N288" t="s">
        <v>41</v>
      </c>
      <c r="O288" t="s">
        <v>41</v>
      </c>
      <c r="P288" t="s">
        <v>275</v>
      </c>
      <c r="Q288" t="s">
        <v>41</v>
      </c>
      <c r="R288" t="s">
        <v>275</v>
      </c>
      <c r="S288" t="s">
        <v>275</v>
      </c>
      <c r="T288" t="s">
        <v>275</v>
      </c>
      <c r="U288" t="s">
        <v>275</v>
      </c>
      <c r="V288" t="s">
        <v>275</v>
      </c>
      <c r="W288" t="s">
        <v>10</v>
      </c>
      <c r="X288" t="s">
        <v>275</v>
      </c>
      <c r="Y288" t="s">
        <v>275</v>
      </c>
      <c r="Z288" t="s">
        <v>275</v>
      </c>
      <c r="AA288" t="s">
        <v>275</v>
      </c>
      <c r="AB288" t="s">
        <v>275</v>
      </c>
      <c r="AC288" t="s">
        <v>275</v>
      </c>
      <c r="AD288" t="s">
        <v>275</v>
      </c>
    </row>
    <row r="289" spans="1:30">
      <c r="A289">
        <v>287</v>
      </c>
      <c r="B289" t="s">
        <v>704</v>
      </c>
      <c r="C289" t="s">
        <v>705</v>
      </c>
      <c r="D289" t="str">
        <f>IF(VLOOKUP(C289,'Capabilities Overview'!$A$2:$A$587,1)=C289,"","Not in UCL")</f>
        <v/>
      </c>
      <c r="E289" t="s">
        <v>1</v>
      </c>
      <c r="F289" t="s">
        <v>1</v>
      </c>
      <c r="G289" t="s">
        <v>275</v>
      </c>
      <c r="H289" t="s">
        <v>275</v>
      </c>
      <c r="I289" t="s">
        <v>1</v>
      </c>
      <c r="J289" t="s">
        <v>1</v>
      </c>
      <c r="K289" t="s">
        <v>1</v>
      </c>
      <c r="L289" t="s">
        <v>275</v>
      </c>
      <c r="M289" t="s">
        <v>1</v>
      </c>
      <c r="N289" t="s">
        <v>1</v>
      </c>
      <c r="O289" t="s">
        <v>41</v>
      </c>
      <c r="P289" t="s">
        <v>275</v>
      </c>
      <c r="Q289" t="s">
        <v>41</v>
      </c>
      <c r="R289" t="s">
        <v>275</v>
      </c>
      <c r="S289" t="s">
        <v>275</v>
      </c>
      <c r="T289" t="s">
        <v>275</v>
      </c>
      <c r="U289" t="s">
        <v>275</v>
      </c>
      <c r="V289" t="s">
        <v>275</v>
      </c>
      <c r="W289" t="s">
        <v>10</v>
      </c>
      <c r="X289" t="s">
        <v>275</v>
      </c>
      <c r="Y289" t="s">
        <v>275</v>
      </c>
      <c r="Z289" t="s">
        <v>275</v>
      </c>
      <c r="AA289" t="s">
        <v>275</v>
      </c>
      <c r="AB289" t="s">
        <v>275</v>
      </c>
      <c r="AC289" t="s">
        <v>275</v>
      </c>
      <c r="AD289" t="s">
        <v>275</v>
      </c>
    </row>
    <row r="290" spans="1:30">
      <c r="A290">
        <v>288</v>
      </c>
      <c r="B290" t="s">
        <v>706</v>
      </c>
      <c r="C290" t="s">
        <v>707</v>
      </c>
      <c r="D290" t="str">
        <f>IF(VLOOKUP(C290,'Capabilities Overview'!$A$2:$A$587,1)=C290,"","Not in UCL")</f>
        <v/>
      </c>
      <c r="E290" t="s">
        <v>1</v>
      </c>
      <c r="F290" t="s">
        <v>1</v>
      </c>
      <c r="G290" t="s">
        <v>275</v>
      </c>
      <c r="H290" t="s">
        <v>275</v>
      </c>
      <c r="I290" t="s">
        <v>275</v>
      </c>
      <c r="J290" t="s">
        <v>275</v>
      </c>
      <c r="K290" t="s">
        <v>275</v>
      </c>
      <c r="L290" t="s">
        <v>275</v>
      </c>
      <c r="M290" t="s">
        <v>41</v>
      </c>
      <c r="N290" t="s">
        <v>41</v>
      </c>
      <c r="O290" t="s">
        <v>41</v>
      </c>
      <c r="P290" t="s">
        <v>275</v>
      </c>
      <c r="Q290" t="s">
        <v>41</v>
      </c>
      <c r="R290" t="s">
        <v>275</v>
      </c>
      <c r="S290" t="s">
        <v>275</v>
      </c>
      <c r="T290" t="s">
        <v>275</v>
      </c>
      <c r="U290" t="s">
        <v>275</v>
      </c>
      <c r="V290" t="s">
        <v>275</v>
      </c>
      <c r="W290" t="s">
        <v>10</v>
      </c>
      <c r="X290" t="s">
        <v>275</v>
      </c>
      <c r="Y290" t="s">
        <v>275</v>
      </c>
      <c r="Z290" t="s">
        <v>275</v>
      </c>
      <c r="AA290" t="s">
        <v>275</v>
      </c>
      <c r="AB290" t="s">
        <v>275</v>
      </c>
      <c r="AC290" t="s">
        <v>275</v>
      </c>
      <c r="AD290" t="s">
        <v>275</v>
      </c>
    </row>
    <row r="291" spans="1:30">
      <c r="A291">
        <v>289</v>
      </c>
      <c r="B291" t="s">
        <v>708</v>
      </c>
      <c r="C291" t="s">
        <v>709</v>
      </c>
      <c r="D291" t="str">
        <f>IF(VLOOKUP(C291,'Capabilities Overview'!$A$2:$A$587,1)=C291,"","Not in UCL")</f>
        <v/>
      </c>
      <c r="E291" t="s">
        <v>1</v>
      </c>
      <c r="F291" t="s">
        <v>1</v>
      </c>
      <c r="G291" t="s">
        <v>275</v>
      </c>
      <c r="H291" t="s">
        <v>275</v>
      </c>
      <c r="I291" t="s">
        <v>275</v>
      </c>
      <c r="J291" t="s">
        <v>275</v>
      </c>
      <c r="K291" t="s">
        <v>275</v>
      </c>
      <c r="L291" t="s">
        <v>275</v>
      </c>
      <c r="M291" t="s">
        <v>41</v>
      </c>
      <c r="N291" t="s">
        <v>41</v>
      </c>
      <c r="O291" t="s">
        <v>41</v>
      </c>
      <c r="P291" t="s">
        <v>275</v>
      </c>
      <c r="Q291" t="s">
        <v>41</v>
      </c>
      <c r="R291" t="s">
        <v>275</v>
      </c>
      <c r="S291" t="s">
        <v>275</v>
      </c>
      <c r="T291" t="s">
        <v>275</v>
      </c>
      <c r="U291" t="s">
        <v>275</v>
      </c>
      <c r="V291" t="s">
        <v>275</v>
      </c>
      <c r="W291" t="s">
        <v>10</v>
      </c>
      <c r="X291" t="s">
        <v>275</v>
      </c>
      <c r="Y291" t="s">
        <v>275</v>
      </c>
      <c r="Z291" t="s">
        <v>275</v>
      </c>
      <c r="AA291" t="s">
        <v>275</v>
      </c>
      <c r="AB291" t="s">
        <v>275</v>
      </c>
      <c r="AC291" t="s">
        <v>275</v>
      </c>
      <c r="AD291" t="s">
        <v>275</v>
      </c>
    </row>
    <row r="292" spans="1:30">
      <c r="A292">
        <v>290</v>
      </c>
      <c r="B292" t="s">
        <v>710</v>
      </c>
      <c r="C292" t="s">
        <v>711</v>
      </c>
      <c r="D292" t="str">
        <f>IF(VLOOKUP(C292,'Capabilities Overview'!$A$2:$A$587,1)=C292,"","Not in UCL")</f>
        <v/>
      </c>
      <c r="E292" t="s">
        <v>1</v>
      </c>
      <c r="F292" t="s">
        <v>1</v>
      </c>
      <c r="G292" t="s">
        <v>275</v>
      </c>
      <c r="H292" t="s">
        <v>275</v>
      </c>
      <c r="I292" t="s">
        <v>1</v>
      </c>
      <c r="J292" t="s">
        <v>275</v>
      </c>
      <c r="K292" t="s">
        <v>275</v>
      </c>
      <c r="L292" t="s">
        <v>275</v>
      </c>
      <c r="M292" t="s">
        <v>1</v>
      </c>
      <c r="N292" t="s">
        <v>1</v>
      </c>
      <c r="O292" t="s">
        <v>1</v>
      </c>
      <c r="P292" t="s">
        <v>275</v>
      </c>
      <c r="Q292" t="s">
        <v>275</v>
      </c>
      <c r="R292" t="s">
        <v>275</v>
      </c>
      <c r="S292" t="s">
        <v>275</v>
      </c>
      <c r="T292" t="s">
        <v>275</v>
      </c>
      <c r="U292" t="s">
        <v>275</v>
      </c>
      <c r="V292" t="s">
        <v>275</v>
      </c>
      <c r="W292" t="s">
        <v>10</v>
      </c>
      <c r="X292" t="s">
        <v>275</v>
      </c>
      <c r="Y292" t="s">
        <v>275</v>
      </c>
      <c r="Z292" t="s">
        <v>275</v>
      </c>
      <c r="AA292" t="s">
        <v>275</v>
      </c>
      <c r="AB292" t="s">
        <v>275</v>
      </c>
      <c r="AC292" t="s">
        <v>275</v>
      </c>
      <c r="AD292" t="s">
        <v>275</v>
      </c>
    </row>
    <row r="293" spans="1:30">
      <c r="A293">
        <v>291</v>
      </c>
      <c r="B293" t="s">
        <v>712</v>
      </c>
      <c r="C293" t="s">
        <v>713</v>
      </c>
      <c r="D293" t="str">
        <f>IF(VLOOKUP(C293,'Capabilities Overview'!$A$2:$A$587,1)=C293,"","Not in UCL")</f>
        <v/>
      </c>
      <c r="E293" t="s">
        <v>275</v>
      </c>
      <c r="F293" t="s">
        <v>275</v>
      </c>
      <c r="G293" t="s">
        <v>275</v>
      </c>
      <c r="H293" t="s">
        <v>275</v>
      </c>
      <c r="I293" t="s">
        <v>275</v>
      </c>
      <c r="J293" t="s">
        <v>275</v>
      </c>
      <c r="K293" t="s">
        <v>275</v>
      </c>
      <c r="L293" t="s">
        <v>275</v>
      </c>
      <c r="M293" t="s">
        <v>275</v>
      </c>
      <c r="N293" t="s">
        <v>275</v>
      </c>
      <c r="O293" t="s">
        <v>275</v>
      </c>
      <c r="P293" t="s">
        <v>275</v>
      </c>
      <c r="Q293" t="s">
        <v>275</v>
      </c>
      <c r="R293" t="s">
        <v>275</v>
      </c>
      <c r="S293" t="s">
        <v>275</v>
      </c>
      <c r="T293" t="s">
        <v>275</v>
      </c>
      <c r="U293" t="s">
        <v>275</v>
      </c>
      <c r="V293" t="s">
        <v>275</v>
      </c>
      <c r="W293" t="s">
        <v>275</v>
      </c>
      <c r="X293" t="s">
        <v>275</v>
      </c>
      <c r="Y293" t="s">
        <v>275</v>
      </c>
      <c r="Z293" t="s">
        <v>275</v>
      </c>
      <c r="AA293" t="s">
        <v>275</v>
      </c>
      <c r="AB293" t="s">
        <v>275</v>
      </c>
      <c r="AC293" t="s">
        <v>275</v>
      </c>
      <c r="AD293" t="s">
        <v>275</v>
      </c>
    </row>
    <row r="294" spans="1:30">
      <c r="A294">
        <v>292</v>
      </c>
      <c r="B294" t="s">
        <v>714</v>
      </c>
      <c r="C294" t="s">
        <v>715</v>
      </c>
      <c r="D294" t="str">
        <f>IF(VLOOKUP(C294,'Capabilities Overview'!$A$2:$A$587,1)=C294,"","Not in UCL")</f>
        <v/>
      </c>
      <c r="E294" t="s">
        <v>275</v>
      </c>
      <c r="F294" t="s">
        <v>275</v>
      </c>
      <c r="G294" t="s">
        <v>275</v>
      </c>
      <c r="H294" t="s">
        <v>275</v>
      </c>
      <c r="I294" t="s">
        <v>275</v>
      </c>
      <c r="J294" t="s">
        <v>275</v>
      </c>
      <c r="K294" t="s">
        <v>275</v>
      </c>
      <c r="L294" t="s">
        <v>275</v>
      </c>
      <c r="M294" t="s">
        <v>275</v>
      </c>
      <c r="N294" t="s">
        <v>275</v>
      </c>
      <c r="O294" t="s">
        <v>275</v>
      </c>
      <c r="P294" t="s">
        <v>275</v>
      </c>
      <c r="Q294" t="s">
        <v>275</v>
      </c>
      <c r="R294" t="s">
        <v>1</v>
      </c>
      <c r="S294" t="s">
        <v>275</v>
      </c>
      <c r="T294" t="s">
        <v>275</v>
      </c>
      <c r="U294" t="s">
        <v>275</v>
      </c>
      <c r="V294" t="s">
        <v>275</v>
      </c>
      <c r="W294" t="s">
        <v>275</v>
      </c>
      <c r="X294" t="s">
        <v>275</v>
      </c>
      <c r="Y294" t="s">
        <v>275</v>
      </c>
      <c r="Z294" t="s">
        <v>275</v>
      </c>
      <c r="AA294" t="s">
        <v>275</v>
      </c>
      <c r="AB294" t="s">
        <v>275</v>
      </c>
      <c r="AC294" t="s">
        <v>275</v>
      </c>
      <c r="AD294" t="s">
        <v>275</v>
      </c>
    </row>
    <row r="295" spans="1:30">
      <c r="A295">
        <v>293</v>
      </c>
      <c r="B295" t="s">
        <v>716</v>
      </c>
      <c r="C295" t="s">
        <v>717</v>
      </c>
      <c r="D295" t="str">
        <f>IF(VLOOKUP(C295,'Capabilities Overview'!$A$2:$A$587,1)=C295,"","Not in UCL")</f>
        <v/>
      </c>
      <c r="E295" t="s">
        <v>1</v>
      </c>
      <c r="F295" t="s">
        <v>1</v>
      </c>
      <c r="G295" t="s">
        <v>275</v>
      </c>
      <c r="H295" t="s">
        <v>275</v>
      </c>
      <c r="I295" t="s">
        <v>1</v>
      </c>
      <c r="J295" t="s">
        <v>1</v>
      </c>
      <c r="K295" t="s">
        <v>1</v>
      </c>
      <c r="L295" t="s">
        <v>275</v>
      </c>
      <c r="M295" t="s">
        <v>1</v>
      </c>
      <c r="N295" t="s">
        <v>1</v>
      </c>
      <c r="O295" t="s">
        <v>1</v>
      </c>
      <c r="P295" t="s">
        <v>275</v>
      </c>
      <c r="Q295" t="s">
        <v>275</v>
      </c>
      <c r="R295" t="s">
        <v>275</v>
      </c>
      <c r="S295" t="s">
        <v>275</v>
      </c>
      <c r="T295" t="s">
        <v>275</v>
      </c>
      <c r="U295" t="s">
        <v>275</v>
      </c>
      <c r="V295" t="s">
        <v>275</v>
      </c>
      <c r="W295" t="s">
        <v>10</v>
      </c>
      <c r="X295" t="s">
        <v>275</v>
      </c>
      <c r="Y295" t="s">
        <v>275</v>
      </c>
      <c r="Z295" t="s">
        <v>275</v>
      </c>
      <c r="AA295" t="s">
        <v>275</v>
      </c>
      <c r="AB295" t="s">
        <v>275</v>
      </c>
      <c r="AC295" t="s">
        <v>275</v>
      </c>
      <c r="AD295" t="s">
        <v>275</v>
      </c>
    </row>
    <row r="296" spans="1:30">
      <c r="A296">
        <v>294</v>
      </c>
      <c r="B296" t="s">
        <v>718</v>
      </c>
      <c r="C296" t="s">
        <v>719</v>
      </c>
      <c r="D296" t="str">
        <f>IF(VLOOKUP(C296,'Capabilities Overview'!$A$2:$A$587,1)=C296,"","Not in UCL")</f>
        <v/>
      </c>
      <c r="E296" t="s">
        <v>1</v>
      </c>
      <c r="F296" t="s">
        <v>1</v>
      </c>
      <c r="G296" t="s">
        <v>275</v>
      </c>
      <c r="H296" t="s">
        <v>275</v>
      </c>
      <c r="I296" t="s">
        <v>1</v>
      </c>
      <c r="J296" t="s">
        <v>275</v>
      </c>
      <c r="K296" t="s">
        <v>275</v>
      </c>
      <c r="L296" t="s">
        <v>275</v>
      </c>
      <c r="M296" t="s">
        <v>1</v>
      </c>
      <c r="N296" t="s">
        <v>1</v>
      </c>
      <c r="O296" t="s">
        <v>1</v>
      </c>
      <c r="P296" t="s">
        <v>275</v>
      </c>
      <c r="Q296" t="s">
        <v>275</v>
      </c>
      <c r="R296" t="s">
        <v>275</v>
      </c>
      <c r="S296" t="s">
        <v>275</v>
      </c>
      <c r="T296" t="s">
        <v>275</v>
      </c>
      <c r="U296" t="s">
        <v>275</v>
      </c>
      <c r="V296" t="s">
        <v>275</v>
      </c>
      <c r="W296" t="s">
        <v>10</v>
      </c>
      <c r="X296" t="s">
        <v>275</v>
      </c>
      <c r="Y296" t="s">
        <v>275</v>
      </c>
      <c r="Z296" t="s">
        <v>275</v>
      </c>
      <c r="AA296" t="s">
        <v>275</v>
      </c>
      <c r="AB296" t="s">
        <v>275</v>
      </c>
      <c r="AC296" t="s">
        <v>275</v>
      </c>
      <c r="AD296" t="s">
        <v>275</v>
      </c>
    </row>
    <row r="297" spans="1:30">
      <c r="A297">
        <v>295</v>
      </c>
      <c r="B297" t="s">
        <v>720</v>
      </c>
      <c r="C297" t="s">
        <v>721</v>
      </c>
      <c r="D297" t="str">
        <f>IF(VLOOKUP(C297,'Capabilities Overview'!$A$2:$A$587,1)=C297,"","Not in UCL")</f>
        <v/>
      </c>
      <c r="E297" t="s">
        <v>1</v>
      </c>
      <c r="F297" t="s">
        <v>1</v>
      </c>
      <c r="G297" t="s">
        <v>275</v>
      </c>
      <c r="H297" t="s">
        <v>275</v>
      </c>
      <c r="I297" t="s">
        <v>1</v>
      </c>
      <c r="J297" t="s">
        <v>275</v>
      </c>
      <c r="K297" t="s">
        <v>275</v>
      </c>
      <c r="L297" t="s">
        <v>275</v>
      </c>
      <c r="M297" t="s">
        <v>1</v>
      </c>
      <c r="N297" t="s">
        <v>1</v>
      </c>
      <c r="O297" t="s">
        <v>1</v>
      </c>
      <c r="P297" t="s">
        <v>275</v>
      </c>
      <c r="Q297" t="s">
        <v>275</v>
      </c>
      <c r="R297" t="s">
        <v>275</v>
      </c>
      <c r="S297" t="s">
        <v>275</v>
      </c>
      <c r="T297" t="s">
        <v>275</v>
      </c>
      <c r="U297" t="s">
        <v>275</v>
      </c>
      <c r="V297" t="s">
        <v>275</v>
      </c>
      <c r="W297" t="s">
        <v>10</v>
      </c>
      <c r="X297" t="s">
        <v>275</v>
      </c>
      <c r="Y297" t="s">
        <v>275</v>
      </c>
      <c r="Z297" t="s">
        <v>275</v>
      </c>
      <c r="AA297" t="s">
        <v>275</v>
      </c>
      <c r="AB297" t="s">
        <v>275</v>
      </c>
      <c r="AC297" t="s">
        <v>275</v>
      </c>
      <c r="AD297" t="s">
        <v>275</v>
      </c>
    </row>
    <row r="298" spans="1:30">
      <c r="A298">
        <v>296</v>
      </c>
      <c r="B298" t="s">
        <v>722</v>
      </c>
      <c r="C298" t="s">
        <v>723</v>
      </c>
      <c r="D298" t="str">
        <f>IF(VLOOKUP(C298,'Capabilities Overview'!$A$2:$A$587,1)=C298,"","Not in UCL")</f>
        <v/>
      </c>
      <c r="E298" t="s">
        <v>1</v>
      </c>
      <c r="F298" t="s">
        <v>1</v>
      </c>
      <c r="G298" t="s">
        <v>1</v>
      </c>
      <c r="H298" t="s">
        <v>275</v>
      </c>
      <c r="I298" t="s">
        <v>275</v>
      </c>
      <c r="J298" t="s">
        <v>275</v>
      </c>
      <c r="K298" t="s">
        <v>275</v>
      </c>
      <c r="L298" t="s">
        <v>275</v>
      </c>
      <c r="M298" t="s">
        <v>1</v>
      </c>
      <c r="N298" t="s">
        <v>1</v>
      </c>
      <c r="O298" t="s">
        <v>1</v>
      </c>
      <c r="P298" t="s">
        <v>275</v>
      </c>
      <c r="Q298" t="s">
        <v>1</v>
      </c>
      <c r="R298" t="s">
        <v>275</v>
      </c>
      <c r="S298" t="s">
        <v>275</v>
      </c>
      <c r="T298" t="s">
        <v>275</v>
      </c>
      <c r="U298" t="s">
        <v>275</v>
      </c>
      <c r="V298" t="s">
        <v>275</v>
      </c>
      <c r="W298" t="s">
        <v>10</v>
      </c>
      <c r="X298" t="s">
        <v>275</v>
      </c>
      <c r="Y298" t="s">
        <v>275</v>
      </c>
      <c r="Z298" t="s">
        <v>275</v>
      </c>
      <c r="AA298" t="s">
        <v>275</v>
      </c>
      <c r="AB298" t="s">
        <v>275</v>
      </c>
      <c r="AC298" t="s">
        <v>275</v>
      </c>
      <c r="AD298" t="s">
        <v>275</v>
      </c>
    </row>
    <row r="299" spans="1:30">
      <c r="A299">
        <v>297</v>
      </c>
      <c r="B299" t="s">
        <v>724</v>
      </c>
      <c r="C299" t="s">
        <v>725</v>
      </c>
      <c r="D299" t="str">
        <f>IF(VLOOKUP(C299,'Capabilities Overview'!$A$2:$A$587,1)=C299,"","Not in UCL")</f>
        <v/>
      </c>
      <c r="E299" t="s">
        <v>1</v>
      </c>
      <c r="F299" t="s">
        <v>1</v>
      </c>
      <c r="G299" t="s">
        <v>275</v>
      </c>
      <c r="H299" t="s">
        <v>275</v>
      </c>
      <c r="I299" t="s">
        <v>275</v>
      </c>
      <c r="J299" t="s">
        <v>275</v>
      </c>
      <c r="K299" t="s">
        <v>275</v>
      </c>
      <c r="L299" t="s">
        <v>275</v>
      </c>
      <c r="M299" t="s">
        <v>1</v>
      </c>
      <c r="N299" t="s">
        <v>1</v>
      </c>
      <c r="O299" t="s">
        <v>1</v>
      </c>
      <c r="P299" t="s">
        <v>275</v>
      </c>
      <c r="Q299" t="s">
        <v>41</v>
      </c>
      <c r="R299" t="s">
        <v>275</v>
      </c>
      <c r="S299" t="s">
        <v>275</v>
      </c>
      <c r="T299" t="s">
        <v>275</v>
      </c>
      <c r="U299" t="s">
        <v>275</v>
      </c>
      <c r="V299" t="s">
        <v>275</v>
      </c>
      <c r="W299" t="s">
        <v>10</v>
      </c>
      <c r="X299" t="s">
        <v>275</v>
      </c>
      <c r="Y299" t="s">
        <v>275</v>
      </c>
      <c r="Z299" t="s">
        <v>275</v>
      </c>
      <c r="AA299" t="s">
        <v>275</v>
      </c>
      <c r="AB299" t="s">
        <v>275</v>
      </c>
      <c r="AC299" t="s">
        <v>275</v>
      </c>
      <c r="AD299" t="s">
        <v>275</v>
      </c>
    </row>
    <row r="300" spans="1:30">
      <c r="A300">
        <v>298</v>
      </c>
      <c r="B300" t="s">
        <v>726</v>
      </c>
      <c r="C300" t="s">
        <v>727</v>
      </c>
      <c r="D300" t="str">
        <f>IF(VLOOKUP(C300,'Capabilities Overview'!$A$2:$A$587,1)=C300,"","Not in UCL")</f>
        <v/>
      </c>
      <c r="E300" t="s">
        <v>1</v>
      </c>
      <c r="F300" t="s">
        <v>1</v>
      </c>
      <c r="G300" t="s">
        <v>275</v>
      </c>
      <c r="H300" t="s">
        <v>275</v>
      </c>
      <c r="I300" t="s">
        <v>275</v>
      </c>
      <c r="J300" t="s">
        <v>275</v>
      </c>
      <c r="K300" t="s">
        <v>275</v>
      </c>
      <c r="L300" t="s">
        <v>275</v>
      </c>
      <c r="M300" t="s">
        <v>1</v>
      </c>
      <c r="N300" t="s">
        <v>1</v>
      </c>
      <c r="O300" t="s">
        <v>1</v>
      </c>
      <c r="P300" t="s">
        <v>275</v>
      </c>
      <c r="Q300" t="s">
        <v>275</v>
      </c>
      <c r="R300" t="s">
        <v>275</v>
      </c>
      <c r="S300" t="s">
        <v>275</v>
      </c>
      <c r="T300" t="s">
        <v>275</v>
      </c>
      <c r="U300" t="s">
        <v>275</v>
      </c>
      <c r="V300" t="s">
        <v>275</v>
      </c>
      <c r="W300" t="s">
        <v>10</v>
      </c>
      <c r="X300" t="s">
        <v>275</v>
      </c>
      <c r="Y300" t="s">
        <v>275</v>
      </c>
      <c r="Z300" t="s">
        <v>275</v>
      </c>
      <c r="AA300" t="s">
        <v>275</v>
      </c>
      <c r="AB300" t="s">
        <v>275</v>
      </c>
      <c r="AC300" t="s">
        <v>275</v>
      </c>
      <c r="AD300" t="s">
        <v>275</v>
      </c>
    </row>
    <row r="301" spans="1:30">
      <c r="A301">
        <v>299</v>
      </c>
      <c r="B301" t="s">
        <v>728</v>
      </c>
      <c r="C301" t="s">
        <v>729</v>
      </c>
      <c r="D301" t="str">
        <f>IF(VLOOKUP(C301,'Capabilities Overview'!$A$2:$A$587,1)=C301,"","Not in UCL")</f>
        <v/>
      </c>
      <c r="E301" t="s">
        <v>1</v>
      </c>
      <c r="F301" t="s">
        <v>1</v>
      </c>
      <c r="G301" t="s">
        <v>275</v>
      </c>
      <c r="H301" t="s">
        <v>275</v>
      </c>
      <c r="I301" t="s">
        <v>1</v>
      </c>
      <c r="J301" t="s">
        <v>1</v>
      </c>
      <c r="K301" t="s">
        <v>1</v>
      </c>
      <c r="L301" t="s">
        <v>275</v>
      </c>
      <c r="M301" t="s">
        <v>1</v>
      </c>
      <c r="N301" t="s">
        <v>1</v>
      </c>
      <c r="O301" t="s">
        <v>1</v>
      </c>
      <c r="P301" t="s">
        <v>275</v>
      </c>
      <c r="Q301" t="s">
        <v>275</v>
      </c>
      <c r="R301" t="s">
        <v>275</v>
      </c>
      <c r="S301" t="s">
        <v>275</v>
      </c>
      <c r="T301" t="s">
        <v>275</v>
      </c>
      <c r="U301" t="s">
        <v>275</v>
      </c>
      <c r="V301" t="s">
        <v>275</v>
      </c>
      <c r="W301" t="s">
        <v>10</v>
      </c>
      <c r="X301" t="s">
        <v>275</v>
      </c>
      <c r="Y301" t="s">
        <v>275</v>
      </c>
      <c r="Z301" t="s">
        <v>275</v>
      </c>
      <c r="AA301" t="s">
        <v>275</v>
      </c>
      <c r="AB301" t="s">
        <v>275</v>
      </c>
      <c r="AC301" t="s">
        <v>275</v>
      </c>
      <c r="AD301" t="s">
        <v>275</v>
      </c>
    </row>
    <row r="302" spans="1:30">
      <c r="A302">
        <v>300</v>
      </c>
      <c r="B302" t="s">
        <v>730</v>
      </c>
      <c r="C302" t="s">
        <v>731</v>
      </c>
      <c r="D302" t="str">
        <f>IF(VLOOKUP(C302,'Capabilities Overview'!$A$2:$A$587,1)=C302,"","Not in UCL")</f>
        <v/>
      </c>
      <c r="E302" t="s">
        <v>1</v>
      </c>
      <c r="F302" t="s">
        <v>1</v>
      </c>
      <c r="G302" t="s">
        <v>275</v>
      </c>
      <c r="H302" t="s">
        <v>275</v>
      </c>
      <c r="I302" t="s">
        <v>275</v>
      </c>
      <c r="J302" t="s">
        <v>275</v>
      </c>
      <c r="K302" t="s">
        <v>275</v>
      </c>
      <c r="L302" t="s">
        <v>275</v>
      </c>
      <c r="M302" t="s">
        <v>1</v>
      </c>
      <c r="N302" t="s">
        <v>1</v>
      </c>
      <c r="O302" t="s">
        <v>1</v>
      </c>
      <c r="P302" t="s">
        <v>275</v>
      </c>
      <c r="Q302" t="s">
        <v>275</v>
      </c>
      <c r="R302" t="s">
        <v>275</v>
      </c>
      <c r="S302" t="s">
        <v>275</v>
      </c>
      <c r="T302" t="s">
        <v>275</v>
      </c>
      <c r="U302" t="s">
        <v>275</v>
      </c>
      <c r="V302" t="s">
        <v>275</v>
      </c>
      <c r="W302" t="s">
        <v>10</v>
      </c>
      <c r="X302" t="s">
        <v>275</v>
      </c>
      <c r="Y302" t="s">
        <v>275</v>
      </c>
      <c r="Z302" t="s">
        <v>275</v>
      </c>
      <c r="AA302" t="s">
        <v>275</v>
      </c>
      <c r="AB302" t="s">
        <v>275</v>
      </c>
      <c r="AC302" t="s">
        <v>275</v>
      </c>
      <c r="AD302" t="s">
        <v>275</v>
      </c>
    </row>
    <row r="303" spans="1:30">
      <c r="A303">
        <v>301</v>
      </c>
      <c r="B303" t="s">
        <v>732</v>
      </c>
      <c r="C303" t="s">
        <v>733</v>
      </c>
      <c r="D303" t="str">
        <f>IF(VLOOKUP(C303,'Capabilities Overview'!$A$2:$A$587,1)=C303,"","Not in UCL")</f>
        <v/>
      </c>
      <c r="E303" t="s">
        <v>1</v>
      </c>
      <c r="F303" t="s">
        <v>1</v>
      </c>
      <c r="G303" t="s">
        <v>275</v>
      </c>
      <c r="H303" t="s">
        <v>275</v>
      </c>
      <c r="I303" t="s">
        <v>275</v>
      </c>
      <c r="J303" t="s">
        <v>275</v>
      </c>
      <c r="K303" t="s">
        <v>275</v>
      </c>
      <c r="L303" t="s">
        <v>275</v>
      </c>
      <c r="M303" t="s">
        <v>1</v>
      </c>
      <c r="N303" t="s">
        <v>1</v>
      </c>
      <c r="O303" t="s">
        <v>1</v>
      </c>
      <c r="P303" t="s">
        <v>275</v>
      </c>
      <c r="Q303" t="s">
        <v>41</v>
      </c>
      <c r="R303" t="s">
        <v>275</v>
      </c>
      <c r="S303" t="s">
        <v>275</v>
      </c>
      <c r="T303" t="s">
        <v>275</v>
      </c>
      <c r="U303" t="s">
        <v>275</v>
      </c>
      <c r="V303" t="s">
        <v>275</v>
      </c>
      <c r="W303" t="s">
        <v>10</v>
      </c>
      <c r="X303" t="s">
        <v>275</v>
      </c>
      <c r="Y303" t="s">
        <v>275</v>
      </c>
      <c r="Z303" t="s">
        <v>275</v>
      </c>
      <c r="AA303" t="s">
        <v>275</v>
      </c>
      <c r="AB303" t="s">
        <v>275</v>
      </c>
      <c r="AC303" t="s">
        <v>275</v>
      </c>
      <c r="AD303" t="s">
        <v>275</v>
      </c>
    </row>
    <row r="304" spans="1:30">
      <c r="A304">
        <v>302</v>
      </c>
      <c r="B304" t="s">
        <v>734</v>
      </c>
      <c r="C304" t="s">
        <v>735</v>
      </c>
      <c r="D304" t="str">
        <f>IF(VLOOKUP(C304,'Capabilities Overview'!$A$2:$A$587,1)=C304,"","Not in UCL")</f>
        <v/>
      </c>
      <c r="E304" t="s">
        <v>1</v>
      </c>
      <c r="F304" t="s">
        <v>1</v>
      </c>
      <c r="G304" t="s">
        <v>275</v>
      </c>
      <c r="H304" t="s">
        <v>275</v>
      </c>
      <c r="I304" t="s">
        <v>1</v>
      </c>
      <c r="J304" t="s">
        <v>275</v>
      </c>
      <c r="K304" t="s">
        <v>275</v>
      </c>
      <c r="L304" t="s">
        <v>275</v>
      </c>
      <c r="M304" t="s">
        <v>1</v>
      </c>
      <c r="N304" t="s">
        <v>1</v>
      </c>
      <c r="O304" t="s">
        <v>1</v>
      </c>
      <c r="P304" t="s">
        <v>275</v>
      </c>
      <c r="Q304" t="s">
        <v>275</v>
      </c>
      <c r="R304" t="s">
        <v>275</v>
      </c>
      <c r="S304" t="s">
        <v>275</v>
      </c>
      <c r="T304" t="s">
        <v>275</v>
      </c>
      <c r="U304" t="s">
        <v>275</v>
      </c>
      <c r="V304" t="s">
        <v>275</v>
      </c>
      <c r="W304" t="s">
        <v>10</v>
      </c>
      <c r="X304" t="s">
        <v>275</v>
      </c>
      <c r="Y304" t="s">
        <v>275</v>
      </c>
      <c r="Z304" t="s">
        <v>275</v>
      </c>
      <c r="AA304" t="s">
        <v>275</v>
      </c>
      <c r="AB304" t="s">
        <v>275</v>
      </c>
      <c r="AC304" t="s">
        <v>275</v>
      </c>
      <c r="AD304" t="s">
        <v>275</v>
      </c>
    </row>
    <row r="305" spans="1:30">
      <c r="A305">
        <v>303</v>
      </c>
      <c r="B305" t="s">
        <v>736</v>
      </c>
      <c r="C305" t="s">
        <v>737</v>
      </c>
      <c r="D305" t="str">
        <f>IF(VLOOKUP(C305,'Capabilities Overview'!$A$2:$A$587,1)=C305,"","Not in UCL")</f>
        <v/>
      </c>
      <c r="E305" t="s">
        <v>1</v>
      </c>
      <c r="F305" t="s">
        <v>1</v>
      </c>
      <c r="G305" t="s">
        <v>275</v>
      </c>
      <c r="H305" t="s">
        <v>275</v>
      </c>
      <c r="I305" t="s">
        <v>1</v>
      </c>
      <c r="J305" t="s">
        <v>1</v>
      </c>
      <c r="K305" t="s">
        <v>1</v>
      </c>
      <c r="L305" t="s">
        <v>1</v>
      </c>
      <c r="M305" t="s">
        <v>1</v>
      </c>
      <c r="N305" t="s">
        <v>1</v>
      </c>
      <c r="O305" t="s">
        <v>275</v>
      </c>
      <c r="P305" t="s">
        <v>1</v>
      </c>
      <c r="Q305" t="s">
        <v>275</v>
      </c>
      <c r="R305" t="s">
        <v>275</v>
      </c>
      <c r="S305" t="s">
        <v>275</v>
      </c>
      <c r="T305" t="s">
        <v>275</v>
      </c>
      <c r="U305" t="s">
        <v>275</v>
      </c>
      <c r="V305" t="s">
        <v>275</v>
      </c>
      <c r="W305" t="s">
        <v>275</v>
      </c>
      <c r="X305" t="s">
        <v>275</v>
      </c>
      <c r="Y305" t="s">
        <v>275</v>
      </c>
      <c r="Z305" t="s">
        <v>275</v>
      </c>
      <c r="AA305" t="s">
        <v>275</v>
      </c>
      <c r="AB305" t="s">
        <v>275</v>
      </c>
      <c r="AC305" t="s">
        <v>275</v>
      </c>
      <c r="AD305" t="s">
        <v>275</v>
      </c>
    </row>
    <row r="306" spans="1:30">
      <c r="A306">
        <v>304</v>
      </c>
      <c r="B306" t="s">
        <v>738</v>
      </c>
      <c r="C306" t="s">
        <v>739</v>
      </c>
      <c r="D306" t="str">
        <f>IF(VLOOKUP(C306,'Capabilities Overview'!$A$2:$A$587,1)=C306,"","Not in UCL")</f>
        <v/>
      </c>
      <c r="E306" t="s">
        <v>1</v>
      </c>
      <c r="F306" t="s">
        <v>1</v>
      </c>
      <c r="G306" t="s">
        <v>1</v>
      </c>
      <c r="H306" t="s">
        <v>275</v>
      </c>
      <c r="I306" t="s">
        <v>1</v>
      </c>
      <c r="J306" t="s">
        <v>1</v>
      </c>
      <c r="K306" t="s">
        <v>1</v>
      </c>
      <c r="L306" t="s">
        <v>275</v>
      </c>
      <c r="M306" t="s">
        <v>1</v>
      </c>
      <c r="N306" t="s">
        <v>1</v>
      </c>
      <c r="O306" t="s">
        <v>1</v>
      </c>
      <c r="P306" t="s">
        <v>1</v>
      </c>
      <c r="Q306" t="s">
        <v>1</v>
      </c>
      <c r="R306" t="s">
        <v>275</v>
      </c>
      <c r="S306" t="s">
        <v>275</v>
      </c>
      <c r="T306" t="s">
        <v>275</v>
      </c>
      <c r="U306" t="s">
        <v>275</v>
      </c>
      <c r="V306" t="s">
        <v>275</v>
      </c>
      <c r="W306" t="s">
        <v>275</v>
      </c>
      <c r="X306" t="s">
        <v>275</v>
      </c>
      <c r="Y306" t="s">
        <v>275</v>
      </c>
      <c r="Z306" t="s">
        <v>275</v>
      </c>
      <c r="AA306" t="s">
        <v>275</v>
      </c>
      <c r="AB306" t="s">
        <v>275</v>
      </c>
      <c r="AC306" t="s">
        <v>275</v>
      </c>
      <c r="AD306" t="s">
        <v>275</v>
      </c>
    </row>
    <row r="307" spans="1:30">
      <c r="A307">
        <v>305</v>
      </c>
      <c r="B307" t="s">
        <v>740</v>
      </c>
      <c r="C307" t="s">
        <v>741</v>
      </c>
      <c r="D307" t="str">
        <f>IF(VLOOKUP(C307,'Capabilities Overview'!$A$2:$A$587,1)=C307,"","Not in UCL")</f>
        <v/>
      </c>
      <c r="E307" t="s">
        <v>1</v>
      </c>
      <c r="F307" t="s">
        <v>1</v>
      </c>
      <c r="G307" t="s">
        <v>275</v>
      </c>
      <c r="H307" t="s">
        <v>275</v>
      </c>
      <c r="I307" t="s">
        <v>1</v>
      </c>
      <c r="J307" t="s">
        <v>1</v>
      </c>
      <c r="K307" t="s">
        <v>1</v>
      </c>
      <c r="L307" t="s">
        <v>275</v>
      </c>
      <c r="M307" t="s">
        <v>1</v>
      </c>
      <c r="N307" t="s">
        <v>1</v>
      </c>
      <c r="O307" t="s">
        <v>1</v>
      </c>
      <c r="P307" t="s">
        <v>275</v>
      </c>
      <c r="Q307" t="s">
        <v>275</v>
      </c>
      <c r="R307" t="s">
        <v>275</v>
      </c>
      <c r="S307" t="s">
        <v>275</v>
      </c>
      <c r="T307" t="s">
        <v>275</v>
      </c>
      <c r="U307" t="s">
        <v>275</v>
      </c>
      <c r="V307" t="s">
        <v>275</v>
      </c>
      <c r="W307" t="s">
        <v>275</v>
      </c>
      <c r="X307" t="s">
        <v>275</v>
      </c>
      <c r="Y307" t="s">
        <v>275</v>
      </c>
      <c r="Z307" t="s">
        <v>275</v>
      </c>
      <c r="AA307" t="s">
        <v>275</v>
      </c>
      <c r="AB307" t="s">
        <v>275</v>
      </c>
      <c r="AC307" t="s">
        <v>275</v>
      </c>
      <c r="AD307" t="s">
        <v>275</v>
      </c>
    </row>
    <row r="308" spans="1:30">
      <c r="A308">
        <v>306</v>
      </c>
      <c r="B308" t="s">
        <v>742</v>
      </c>
      <c r="C308" t="s">
        <v>743</v>
      </c>
      <c r="D308" t="str">
        <f>IF(VLOOKUP(C308,'Capabilities Overview'!$A$2:$A$587,1)=C308,"","Not in UCL")</f>
        <v/>
      </c>
      <c r="E308" t="s">
        <v>1</v>
      </c>
      <c r="F308" t="s">
        <v>1</v>
      </c>
      <c r="G308" t="s">
        <v>275</v>
      </c>
      <c r="H308" t="s">
        <v>275</v>
      </c>
      <c r="I308" t="s">
        <v>1</v>
      </c>
      <c r="J308" t="s">
        <v>1</v>
      </c>
      <c r="K308" t="s">
        <v>1</v>
      </c>
      <c r="L308" t="s">
        <v>275</v>
      </c>
      <c r="M308" t="s">
        <v>1</v>
      </c>
      <c r="N308" t="s">
        <v>1</v>
      </c>
      <c r="O308" t="s">
        <v>1</v>
      </c>
      <c r="P308" t="s">
        <v>275</v>
      </c>
      <c r="Q308" t="s">
        <v>1</v>
      </c>
      <c r="R308" t="s">
        <v>275</v>
      </c>
      <c r="S308" t="s">
        <v>275</v>
      </c>
      <c r="T308" t="s">
        <v>275</v>
      </c>
      <c r="U308" t="s">
        <v>275</v>
      </c>
      <c r="V308" t="s">
        <v>275</v>
      </c>
      <c r="W308" t="s">
        <v>275</v>
      </c>
      <c r="X308" t="s">
        <v>275</v>
      </c>
      <c r="Y308" t="s">
        <v>275</v>
      </c>
      <c r="Z308" t="s">
        <v>275</v>
      </c>
      <c r="AA308" t="s">
        <v>275</v>
      </c>
      <c r="AB308" t="s">
        <v>275</v>
      </c>
      <c r="AC308" t="s">
        <v>275</v>
      </c>
      <c r="AD308" t="s">
        <v>275</v>
      </c>
    </row>
    <row r="309" spans="1:30">
      <c r="A309">
        <v>307</v>
      </c>
      <c r="B309" t="s">
        <v>354</v>
      </c>
      <c r="C309" t="s">
        <v>744</v>
      </c>
      <c r="D309" t="str">
        <f>IF(VLOOKUP(C309,'Capabilities Overview'!$A$2:$A$587,1)=C309,"","Not in UCL")</f>
        <v/>
      </c>
      <c r="E309" t="s">
        <v>1</v>
      </c>
      <c r="F309" t="s">
        <v>1</v>
      </c>
      <c r="G309" t="s">
        <v>275</v>
      </c>
      <c r="H309" t="s">
        <v>275</v>
      </c>
      <c r="I309" t="s">
        <v>1</v>
      </c>
      <c r="J309" t="s">
        <v>275</v>
      </c>
      <c r="K309" t="s">
        <v>275</v>
      </c>
      <c r="L309" t="s">
        <v>1</v>
      </c>
      <c r="M309" t="s">
        <v>1</v>
      </c>
      <c r="N309" t="s">
        <v>1</v>
      </c>
      <c r="O309" t="s">
        <v>1</v>
      </c>
      <c r="P309" t="s">
        <v>275</v>
      </c>
      <c r="Q309" t="s">
        <v>1</v>
      </c>
      <c r="R309" t="s">
        <v>1</v>
      </c>
      <c r="S309" t="s">
        <v>275</v>
      </c>
      <c r="T309" t="s">
        <v>275</v>
      </c>
      <c r="U309" t="s">
        <v>275</v>
      </c>
      <c r="V309" t="s">
        <v>275</v>
      </c>
      <c r="W309" t="s">
        <v>275</v>
      </c>
      <c r="X309" t="s">
        <v>275</v>
      </c>
      <c r="Y309" t="s">
        <v>275</v>
      </c>
      <c r="Z309" t="s">
        <v>275</v>
      </c>
      <c r="AA309" t="s">
        <v>275</v>
      </c>
      <c r="AB309" t="s">
        <v>275</v>
      </c>
      <c r="AC309" t="s">
        <v>275</v>
      </c>
      <c r="AD309" t="s">
        <v>275</v>
      </c>
    </row>
    <row r="310" spans="1:30">
      <c r="A310">
        <v>308</v>
      </c>
      <c r="B310" t="s">
        <v>745</v>
      </c>
      <c r="C310" t="s">
        <v>746</v>
      </c>
      <c r="D310" t="str">
        <f>IF(VLOOKUP(C310,'Capabilities Overview'!$A$2:$A$587,1)=C310,"","Not in UCL")</f>
        <v/>
      </c>
      <c r="E310" t="s">
        <v>1</v>
      </c>
      <c r="F310" t="s">
        <v>1</v>
      </c>
      <c r="G310" t="s">
        <v>275</v>
      </c>
      <c r="H310" t="s">
        <v>275</v>
      </c>
      <c r="I310" t="s">
        <v>1</v>
      </c>
      <c r="J310" t="s">
        <v>275</v>
      </c>
      <c r="K310" t="s">
        <v>275</v>
      </c>
      <c r="L310" t="s">
        <v>1</v>
      </c>
      <c r="M310" t="s">
        <v>1</v>
      </c>
      <c r="N310" t="s">
        <v>1</v>
      </c>
      <c r="O310" t="s">
        <v>1</v>
      </c>
      <c r="P310" t="s">
        <v>275</v>
      </c>
      <c r="Q310" t="s">
        <v>1</v>
      </c>
      <c r="R310" t="s">
        <v>1</v>
      </c>
      <c r="S310" t="s">
        <v>275</v>
      </c>
      <c r="T310" t="s">
        <v>275</v>
      </c>
      <c r="U310" t="s">
        <v>275</v>
      </c>
      <c r="V310" t="s">
        <v>275</v>
      </c>
      <c r="W310" t="s">
        <v>275</v>
      </c>
      <c r="X310" t="s">
        <v>275</v>
      </c>
      <c r="Y310" t="s">
        <v>275</v>
      </c>
      <c r="Z310" t="s">
        <v>275</v>
      </c>
      <c r="AA310" t="s">
        <v>275</v>
      </c>
      <c r="AB310" t="s">
        <v>275</v>
      </c>
      <c r="AC310" t="s">
        <v>275</v>
      </c>
      <c r="AD310" t="s">
        <v>275</v>
      </c>
    </row>
    <row r="311" spans="1:30">
      <c r="A311">
        <v>309</v>
      </c>
      <c r="B311" t="s">
        <v>747</v>
      </c>
      <c r="C311" t="s">
        <v>748</v>
      </c>
      <c r="D311" t="str">
        <f>IF(VLOOKUP(C311,'Capabilities Overview'!$A$2:$A$587,1)=C311,"","Not in UCL")</f>
        <v/>
      </c>
      <c r="E311" t="s">
        <v>1</v>
      </c>
      <c r="F311" t="s">
        <v>1</v>
      </c>
      <c r="G311" t="s">
        <v>275</v>
      </c>
      <c r="H311" t="s">
        <v>275</v>
      </c>
      <c r="I311" t="s">
        <v>1</v>
      </c>
      <c r="J311" t="s">
        <v>275</v>
      </c>
      <c r="K311" t="s">
        <v>275</v>
      </c>
      <c r="L311" t="s">
        <v>275</v>
      </c>
      <c r="M311" t="s">
        <v>1</v>
      </c>
      <c r="N311" t="s">
        <v>1</v>
      </c>
      <c r="O311" t="s">
        <v>1</v>
      </c>
      <c r="P311" t="s">
        <v>275</v>
      </c>
      <c r="Q311" t="s">
        <v>275</v>
      </c>
      <c r="R311" t="s">
        <v>275</v>
      </c>
      <c r="S311" t="s">
        <v>275</v>
      </c>
      <c r="T311" t="s">
        <v>275</v>
      </c>
      <c r="U311" t="s">
        <v>275</v>
      </c>
      <c r="V311" t="s">
        <v>275</v>
      </c>
      <c r="W311" t="s">
        <v>10</v>
      </c>
      <c r="X311" t="s">
        <v>275</v>
      </c>
      <c r="Y311" t="s">
        <v>275</v>
      </c>
      <c r="Z311" t="s">
        <v>275</v>
      </c>
      <c r="AA311" t="s">
        <v>275</v>
      </c>
      <c r="AB311" t="s">
        <v>275</v>
      </c>
      <c r="AC311" t="s">
        <v>275</v>
      </c>
      <c r="AD311" t="s">
        <v>275</v>
      </c>
    </row>
    <row r="312" spans="1:30">
      <c r="A312">
        <v>310</v>
      </c>
      <c r="B312" t="s">
        <v>749</v>
      </c>
      <c r="C312" t="s">
        <v>750</v>
      </c>
      <c r="D312" t="str">
        <f>IF(VLOOKUP(C312,'Capabilities Overview'!$A$2:$A$587,1)=C312,"","Not in UCL")</f>
        <v/>
      </c>
      <c r="E312" t="s">
        <v>1</v>
      </c>
      <c r="F312" t="s">
        <v>1</v>
      </c>
      <c r="G312" t="s">
        <v>1</v>
      </c>
      <c r="H312" t="s">
        <v>275</v>
      </c>
      <c r="I312" t="s">
        <v>1</v>
      </c>
      <c r="J312" t="s">
        <v>1</v>
      </c>
      <c r="K312" t="s">
        <v>1</v>
      </c>
      <c r="L312" t="s">
        <v>275</v>
      </c>
      <c r="M312" t="s">
        <v>1</v>
      </c>
      <c r="N312" t="s">
        <v>1</v>
      </c>
      <c r="O312" t="s">
        <v>1</v>
      </c>
      <c r="P312" t="s">
        <v>275</v>
      </c>
      <c r="Q312" t="s">
        <v>275</v>
      </c>
      <c r="R312" t="s">
        <v>275</v>
      </c>
      <c r="S312" t="s">
        <v>275</v>
      </c>
      <c r="T312" t="s">
        <v>275</v>
      </c>
      <c r="U312" t="s">
        <v>275</v>
      </c>
      <c r="V312" t="s">
        <v>275</v>
      </c>
      <c r="W312" t="s">
        <v>10</v>
      </c>
      <c r="X312" t="s">
        <v>275</v>
      </c>
      <c r="Y312" t="s">
        <v>275</v>
      </c>
      <c r="Z312" t="s">
        <v>275</v>
      </c>
      <c r="AA312" t="s">
        <v>275</v>
      </c>
      <c r="AB312" t="s">
        <v>275</v>
      </c>
      <c r="AC312" t="s">
        <v>275</v>
      </c>
      <c r="AD312" t="s">
        <v>275</v>
      </c>
    </row>
    <row r="313" spans="1:30">
      <c r="A313">
        <v>311</v>
      </c>
      <c r="B313" t="s">
        <v>751</v>
      </c>
      <c r="C313" t="s">
        <v>752</v>
      </c>
      <c r="D313" t="str">
        <f>IF(VLOOKUP(C313,'Capabilities Overview'!$A$2:$A$587,1)=C313,"","Not in UCL")</f>
        <v/>
      </c>
      <c r="E313" t="s">
        <v>1</v>
      </c>
      <c r="F313" t="s">
        <v>1</v>
      </c>
      <c r="G313" t="s">
        <v>275</v>
      </c>
      <c r="H313" t="s">
        <v>275</v>
      </c>
      <c r="I313" t="s">
        <v>275</v>
      </c>
      <c r="J313" t="s">
        <v>275</v>
      </c>
      <c r="K313" t="s">
        <v>275</v>
      </c>
      <c r="L313" t="s">
        <v>275</v>
      </c>
      <c r="M313" t="s">
        <v>1</v>
      </c>
      <c r="N313" t="s">
        <v>1</v>
      </c>
      <c r="O313" t="s">
        <v>1</v>
      </c>
      <c r="P313" t="s">
        <v>275</v>
      </c>
      <c r="Q313" t="s">
        <v>275</v>
      </c>
      <c r="R313" t="s">
        <v>275</v>
      </c>
      <c r="S313" t="s">
        <v>275</v>
      </c>
      <c r="T313" t="s">
        <v>275</v>
      </c>
      <c r="U313" t="s">
        <v>275</v>
      </c>
      <c r="V313" t="s">
        <v>275</v>
      </c>
      <c r="W313" t="s">
        <v>10</v>
      </c>
      <c r="X313" t="s">
        <v>275</v>
      </c>
      <c r="Y313" t="s">
        <v>275</v>
      </c>
      <c r="Z313" t="s">
        <v>275</v>
      </c>
      <c r="AA313" t="s">
        <v>275</v>
      </c>
      <c r="AB313" t="s">
        <v>275</v>
      </c>
      <c r="AC313" t="s">
        <v>275</v>
      </c>
      <c r="AD313" t="s">
        <v>275</v>
      </c>
    </row>
    <row r="314" spans="1:30">
      <c r="A314">
        <v>312</v>
      </c>
      <c r="B314" t="s">
        <v>753</v>
      </c>
      <c r="C314" t="s">
        <v>754</v>
      </c>
      <c r="D314" t="str">
        <f>IF(VLOOKUP(C314,'Capabilities Overview'!$A$2:$A$587,1)=C314,"","Not in UCL")</f>
        <v/>
      </c>
      <c r="E314" t="s">
        <v>1</v>
      </c>
      <c r="F314" t="s">
        <v>1</v>
      </c>
      <c r="G314" t="s">
        <v>275</v>
      </c>
      <c r="H314" t="s">
        <v>275</v>
      </c>
      <c r="I314" t="s">
        <v>1</v>
      </c>
      <c r="J314" t="s">
        <v>275</v>
      </c>
      <c r="K314" t="s">
        <v>275</v>
      </c>
      <c r="L314" t="s">
        <v>275</v>
      </c>
      <c r="M314" t="s">
        <v>1</v>
      </c>
      <c r="N314" t="s">
        <v>1</v>
      </c>
      <c r="O314" t="s">
        <v>1</v>
      </c>
      <c r="P314" t="s">
        <v>275</v>
      </c>
      <c r="Q314" t="s">
        <v>1</v>
      </c>
      <c r="R314" t="s">
        <v>275</v>
      </c>
      <c r="S314" t="s">
        <v>275</v>
      </c>
      <c r="T314" t="s">
        <v>275</v>
      </c>
      <c r="U314" t="s">
        <v>275</v>
      </c>
      <c r="V314" t="s">
        <v>275</v>
      </c>
      <c r="W314" t="s">
        <v>10</v>
      </c>
      <c r="X314" t="s">
        <v>275</v>
      </c>
      <c r="Y314" t="s">
        <v>275</v>
      </c>
      <c r="Z314" t="s">
        <v>275</v>
      </c>
      <c r="AA314" t="s">
        <v>275</v>
      </c>
      <c r="AB314" t="s">
        <v>275</v>
      </c>
      <c r="AC314" t="s">
        <v>275</v>
      </c>
      <c r="AD314" t="s">
        <v>275</v>
      </c>
    </row>
    <row r="315" spans="1:30">
      <c r="A315">
        <v>313</v>
      </c>
      <c r="B315" t="s">
        <v>755</v>
      </c>
      <c r="C315" t="s">
        <v>756</v>
      </c>
      <c r="D315" t="str">
        <f>IF(VLOOKUP(C315,'Capabilities Overview'!$A$2:$A$587,1)=C315,"","Not in UCL")</f>
        <v/>
      </c>
      <c r="E315" t="s">
        <v>1</v>
      </c>
      <c r="F315" t="s">
        <v>1</v>
      </c>
      <c r="G315" t="s">
        <v>275</v>
      </c>
      <c r="H315" t="s">
        <v>275</v>
      </c>
      <c r="I315" t="s">
        <v>1</v>
      </c>
      <c r="J315" t="s">
        <v>275</v>
      </c>
      <c r="K315" t="s">
        <v>275</v>
      </c>
      <c r="L315" t="s">
        <v>275</v>
      </c>
      <c r="M315" t="s">
        <v>1</v>
      </c>
      <c r="N315" t="s">
        <v>1</v>
      </c>
      <c r="O315" t="s">
        <v>1</v>
      </c>
      <c r="P315" t="s">
        <v>275</v>
      </c>
      <c r="Q315" t="s">
        <v>275</v>
      </c>
      <c r="R315" t="s">
        <v>275</v>
      </c>
      <c r="S315" t="s">
        <v>275</v>
      </c>
      <c r="T315" t="s">
        <v>275</v>
      </c>
      <c r="U315" t="s">
        <v>275</v>
      </c>
      <c r="V315" t="s">
        <v>275</v>
      </c>
      <c r="W315" t="s">
        <v>10</v>
      </c>
      <c r="X315" t="s">
        <v>275</v>
      </c>
      <c r="Y315" t="s">
        <v>275</v>
      </c>
      <c r="Z315" t="s">
        <v>275</v>
      </c>
      <c r="AA315" t="s">
        <v>275</v>
      </c>
      <c r="AB315" t="s">
        <v>275</v>
      </c>
      <c r="AC315" t="s">
        <v>275</v>
      </c>
      <c r="AD315" t="s">
        <v>275</v>
      </c>
    </row>
    <row r="316" spans="1:30">
      <c r="A316">
        <v>314</v>
      </c>
      <c r="B316" t="s">
        <v>757</v>
      </c>
      <c r="C316" t="s">
        <v>758</v>
      </c>
      <c r="D316" t="str">
        <f>IF(VLOOKUP(C316,'Capabilities Overview'!$A$2:$A$587,1)=C316,"","Not in UCL")</f>
        <v/>
      </c>
      <c r="E316" t="s">
        <v>1</v>
      </c>
      <c r="F316" t="s">
        <v>1</v>
      </c>
      <c r="G316" t="s">
        <v>275</v>
      </c>
      <c r="H316" t="s">
        <v>275</v>
      </c>
      <c r="I316" t="s">
        <v>275</v>
      </c>
      <c r="J316" t="s">
        <v>275</v>
      </c>
      <c r="K316" t="s">
        <v>275</v>
      </c>
      <c r="L316" t="s">
        <v>275</v>
      </c>
      <c r="M316" t="s">
        <v>1</v>
      </c>
      <c r="N316" t="s">
        <v>1</v>
      </c>
      <c r="O316" t="s">
        <v>1</v>
      </c>
      <c r="P316" t="s">
        <v>275</v>
      </c>
      <c r="Q316" t="s">
        <v>275</v>
      </c>
      <c r="R316" t="s">
        <v>275</v>
      </c>
      <c r="S316" t="s">
        <v>275</v>
      </c>
      <c r="T316" t="s">
        <v>275</v>
      </c>
      <c r="U316" t="s">
        <v>275</v>
      </c>
      <c r="V316" t="s">
        <v>275</v>
      </c>
      <c r="W316" t="s">
        <v>10</v>
      </c>
      <c r="X316" t="s">
        <v>275</v>
      </c>
      <c r="Y316" t="s">
        <v>275</v>
      </c>
      <c r="Z316" t="s">
        <v>275</v>
      </c>
      <c r="AA316" t="s">
        <v>275</v>
      </c>
      <c r="AB316" t="s">
        <v>275</v>
      </c>
      <c r="AC316" t="s">
        <v>275</v>
      </c>
      <c r="AD316" t="s">
        <v>275</v>
      </c>
    </row>
    <row r="317" spans="1:30">
      <c r="A317">
        <v>315</v>
      </c>
      <c r="B317" t="s">
        <v>759</v>
      </c>
      <c r="C317" t="s">
        <v>760</v>
      </c>
      <c r="D317" t="str">
        <f>IF(VLOOKUP(C317,'Capabilities Overview'!$A$2:$A$587,1)=C317,"","Not in UCL")</f>
        <v/>
      </c>
      <c r="E317" t="s">
        <v>1</v>
      </c>
      <c r="F317" t="s">
        <v>1</v>
      </c>
      <c r="G317" t="s">
        <v>275</v>
      </c>
      <c r="H317" t="s">
        <v>275</v>
      </c>
      <c r="I317" t="s">
        <v>275</v>
      </c>
      <c r="J317" t="s">
        <v>275</v>
      </c>
      <c r="K317" t="s">
        <v>275</v>
      </c>
      <c r="L317" t="s">
        <v>275</v>
      </c>
      <c r="M317" t="s">
        <v>1</v>
      </c>
      <c r="N317" t="s">
        <v>1</v>
      </c>
      <c r="O317" t="s">
        <v>1</v>
      </c>
      <c r="P317" t="s">
        <v>275</v>
      </c>
      <c r="Q317" t="s">
        <v>275</v>
      </c>
      <c r="R317" t="s">
        <v>275</v>
      </c>
      <c r="S317" t="s">
        <v>275</v>
      </c>
      <c r="T317" t="s">
        <v>275</v>
      </c>
      <c r="U317" t="s">
        <v>275</v>
      </c>
      <c r="V317" t="s">
        <v>275</v>
      </c>
      <c r="W317" t="s">
        <v>10</v>
      </c>
      <c r="X317" t="s">
        <v>275</v>
      </c>
      <c r="Y317" t="s">
        <v>275</v>
      </c>
      <c r="Z317" t="s">
        <v>275</v>
      </c>
      <c r="AA317" t="s">
        <v>275</v>
      </c>
      <c r="AB317" t="s">
        <v>275</v>
      </c>
      <c r="AC317" t="s">
        <v>275</v>
      </c>
      <c r="AD317" t="s">
        <v>275</v>
      </c>
    </row>
    <row r="318" spans="1:30">
      <c r="A318">
        <v>316</v>
      </c>
      <c r="B318" t="s">
        <v>761</v>
      </c>
      <c r="C318" t="s">
        <v>762</v>
      </c>
      <c r="D318" t="str">
        <f>IF(VLOOKUP(C318,'Capabilities Overview'!$A$2:$A$587,1)=C318,"","Not in UCL")</f>
        <v/>
      </c>
      <c r="E318" t="s">
        <v>1</v>
      </c>
      <c r="F318" t="s">
        <v>1</v>
      </c>
      <c r="G318" t="s">
        <v>275</v>
      </c>
      <c r="H318" t="s">
        <v>275</v>
      </c>
      <c r="I318" t="s">
        <v>275</v>
      </c>
      <c r="J318" t="s">
        <v>275</v>
      </c>
      <c r="K318" t="s">
        <v>275</v>
      </c>
      <c r="L318" t="s">
        <v>275</v>
      </c>
      <c r="M318" t="s">
        <v>1</v>
      </c>
      <c r="N318" t="s">
        <v>1</v>
      </c>
      <c r="O318" t="s">
        <v>1</v>
      </c>
      <c r="P318" t="s">
        <v>275</v>
      </c>
      <c r="Q318" t="s">
        <v>275</v>
      </c>
      <c r="R318" t="s">
        <v>275</v>
      </c>
      <c r="S318" t="s">
        <v>275</v>
      </c>
      <c r="T318" t="s">
        <v>275</v>
      </c>
      <c r="U318" t="s">
        <v>275</v>
      </c>
      <c r="V318" t="s">
        <v>275</v>
      </c>
      <c r="W318" t="s">
        <v>10</v>
      </c>
      <c r="X318" t="s">
        <v>275</v>
      </c>
      <c r="Y318" t="s">
        <v>275</v>
      </c>
      <c r="Z318" t="s">
        <v>275</v>
      </c>
      <c r="AA318" t="s">
        <v>275</v>
      </c>
      <c r="AB318" t="s">
        <v>275</v>
      </c>
      <c r="AC318" t="s">
        <v>275</v>
      </c>
      <c r="AD318" t="s">
        <v>275</v>
      </c>
    </row>
    <row r="319" spans="1:30">
      <c r="A319">
        <v>317</v>
      </c>
      <c r="B319" t="s">
        <v>763</v>
      </c>
      <c r="C319" t="s">
        <v>764</v>
      </c>
      <c r="D319" t="str">
        <f>IF(VLOOKUP(C319,'Capabilities Overview'!$A$2:$A$587,1)=C319,"","Not in UCL")</f>
        <v/>
      </c>
      <c r="E319" t="s">
        <v>1</v>
      </c>
      <c r="F319" t="s">
        <v>275</v>
      </c>
      <c r="G319" t="s">
        <v>275</v>
      </c>
      <c r="H319" t="s">
        <v>275</v>
      </c>
      <c r="I319" t="s">
        <v>275</v>
      </c>
      <c r="J319" t="s">
        <v>275</v>
      </c>
      <c r="K319" t="s">
        <v>275</v>
      </c>
      <c r="L319" t="s">
        <v>275</v>
      </c>
      <c r="M319" t="s">
        <v>1</v>
      </c>
      <c r="N319" t="s">
        <v>1</v>
      </c>
      <c r="O319" t="s">
        <v>1</v>
      </c>
      <c r="P319" t="s">
        <v>275</v>
      </c>
      <c r="Q319" t="s">
        <v>275</v>
      </c>
      <c r="R319" t="s">
        <v>275</v>
      </c>
      <c r="S319" t="s">
        <v>275</v>
      </c>
      <c r="T319" t="s">
        <v>275</v>
      </c>
      <c r="U319" t="s">
        <v>275</v>
      </c>
      <c r="V319" t="s">
        <v>275</v>
      </c>
      <c r="W319" t="s">
        <v>10</v>
      </c>
      <c r="X319" t="s">
        <v>275</v>
      </c>
      <c r="Y319" t="s">
        <v>275</v>
      </c>
      <c r="Z319" t="s">
        <v>275</v>
      </c>
      <c r="AA319" t="s">
        <v>275</v>
      </c>
      <c r="AB319" t="s">
        <v>275</v>
      </c>
      <c r="AC319" t="s">
        <v>275</v>
      </c>
      <c r="AD319" t="s">
        <v>275</v>
      </c>
    </row>
    <row r="320" spans="1:30">
      <c r="A320">
        <v>318</v>
      </c>
      <c r="B320" t="s">
        <v>765</v>
      </c>
      <c r="C320" t="s">
        <v>766</v>
      </c>
      <c r="D320" t="str">
        <f>IF(VLOOKUP(C320,'Capabilities Overview'!$A$2:$A$587,1)=C320,"","Not in UCL")</f>
        <v/>
      </c>
      <c r="E320" t="s">
        <v>1</v>
      </c>
      <c r="F320" t="s">
        <v>1</v>
      </c>
      <c r="G320" t="s">
        <v>275</v>
      </c>
      <c r="H320" t="s">
        <v>275</v>
      </c>
      <c r="I320" t="s">
        <v>1</v>
      </c>
      <c r="J320" t="s">
        <v>275</v>
      </c>
      <c r="K320" t="s">
        <v>275</v>
      </c>
      <c r="L320" t="s">
        <v>275</v>
      </c>
      <c r="M320" t="s">
        <v>1</v>
      </c>
      <c r="N320" t="s">
        <v>1</v>
      </c>
      <c r="O320" t="s">
        <v>1</v>
      </c>
      <c r="P320" t="s">
        <v>275</v>
      </c>
      <c r="Q320" t="s">
        <v>275</v>
      </c>
      <c r="R320" t="s">
        <v>275</v>
      </c>
      <c r="S320" t="s">
        <v>275</v>
      </c>
      <c r="T320" t="s">
        <v>275</v>
      </c>
      <c r="U320" t="s">
        <v>275</v>
      </c>
      <c r="V320" t="s">
        <v>275</v>
      </c>
      <c r="W320" t="s">
        <v>275</v>
      </c>
      <c r="X320" t="s">
        <v>275</v>
      </c>
      <c r="Y320" t="s">
        <v>275</v>
      </c>
      <c r="Z320" t="s">
        <v>275</v>
      </c>
      <c r="AA320" t="s">
        <v>275</v>
      </c>
      <c r="AB320" t="s">
        <v>275</v>
      </c>
      <c r="AC320" t="s">
        <v>275</v>
      </c>
      <c r="AD320" t="s">
        <v>275</v>
      </c>
    </row>
    <row r="321" spans="1:30">
      <c r="A321">
        <v>319</v>
      </c>
      <c r="B321" t="s">
        <v>767</v>
      </c>
      <c r="C321" t="s">
        <v>768</v>
      </c>
      <c r="D321" t="str">
        <f>IF(VLOOKUP(C321,'Capabilities Overview'!$A$2:$A$587,1)=C321,"","Not in UCL")</f>
        <v/>
      </c>
      <c r="E321" t="s">
        <v>1</v>
      </c>
      <c r="F321" t="s">
        <v>1</v>
      </c>
      <c r="G321" t="s">
        <v>275</v>
      </c>
      <c r="H321" t="s">
        <v>275</v>
      </c>
      <c r="I321" t="s">
        <v>275</v>
      </c>
      <c r="J321" t="s">
        <v>275</v>
      </c>
      <c r="K321" t="s">
        <v>275</v>
      </c>
      <c r="L321" t="s">
        <v>275</v>
      </c>
      <c r="M321" t="s">
        <v>1</v>
      </c>
      <c r="N321" t="s">
        <v>1</v>
      </c>
      <c r="O321" t="s">
        <v>1</v>
      </c>
      <c r="P321" t="s">
        <v>275</v>
      </c>
      <c r="Q321" t="s">
        <v>275</v>
      </c>
      <c r="R321" t="s">
        <v>275</v>
      </c>
      <c r="S321" t="s">
        <v>275</v>
      </c>
      <c r="T321" t="s">
        <v>275</v>
      </c>
      <c r="U321" t="s">
        <v>275</v>
      </c>
      <c r="V321" t="s">
        <v>275</v>
      </c>
      <c r="W321" t="s">
        <v>10</v>
      </c>
      <c r="X321" t="s">
        <v>275</v>
      </c>
      <c r="Y321" t="s">
        <v>275</v>
      </c>
      <c r="Z321" t="s">
        <v>275</v>
      </c>
      <c r="AA321" t="s">
        <v>275</v>
      </c>
      <c r="AB321" t="s">
        <v>275</v>
      </c>
      <c r="AC321" t="s">
        <v>275</v>
      </c>
      <c r="AD321" t="s">
        <v>275</v>
      </c>
    </row>
    <row r="322" spans="1:30">
      <c r="A322">
        <v>320</v>
      </c>
      <c r="B322" t="s">
        <v>769</v>
      </c>
      <c r="C322" t="s">
        <v>770</v>
      </c>
      <c r="D322" t="str">
        <f>IF(VLOOKUP(C322,'Capabilities Overview'!$A$2:$A$587,1)=C322,"","Not in UCL")</f>
        <v/>
      </c>
      <c r="E322" t="s">
        <v>1</v>
      </c>
      <c r="F322" t="s">
        <v>1</v>
      </c>
      <c r="G322" t="s">
        <v>275</v>
      </c>
      <c r="H322" t="s">
        <v>275</v>
      </c>
      <c r="I322" t="s">
        <v>275</v>
      </c>
      <c r="J322" t="s">
        <v>275</v>
      </c>
      <c r="K322" t="s">
        <v>275</v>
      </c>
      <c r="L322" t="s">
        <v>275</v>
      </c>
      <c r="M322" t="s">
        <v>1</v>
      </c>
      <c r="N322" t="s">
        <v>1</v>
      </c>
      <c r="O322" t="s">
        <v>1</v>
      </c>
      <c r="P322" t="s">
        <v>275</v>
      </c>
      <c r="Q322" t="s">
        <v>275</v>
      </c>
      <c r="R322" t="s">
        <v>275</v>
      </c>
      <c r="S322" t="s">
        <v>275</v>
      </c>
      <c r="T322" t="s">
        <v>275</v>
      </c>
      <c r="U322" t="s">
        <v>275</v>
      </c>
      <c r="V322" t="s">
        <v>275</v>
      </c>
      <c r="W322" t="s">
        <v>10</v>
      </c>
      <c r="X322" t="s">
        <v>275</v>
      </c>
      <c r="Y322" t="s">
        <v>275</v>
      </c>
      <c r="Z322" t="s">
        <v>275</v>
      </c>
      <c r="AA322" t="s">
        <v>275</v>
      </c>
      <c r="AB322" t="s">
        <v>275</v>
      </c>
      <c r="AC322" t="s">
        <v>275</v>
      </c>
      <c r="AD322" t="s">
        <v>275</v>
      </c>
    </row>
    <row r="323" spans="1:30">
      <c r="A323">
        <v>321</v>
      </c>
      <c r="B323" t="s">
        <v>771</v>
      </c>
      <c r="C323" t="s">
        <v>772</v>
      </c>
      <c r="D323" t="str">
        <f>IF(VLOOKUP(C323,'Capabilities Overview'!$A$2:$A$587,1)=C323,"","Not in UCL")</f>
        <v/>
      </c>
      <c r="E323" t="s">
        <v>275</v>
      </c>
      <c r="F323" t="s">
        <v>275</v>
      </c>
      <c r="G323" t="s">
        <v>275</v>
      </c>
      <c r="H323" t="s">
        <v>275</v>
      </c>
      <c r="I323" t="s">
        <v>1</v>
      </c>
      <c r="J323" t="s">
        <v>275</v>
      </c>
      <c r="K323" t="s">
        <v>275</v>
      </c>
      <c r="L323" t="s">
        <v>275</v>
      </c>
      <c r="M323" t="s">
        <v>275</v>
      </c>
      <c r="N323" t="s">
        <v>275</v>
      </c>
      <c r="O323" t="s">
        <v>275</v>
      </c>
      <c r="P323" t="s">
        <v>275</v>
      </c>
      <c r="Q323" t="s">
        <v>275</v>
      </c>
      <c r="R323" t="s">
        <v>1</v>
      </c>
      <c r="S323" t="s">
        <v>275</v>
      </c>
      <c r="T323" t="s">
        <v>275</v>
      </c>
      <c r="U323" t="s">
        <v>275</v>
      </c>
      <c r="V323" t="s">
        <v>275</v>
      </c>
      <c r="W323" t="s">
        <v>275</v>
      </c>
      <c r="X323" t="s">
        <v>275</v>
      </c>
      <c r="Y323" t="s">
        <v>275</v>
      </c>
      <c r="Z323" t="s">
        <v>275</v>
      </c>
      <c r="AA323" t="s">
        <v>275</v>
      </c>
      <c r="AB323" t="s">
        <v>275</v>
      </c>
      <c r="AC323" t="s">
        <v>275</v>
      </c>
      <c r="AD323" t="s">
        <v>275</v>
      </c>
    </row>
    <row r="324" spans="1:30">
      <c r="A324">
        <v>322</v>
      </c>
      <c r="B324" t="s">
        <v>773</v>
      </c>
      <c r="C324" t="s">
        <v>774</v>
      </c>
      <c r="D324" t="str">
        <f>IF(VLOOKUP(C324,'Capabilities Overview'!$A$2:$A$587,1)=C324,"","Not in UCL")</f>
        <v/>
      </c>
      <c r="E324" t="s">
        <v>1</v>
      </c>
      <c r="F324" t="s">
        <v>1</v>
      </c>
      <c r="G324" t="s">
        <v>275</v>
      </c>
      <c r="H324" t="s">
        <v>275</v>
      </c>
      <c r="I324" t="s">
        <v>1</v>
      </c>
      <c r="J324" t="s">
        <v>275</v>
      </c>
      <c r="K324" t="s">
        <v>275</v>
      </c>
      <c r="L324" t="s">
        <v>1</v>
      </c>
      <c r="M324" t="s">
        <v>1</v>
      </c>
      <c r="N324" t="s">
        <v>1</v>
      </c>
      <c r="O324" t="s">
        <v>1</v>
      </c>
      <c r="P324" t="s">
        <v>275</v>
      </c>
      <c r="Q324" t="s">
        <v>1</v>
      </c>
      <c r="R324" t="s">
        <v>275</v>
      </c>
      <c r="S324" t="s">
        <v>275</v>
      </c>
      <c r="T324" t="s">
        <v>275</v>
      </c>
      <c r="U324" t="s">
        <v>275</v>
      </c>
      <c r="V324" t="s">
        <v>275</v>
      </c>
      <c r="W324" t="s">
        <v>275</v>
      </c>
      <c r="X324" t="s">
        <v>275</v>
      </c>
      <c r="Y324" t="s">
        <v>275</v>
      </c>
      <c r="Z324" t="s">
        <v>275</v>
      </c>
      <c r="AA324" t="s">
        <v>275</v>
      </c>
      <c r="AB324" t="s">
        <v>275</v>
      </c>
      <c r="AC324" t="s">
        <v>275</v>
      </c>
      <c r="AD324" t="s">
        <v>275</v>
      </c>
    </row>
    <row r="325" spans="1:30">
      <c r="A325">
        <v>323</v>
      </c>
      <c r="B325" t="s">
        <v>775</v>
      </c>
      <c r="C325" t="s">
        <v>776</v>
      </c>
      <c r="D325" t="str">
        <f>IF(VLOOKUP(C325,'Capabilities Overview'!$A$2:$A$587,1)=C325,"","Not in UCL")</f>
        <v/>
      </c>
      <c r="E325" t="s">
        <v>1</v>
      </c>
      <c r="F325" t="s">
        <v>1</v>
      </c>
      <c r="G325" t="s">
        <v>275</v>
      </c>
      <c r="H325" t="s">
        <v>275</v>
      </c>
      <c r="I325" t="s">
        <v>1</v>
      </c>
      <c r="J325" t="s">
        <v>275</v>
      </c>
      <c r="K325" t="s">
        <v>275</v>
      </c>
      <c r="L325" t="s">
        <v>1</v>
      </c>
      <c r="M325" t="s">
        <v>1</v>
      </c>
      <c r="N325" t="s">
        <v>1</v>
      </c>
      <c r="O325" t="s">
        <v>1</v>
      </c>
      <c r="P325" t="s">
        <v>275</v>
      </c>
      <c r="Q325" t="s">
        <v>1</v>
      </c>
      <c r="R325" t="s">
        <v>275</v>
      </c>
      <c r="S325" t="s">
        <v>275</v>
      </c>
      <c r="T325" t="s">
        <v>275</v>
      </c>
      <c r="U325" t="s">
        <v>275</v>
      </c>
      <c r="V325" t="s">
        <v>275</v>
      </c>
      <c r="W325" t="s">
        <v>275</v>
      </c>
      <c r="X325" t="s">
        <v>275</v>
      </c>
      <c r="Y325" t="s">
        <v>275</v>
      </c>
      <c r="Z325" t="s">
        <v>275</v>
      </c>
      <c r="AA325" t="s">
        <v>275</v>
      </c>
      <c r="AB325" t="s">
        <v>275</v>
      </c>
      <c r="AC325" t="s">
        <v>275</v>
      </c>
      <c r="AD325" t="s">
        <v>275</v>
      </c>
    </row>
    <row r="326" spans="1:30">
      <c r="A326">
        <v>324</v>
      </c>
      <c r="B326" t="s">
        <v>777</v>
      </c>
      <c r="C326" t="s">
        <v>778</v>
      </c>
      <c r="D326" t="str">
        <f>IF(VLOOKUP(C326,'Capabilities Overview'!$A$2:$A$587,1)=C326,"","Not in UCL")</f>
        <v/>
      </c>
      <c r="E326" t="s">
        <v>1</v>
      </c>
      <c r="F326" t="s">
        <v>1</v>
      </c>
      <c r="G326" t="s">
        <v>275</v>
      </c>
      <c r="H326" t="s">
        <v>275</v>
      </c>
      <c r="I326" t="s">
        <v>1</v>
      </c>
      <c r="J326" t="s">
        <v>275</v>
      </c>
      <c r="K326" t="s">
        <v>275</v>
      </c>
      <c r="L326" t="s">
        <v>275</v>
      </c>
      <c r="M326" t="s">
        <v>1</v>
      </c>
      <c r="N326" t="s">
        <v>1</v>
      </c>
      <c r="O326" t="s">
        <v>1</v>
      </c>
      <c r="P326" t="s">
        <v>275</v>
      </c>
      <c r="Q326" t="s">
        <v>1</v>
      </c>
      <c r="R326" t="s">
        <v>275</v>
      </c>
      <c r="S326" t="s">
        <v>275</v>
      </c>
      <c r="T326" t="s">
        <v>275</v>
      </c>
      <c r="U326" t="s">
        <v>275</v>
      </c>
      <c r="V326" t="s">
        <v>275</v>
      </c>
      <c r="W326" t="s">
        <v>10</v>
      </c>
      <c r="X326" t="s">
        <v>275</v>
      </c>
      <c r="Y326" t="s">
        <v>275</v>
      </c>
      <c r="Z326" t="s">
        <v>275</v>
      </c>
      <c r="AA326" t="s">
        <v>275</v>
      </c>
      <c r="AB326" t="s">
        <v>275</v>
      </c>
      <c r="AC326" t="s">
        <v>275</v>
      </c>
      <c r="AD326" t="s">
        <v>275</v>
      </c>
    </row>
    <row r="327" spans="1:30">
      <c r="A327">
        <v>325</v>
      </c>
      <c r="B327" t="s">
        <v>779</v>
      </c>
      <c r="C327" t="s">
        <v>780</v>
      </c>
      <c r="D327" t="str">
        <f>IF(VLOOKUP(C327,'Capabilities Overview'!$A$2:$A$587,1)=C327,"","Not in UCL")</f>
        <v/>
      </c>
      <c r="E327" t="s">
        <v>1</v>
      </c>
      <c r="F327" t="s">
        <v>1</v>
      </c>
      <c r="G327" t="s">
        <v>275</v>
      </c>
      <c r="H327" t="s">
        <v>275</v>
      </c>
      <c r="I327" t="s">
        <v>1</v>
      </c>
      <c r="J327" t="s">
        <v>275</v>
      </c>
      <c r="K327" t="s">
        <v>275</v>
      </c>
      <c r="L327" t="s">
        <v>275</v>
      </c>
      <c r="M327" t="s">
        <v>1</v>
      </c>
      <c r="N327" t="s">
        <v>1</v>
      </c>
      <c r="O327" t="s">
        <v>1</v>
      </c>
      <c r="P327" t="s">
        <v>275</v>
      </c>
      <c r="Q327" t="s">
        <v>1</v>
      </c>
      <c r="R327" t="s">
        <v>275</v>
      </c>
      <c r="S327" t="s">
        <v>275</v>
      </c>
      <c r="T327" t="s">
        <v>275</v>
      </c>
      <c r="U327" t="s">
        <v>275</v>
      </c>
      <c r="V327" t="s">
        <v>275</v>
      </c>
      <c r="W327" t="s">
        <v>275</v>
      </c>
      <c r="X327" t="s">
        <v>275</v>
      </c>
      <c r="Y327" t="s">
        <v>275</v>
      </c>
      <c r="Z327" t="s">
        <v>275</v>
      </c>
      <c r="AA327" t="s">
        <v>275</v>
      </c>
      <c r="AB327" t="s">
        <v>275</v>
      </c>
      <c r="AC327" t="s">
        <v>275</v>
      </c>
      <c r="AD327" t="s">
        <v>275</v>
      </c>
    </row>
    <row r="328" spans="1:30">
      <c r="A328">
        <v>326</v>
      </c>
      <c r="B328" t="s">
        <v>781</v>
      </c>
      <c r="C328" t="s">
        <v>782</v>
      </c>
      <c r="D328" t="str">
        <f>IF(VLOOKUP(C328,'Capabilities Overview'!$A$2:$A$587,1)=C328,"","Not in UCL")</f>
        <v/>
      </c>
      <c r="E328" t="s">
        <v>1</v>
      </c>
      <c r="F328" t="s">
        <v>1</v>
      </c>
      <c r="G328" t="s">
        <v>275</v>
      </c>
      <c r="H328" t="s">
        <v>275</v>
      </c>
      <c r="I328" t="s">
        <v>1</v>
      </c>
      <c r="J328" t="s">
        <v>275</v>
      </c>
      <c r="K328" t="s">
        <v>275</v>
      </c>
      <c r="L328" t="s">
        <v>275</v>
      </c>
      <c r="M328" t="s">
        <v>1</v>
      </c>
      <c r="N328" t="s">
        <v>1</v>
      </c>
      <c r="O328" t="s">
        <v>1</v>
      </c>
      <c r="P328" t="s">
        <v>275</v>
      </c>
      <c r="Q328" t="s">
        <v>275</v>
      </c>
      <c r="R328" t="s">
        <v>275</v>
      </c>
      <c r="S328" t="s">
        <v>275</v>
      </c>
      <c r="T328" t="s">
        <v>275</v>
      </c>
      <c r="U328" t="s">
        <v>275</v>
      </c>
      <c r="V328" t="s">
        <v>275</v>
      </c>
      <c r="W328" t="s">
        <v>10</v>
      </c>
      <c r="X328" t="s">
        <v>275</v>
      </c>
      <c r="Y328" t="s">
        <v>275</v>
      </c>
      <c r="Z328" t="s">
        <v>275</v>
      </c>
      <c r="AA328" t="s">
        <v>275</v>
      </c>
      <c r="AB328" t="s">
        <v>275</v>
      </c>
      <c r="AC328" t="s">
        <v>275</v>
      </c>
      <c r="AD328" t="s">
        <v>275</v>
      </c>
    </row>
    <row r="329" spans="1:30">
      <c r="A329">
        <v>327</v>
      </c>
      <c r="B329" t="s">
        <v>783</v>
      </c>
      <c r="C329" t="s">
        <v>784</v>
      </c>
      <c r="D329" t="str">
        <f>IF(VLOOKUP(C329,'Capabilities Overview'!$A$2:$A$587,1)=C329,"","Not in UCL")</f>
        <v/>
      </c>
      <c r="E329" t="s">
        <v>1</v>
      </c>
      <c r="F329" t="s">
        <v>1</v>
      </c>
      <c r="G329" t="s">
        <v>275</v>
      </c>
      <c r="H329" t="s">
        <v>275</v>
      </c>
      <c r="I329" t="s">
        <v>1</v>
      </c>
      <c r="J329" t="s">
        <v>275</v>
      </c>
      <c r="K329" t="s">
        <v>275</v>
      </c>
      <c r="L329" t="s">
        <v>275</v>
      </c>
      <c r="M329" t="s">
        <v>1</v>
      </c>
      <c r="N329" t="s">
        <v>1</v>
      </c>
      <c r="O329" t="s">
        <v>1</v>
      </c>
      <c r="P329" t="s">
        <v>275</v>
      </c>
      <c r="Q329" t="s">
        <v>275</v>
      </c>
      <c r="R329" t="s">
        <v>275</v>
      </c>
      <c r="S329" t="s">
        <v>275</v>
      </c>
      <c r="T329" t="s">
        <v>275</v>
      </c>
      <c r="U329" t="s">
        <v>275</v>
      </c>
      <c r="V329" t="s">
        <v>275</v>
      </c>
      <c r="W329" t="s">
        <v>10</v>
      </c>
      <c r="X329" t="s">
        <v>275</v>
      </c>
      <c r="Y329" t="s">
        <v>275</v>
      </c>
      <c r="Z329" t="s">
        <v>275</v>
      </c>
      <c r="AA329" t="s">
        <v>275</v>
      </c>
      <c r="AB329" t="s">
        <v>275</v>
      </c>
      <c r="AC329" t="s">
        <v>275</v>
      </c>
      <c r="AD329" t="s">
        <v>275</v>
      </c>
    </row>
    <row r="330" spans="1:30">
      <c r="A330">
        <v>328</v>
      </c>
      <c r="B330" t="s">
        <v>785</v>
      </c>
      <c r="C330" t="s">
        <v>786</v>
      </c>
      <c r="D330" t="str">
        <f>IF(VLOOKUP(C330,'Capabilities Overview'!$A$2:$A$587,1)=C330,"","Not in UCL")</f>
        <v/>
      </c>
      <c r="E330" t="s">
        <v>1</v>
      </c>
      <c r="F330" t="s">
        <v>275</v>
      </c>
      <c r="G330" t="s">
        <v>275</v>
      </c>
      <c r="H330" t="s">
        <v>275</v>
      </c>
      <c r="I330" t="s">
        <v>1</v>
      </c>
      <c r="J330" t="s">
        <v>275</v>
      </c>
      <c r="K330" t="s">
        <v>275</v>
      </c>
      <c r="L330" t="s">
        <v>275</v>
      </c>
      <c r="M330" t="s">
        <v>1</v>
      </c>
      <c r="N330" t="s">
        <v>1</v>
      </c>
      <c r="O330" t="s">
        <v>1</v>
      </c>
      <c r="P330" t="s">
        <v>275</v>
      </c>
      <c r="Q330" t="s">
        <v>275</v>
      </c>
      <c r="R330" t="s">
        <v>275</v>
      </c>
      <c r="S330" t="s">
        <v>275</v>
      </c>
      <c r="T330" t="s">
        <v>275</v>
      </c>
      <c r="U330" t="s">
        <v>275</v>
      </c>
      <c r="V330" t="s">
        <v>275</v>
      </c>
      <c r="W330" t="s">
        <v>10</v>
      </c>
      <c r="X330" t="s">
        <v>275</v>
      </c>
      <c r="Y330" t="s">
        <v>275</v>
      </c>
      <c r="Z330" t="s">
        <v>275</v>
      </c>
      <c r="AA330" t="s">
        <v>275</v>
      </c>
      <c r="AB330" t="s">
        <v>275</v>
      </c>
      <c r="AC330" t="s">
        <v>275</v>
      </c>
      <c r="AD330" t="s">
        <v>275</v>
      </c>
    </row>
    <row r="331" spans="1:30">
      <c r="A331">
        <v>329</v>
      </c>
      <c r="B331" t="s">
        <v>787</v>
      </c>
      <c r="C331" t="s">
        <v>788</v>
      </c>
      <c r="D331" t="str">
        <f>IF(VLOOKUP(C331,'Capabilities Overview'!$A$2:$A$587,1)=C331,"","Not in UCL")</f>
        <v/>
      </c>
      <c r="E331" t="s">
        <v>1</v>
      </c>
      <c r="F331" t="s">
        <v>275</v>
      </c>
      <c r="G331" t="s">
        <v>1</v>
      </c>
      <c r="H331" t="s">
        <v>275</v>
      </c>
      <c r="I331" t="s">
        <v>275</v>
      </c>
      <c r="J331" t="s">
        <v>275</v>
      </c>
      <c r="K331" t="s">
        <v>275</v>
      </c>
      <c r="L331" t="s">
        <v>275</v>
      </c>
      <c r="M331" t="s">
        <v>1</v>
      </c>
      <c r="N331" t="s">
        <v>1</v>
      </c>
      <c r="O331" t="s">
        <v>1</v>
      </c>
      <c r="P331" t="s">
        <v>275</v>
      </c>
      <c r="Q331" t="s">
        <v>1</v>
      </c>
      <c r="R331" t="s">
        <v>1</v>
      </c>
      <c r="S331" t="s">
        <v>275</v>
      </c>
      <c r="T331" t="s">
        <v>275</v>
      </c>
      <c r="U331" t="s">
        <v>275</v>
      </c>
      <c r="V331" t="s">
        <v>275</v>
      </c>
      <c r="W331" t="s">
        <v>10</v>
      </c>
      <c r="X331" t="s">
        <v>275</v>
      </c>
      <c r="Y331" t="s">
        <v>275</v>
      </c>
      <c r="Z331" t="s">
        <v>275</v>
      </c>
      <c r="AA331" t="s">
        <v>275</v>
      </c>
      <c r="AB331" t="s">
        <v>275</v>
      </c>
      <c r="AC331" t="s">
        <v>275</v>
      </c>
      <c r="AD331" t="s">
        <v>275</v>
      </c>
    </row>
    <row r="332" spans="1:30">
      <c r="A332">
        <v>330</v>
      </c>
      <c r="B332" t="s">
        <v>789</v>
      </c>
      <c r="C332" t="s">
        <v>790</v>
      </c>
      <c r="D332" t="str">
        <f>IF(VLOOKUP(C332,'Capabilities Overview'!$A$2:$A$587,1)=C332,"","Not in UCL")</f>
        <v/>
      </c>
      <c r="E332" t="s">
        <v>1</v>
      </c>
      <c r="F332" t="s">
        <v>1</v>
      </c>
      <c r="G332" t="s">
        <v>275</v>
      </c>
      <c r="H332" t="s">
        <v>275</v>
      </c>
      <c r="I332" t="s">
        <v>1</v>
      </c>
      <c r="J332" t="s">
        <v>275</v>
      </c>
      <c r="K332" t="s">
        <v>275</v>
      </c>
      <c r="L332" t="s">
        <v>275</v>
      </c>
      <c r="M332" t="s">
        <v>1</v>
      </c>
      <c r="N332" t="s">
        <v>1</v>
      </c>
      <c r="O332" t="s">
        <v>1</v>
      </c>
      <c r="P332" t="s">
        <v>275</v>
      </c>
      <c r="Q332" t="s">
        <v>275</v>
      </c>
      <c r="R332" t="s">
        <v>275</v>
      </c>
      <c r="S332" t="s">
        <v>275</v>
      </c>
      <c r="T332" t="s">
        <v>275</v>
      </c>
      <c r="U332" t="s">
        <v>275</v>
      </c>
      <c r="V332" t="s">
        <v>275</v>
      </c>
      <c r="W332" t="s">
        <v>10</v>
      </c>
      <c r="X332" t="s">
        <v>275</v>
      </c>
      <c r="Y332" t="s">
        <v>275</v>
      </c>
      <c r="Z332" t="s">
        <v>275</v>
      </c>
      <c r="AA332" t="s">
        <v>275</v>
      </c>
      <c r="AB332" t="s">
        <v>275</v>
      </c>
      <c r="AC332" t="s">
        <v>275</v>
      </c>
      <c r="AD332" t="s">
        <v>275</v>
      </c>
    </row>
    <row r="333" spans="1:30">
      <c r="A333">
        <v>331</v>
      </c>
      <c r="B333" t="s">
        <v>791</v>
      </c>
      <c r="C333" t="s">
        <v>792</v>
      </c>
      <c r="D333" t="str">
        <f>IF(VLOOKUP(C333,'Capabilities Overview'!$A$2:$A$587,1)=C333,"","Not in UCL")</f>
        <v/>
      </c>
      <c r="E333" t="s">
        <v>1</v>
      </c>
      <c r="F333" t="s">
        <v>1</v>
      </c>
      <c r="G333" t="s">
        <v>275</v>
      </c>
      <c r="H333" t="s">
        <v>275</v>
      </c>
      <c r="I333" t="s">
        <v>1</v>
      </c>
      <c r="J333" t="s">
        <v>275</v>
      </c>
      <c r="K333" t="s">
        <v>275</v>
      </c>
      <c r="L333" t="s">
        <v>275</v>
      </c>
      <c r="M333" t="s">
        <v>1</v>
      </c>
      <c r="N333" t="s">
        <v>1</v>
      </c>
      <c r="O333" t="s">
        <v>1</v>
      </c>
      <c r="P333" t="s">
        <v>275</v>
      </c>
      <c r="Q333" t="s">
        <v>275</v>
      </c>
      <c r="R333" t="s">
        <v>275</v>
      </c>
      <c r="S333" t="s">
        <v>275</v>
      </c>
      <c r="T333" t="s">
        <v>275</v>
      </c>
      <c r="U333" t="s">
        <v>275</v>
      </c>
      <c r="V333" t="s">
        <v>275</v>
      </c>
      <c r="W333" t="s">
        <v>10</v>
      </c>
      <c r="X333" t="s">
        <v>275</v>
      </c>
      <c r="Y333" t="s">
        <v>275</v>
      </c>
      <c r="Z333" t="s">
        <v>275</v>
      </c>
      <c r="AA333" t="s">
        <v>275</v>
      </c>
      <c r="AB333" t="s">
        <v>275</v>
      </c>
      <c r="AC333" t="s">
        <v>275</v>
      </c>
      <c r="AD333" t="s">
        <v>275</v>
      </c>
    </row>
    <row r="334" spans="1:30">
      <c r="A334">
        <v>332</v>
      </c>
      <c r="B334" t="s">
        <v>793</v>
      </c>
      <c r="C334" t="s">
        <v>794</v>
      </c>
      <c r="D334" t="str">
        <f>IF(VLOOKUP(C334,'Capabilities Overview'!$A$2:$A$587,1)=C334,"","Not in UCL")</f>
        <v/>
      </c>
      <c r="E334" t="s">
        <v>1</v>
      </c>
      <c r="F334" t="s">
        <v>275</v>
      </c>
      <c r="G334" t="s">
        <v>275</v>
      </c>
      <c r="H334" t="s">
        <v>275</v>
      </c>
      <c r="I334" t="s">
        <v>1</v>
      </c>
      <c r="J334" t="s">
        <v>275</v>
      </c>
      <c r="K334" t="s">
        <v>275</v>
      </c>
      <c r="L334" t="s">
        <v>275</v>
      </c>
      <c r="M334" t="s">
        <v>275</v>
      </c>
      <c r="N334" t="s">
        <v>275</v>
      </c>
      <c r="O334" t="s">
        <v>1</v>
      </c>
      <c r="P334" t="s">
        <v>275</v>
      </c>
      <c r="Q334" t="s">
        <v>275</v>
      </c>
      <c r="R334" t="s">
        <v>275</v>
      </c>
      <c r="S334" t="s">
        <v>275</v>
      </c>
      <c r="T334" t="s">
        <v>275</v>
      </c>
      <c r="U334" t="s">
        <v>275</v>
      </c>
      <c r="V334" t="s">
        <v>275</v>
      </c>
      <c r="W334" t="s">
        <v>10</v>
      </c>
      <c r="X334" t="s">
        <v>275</v>
      </c>
      <c r="Y334" t="s">
        <v>275</v>
      </c>
      <c r="Z334" t="s">
        <v>275</v>
      </c>
      <c r="AA334" t="s">
        <v>275</v>
      </c>
      <c r="AB334" t="s">
        <v>275</v>
      </c>
      <c r="AC334" t="s">
        <v>275</v>
      </c>
      <c r="AD334" t="s">
        <v>275</v>
      </c>
    </row>
    <row r="335" spans="1:30">
      <c r="A335">
        <v>333</v>
      </c>
      <c r="B335" t="s">
        <v>795</v>
      </c>
      <c r="C335" t="s">
        <v>796</v>
      </c>
      <c r="D335" t="str">
        <f>IF(VLOOKUP(C335,'Capabilities Overview'!$A$2:$A$587,1)=C335,"","Not in UCL")</f>
        <v/>
      </c>
      <c r="E335" t="s">
        <v>1</v>
      </c>
      <c r="F335" t="s">
        <v>1</v>
      </c>
      <c r="G335" t="s">
        <v>275</v>
      </c>
      <c r="H335" t="s">
        <v>275</v>
      </c>
      <c r="I335" t="s">
        <v>1</v>
      </c>
      <c r="J335" t="s">
        <v>275</v>
      </c>
      <c r="K335" t="s">
        <v>275</v>
      </c>
      <c r="L335" t="s">
        <v>275</v>
      </c>
      <c r="M335" t="s">
        <v>1</v>
      </c>
      <c r="N335" t="s">
        <v>1</v>
      </c>
      <c r="O335" t="s">
        <v>1</v>
      </c>
      <c r="P335" t="s">
        <v>275</v>
      </c>
      <c r="Q335" t="s">
        <v>275</v>
      </c>
      <c r="R335" t="s">
        <v>275</v>
      </c>
      <c r="S335" t="s">
        <v>275</v>
      </c>
      <c r="T335" t="s">
        <v>275</v>
      </c>
      <c r="U335" t="s">
        <v>275</v>
      </c>
      <c r="V335" t="s">
        <v>275</v>
      </c>
      <c r="W335" t="s">
        <v>10</v>
      </c>
      <c r="X335" t="s">
        <v>275</v>
      </c>
      <c r="Y335" t="s">
        <v>275</v>
      </c>
      <c r="Z335" t="s">
        <v>275</v>
      </c>
      <c r="AA335" t="s">
        <v>275</v>
      </c>
      <c r="AB335" t="s">
        <v>275</v>
      </c>
      <c r="AC335" t="s">
        <v>275</v>
      </c>
      <c r="AD335" t="s">
        <v>275</v>
      </c>
    </row>
    <row r="336" spans="1:30">
      <c r="A336">
        <v>334</v>
      </c>
      <c r="B336" t="s">
        <v>797</v>
      </c>
      <c r="C336" t="s">
        <v>798</v>
      </c>
      <c r="D336" t="str">
        <f>IF(VLOOKUP(C336,'Capabilities Overview'!$A$2:$A$587,1)=C336,"","Not in UCL")</f>
        <v/>
      </c>
      <c r="E336" t="s">
        <v>1</v>
      </c>
      <c r="F336" t="s">
        <v>275</v>
      </c>
      <c r="G336" t="s">
        <v>275</v>
      </c>
      <c r="H336" t="s">
        <v>275</v>
      </c>
      <c r="I336" t="s">
        <v>1</v>
      </c>
      <c r="J336" t="s">
        <v>275</v>
      </c>
      <c r="K336" t="s">
        <v>275</v>
      </c>
      <c r="L336" t="s">
        <v>275</v>
      </c>
      <c r="M336" t="s">
        <v>275</v>
      </c>
      <c r="N336" t="s">
        <v>275</v>
      </c>
      <c r="O336" t="s">
        <v>1</v>
      </c>
      <c r="P336" t="s">
        <v>275</v>
      </c>
      <c r="Q336" t="s">
        <v>275</v>
      </c>
      <c r="R336" t="s">
        <v>275</v>
      </c>
      <c r="S336" t="s">
        <v>275</v>
      </c>
      <c r="T336" t="s">
        <v>275</v>
      </c>
      <c r="U336" t="s">
        <v>275</v>
      </c>
      <c r="V336" t="s">
        <v>275</v>
      </c>
      <c r="W336" t="s">
        <v>10</v>
      </c>
      <c r="X336" t="s">
        <v>275</v>
      </c>
      <c r="Y336" t="s">
        <v>275</v>
      </c>
      <c r="Z336" t="s">
        <v>275</v>
      </c>
      <c r="AA336" t="s">
        <v>275</v>
      </c>
      <c r="AB336" t="s">
        <v>275</v>
      </c>
      <c r="AC336" t="s">
        <v>275</v>
      </c>
      <c r="AD336" t="s">
        <v>275</v>
      </c>
    </row>
    <row r="337" spans="1:30">
      <c r="A337">
        <v>335</v>
      </c>
      <c r="B337" t="s">
        <v>799</v>
      </c>
      <c r="C337" t="s">
        <v>800</v>
      </c>
      <c r="D337" t="str">
        <f>IF(VLOOKUP(C337,'Capabilities Overview'!$A$2:$A$587,1)=C337,"","Not in UCL")</f>
        <v/>
      </c>
      <c r="E337" t="s">
        <v>1</v>
      </c>
      <c r="F337" t="s">
        <v>1</v>
      </c>
      <c r="G337" t="s">
        <v>275</v>
      </c>
      <c r="H337" t="s">
        <v>275</v>
      </c>
      <c r="I337" t="s">
        <v>1</v>
      </c>
      <c r="J337" t="s">
        <v>275</v>
      </c>
      <c r="K337" t="s">
        <v>275</v>
      </c>
      <c r="L337" t="s">
        <v>275</v>
      </c>
      <c r="M337" t="s">
        <v>1</v>
      </c>
      <c r="N337" t="s">
        <v>1</v>
      </c>
      <c r="O337" t="s">
        <v>1</v>
      </c>
      <c r="P337" t="s">
        <v>275</v>
      </c>
      <c r="Q337" t="s">
        <v>275</v>
      </c>
      <c r="R337" t="s">
        <v>275</v>
      </c>
      <c r="S337" t="s">
        <v>275</v>
      </c>
      <c r="T337" t="s">
        <v>275</v>
      </c>
      <c r="U337" t="s">
        <v>275</v>
      </c>
      <c r="V337" t="s">
        <v>275</v>
      </c>
      <c r="W337" t="s">
        <v>275</v>
      </c>
      <c r="X337" t="s">
        <v>275</v>
      </c>
      <c r="Y337" t="s">
        <v>275</v>
      </c>
      <c r="Z337" t="s">
        <v>275</v>
      </c>
      <c r="AA337" t="s">
        <v>275</v>
      </c>
      <c r="AB337" t="s">
        <v>275</v>
      </c>
      <c r="AC337" t="s">
        <v>275</v>
      </c>
      <c r="AD337" t="s">
        <v>275</v>
      </c>
    </row>
    <row r="338" spans="1:30">
      <c r="A338">
        <v>336</v>
      </c>
      <c r="B338" t="s">
        <v>801</v>
      </c>
      <c r="C338" t="s">
        <v>802</v>
      </c>
      <c r="D338" t="str">
        <f>IF(VLOOKUP(C338,'Capabilities Overview'!$A$2:$A$587,1)=C338,"","Not in UCL")</f>
        <v/>
      </c>
      <c r="E338" t="s">
        <v>1</v>
      </c>
      <c r="F338" t="s">
        <v>275</v>
      </c>
      <c r="G338" t="s">
        <v>275</v>
      </c>
      <c r="H338" t="s">
        <v>275</v>
      </c>
      <c r="I338" t="s">
        <v>1</v>
      </c>
      <c r="J338" t="s">
        <v>275</v>
      </c>
      <c r="K338" t="s">
        <v>275</v>
      </c>
      <c r="L338" t="s">
        <v>275</v>
      </c>
      <c r="M338" t="s">
        <v>275</v>
      </c>
      <c r="N338" t="s">
        <v>275</v>
      </c>
      <c r="O338" t="s">
        <v>1</v>
      </c>
      <c r="P338" t="s">
        <v>275</v>
      </c>
      <c r="Q338" t="s">
        <v>275</v>
      </c>
      <c r="R338" t="s">
        <v>275</v>
      </c>
      <c r="S338" t="s">
        <v>275</v>
      </c>
      <c r="T338" t="s">
        <v>275</v>
      </c>
      <c r="U338" t="s">
        <v>275</v>
      </c>
      <c r="V338" t="s">
        <v>275</v>
      </c>
      <c r="W338" t="s">
        <v>275</v>
      </c>
      <c r="X338" t="s">
        <v>275</v>
      </c>
      <c r="Y338" t="s">
        <v>275</v>
      </c>
      <c r="Z338" t="s">
        <v>275</v>
      </c>
      <c r="AA338" t="s">
        <v>275</v>
      </c>
      <c r="AB338" t="s">
        <v>275</v>
      </c>
      <c r="AC338" t="s">
        <v>275</v>
      </c>
      <c r="AD338" t="s">
        <v>275</v>
      </c>
    </row>
    <row r="339" spans="1:30">
      <c r="A339">
        <v>337</v>
      </c>
      <c r="B339" t="s">
        <v>140</v>
      </c>
      <c r="C339" t="s">
        <v>141</v>
      </c>
      <c r="D339" t="str">
        <f>IF(VLOOKUP(C339,'Capabilities Overview'!$A$2:$A$587,1)=C339,"","Not in UCL")</f>
        <v/>
      </c>
      <c r="E339" t="s">
        <v>1</v>
      </c>
      <c r="F339" t="s">
        <v>1</v>
      </c>
      <c r="G339" t="s">
        <v>275</v>
      </c>
      <c r="H339" t="s">
        <v>275</v>
      </c>
      <c r="I339" t="s">
        <v>275</v>
      </c>
      <c r="J339" t="s">
        <v>275</v>
      </c>
      <c r="K339" t="s">
        <v>275</v>
      </c>
      <c r="L339" t="s">
        <v>275</v>
      </c>
      <c r="M339" t="s">
        <v>1</v>
      </c>
      <c r="N339" t="s">
        <v>1</v>
      </c>
      <c r="O339" t="s">
        <v>1</v>
      </c>
      <c r="P339" t="s">
        <v>275</v>
      </c>
      <c r="Q339" t="s">
        <v>1</v>
      </c>
      <c r="R339" t="s">
        <v>1</v>
      </c>
      <c r="S339" t="s">
        <v>275</v>
      </c>
      <c r="T339" t="s">
        <v>1</v>
      </c>
      <c r="U339" t="s">
        <v>275</v>
      </c>
      <c r="V339" t="s">
        <v>275</v>
      </c>
      <c r="W339" t="s">
        <v>10</v>
      </c>
      <c r="X339" t="s">
        <v>275</v>
      </c>
      <c r="Y339" t="s">
        <v>275</v>
      </c>
      <c r="Z339" t="s">
        <v>275</v>
      </c>
      <c r="AA339" t="s">
        <v>275</v>
      </c>
      <c r="AB339" t="s">
        <v>275</v>
      </c>
      <c r="AC339" t="s">
        <v>275</v>
      </c>
      <c r="AD339" t="s">
        <v>1</v>
      </c>
    </row>
    <row r="340" spans="1:30">
      <c r="A340">
        <v>338</v>
      </c>
      <c r="B340" t="s">
        <v>142</v>
      </c>
      <c r="C340" t="s">
        <v>143</v>
      </c>
      <c r="D340" t="str">
        <f>IF(VLOOKUP(C340,'Capabilities Overview'!$A$2:$A$587,1)=C340,"","Not in UCL")</f>
        <v/>
      </c>
      <c r="E340" t="s">
        <v>1</v>
      </c>
      <c r="F340" t="s">
        <v>1</v>
      </c>
      <c r="G340" t="s">
        <v>275</v>
      </c>
      <c r="H340" t="s">
        <v>275</v>
      </c>
      <c r="I340" t="s">
        <v>275</v>
      </c>
      <c r="J340" t="s">
        <v>275</v>
      </c>
      <c r="K340" t="s">
        <v>275</v>
      </c>
      <c r="L340" t="s">
        <v>275</v>
      </c>
      <c r="M340" t="s">
        <v>275</v>
      </c>
      <c r="N340" t="s">
        <v>275</v>
      </c>
      <c r="O340" t="s">
        <v>1</v>
      </c>
      <c r="P340" t="s">
        <v>275</v>
      </c>
      <c r="Q340" t="s">
        <v>1</v>
      </c>
      <c r="R340" t="s">
        <v>1</v>
      </c>
      <c r="S340" t="s">
        <v>275</v>
      </c>
      <c r="T340" t="s">
        <v>1</v>
      </c>
      <c r="U340" t="s">
        <v>275</v>
      </c>
      <c r="V340" t="s">
        <v>275</v>
      </c>
      <c r="W340" t="s">
        <v>275</v>
      </c>
      <c r="X340" t="s">
        <v>275</v>
      </c>
      <c r="Y340" t="s">
        <v>275</v>
      </c>
      <c r="Z340" t="s">
        <v>275</v>
      </c>
      <c r="AA340" t="s">
        <v>275</v>
      </c>
      <c r="AB340" t="s">
        <v>275</v>
      </c>
      <c r="AC340" t="s">
        <v>275</v>
      </c>
      <c r="AD340" t="s">
        <v>1</v>
      </c>
    </row>
    <row r="341" spans="1:30">
      <c r="A341">
        <v>339</v>
      </c>
      <c r="B341" t="s">
        <v>144</v>
      </c>
      <c r="C341" t="s">
        <v>145</v>
      </c>
      <c r="D341" t="str">
        <f>IF(VLOOKUP(C341,'Capabilities Overview'!$A$2:$A$587,1)=C341,"","Not in UCL")</f>
        <v/>
      </c>
      <c r="E341" t="s">
        <v>1</v>
      </c>
      <c r="F341" t="s">
        <v>1</v>
      </c>
      <c r="G341" t="s">
        <v>275</v>
      </c>
      <c r="H341" t="s">
        <v>275</v>
      </c>
      <c r="I341" t="s">
        <v>275</v>
      </c>
      <c r="J341" t="s">
        <v>275</v>
      </c>
      <c r="K341" t="s">
        <v>275</v>
      </c>
      <c r="L341" t="s">
        <v>275</v>
      </c>
      <c r="M341" t="s">
        <v>1</v>
      </c>
      <c r="N341" t="s">
        <v>1</v>
      </c>
      <c r="O341" t="s">
        <v>1</v>
      </c>
      <c r="P341" t="s">
        <v>275</v>
      </c>
      <c r="Q341" t="s">
        <v>1</v>
      </c>
      <c r="R341" t="s">
        <v>1</v>
      </c>
      <c r="S341" t="s">
        <v>275</v>
      </c>
      <c r="T341" t="s">
        <v>1</v>
      </c>
      <c r="U341" t="s">
        <v>275</v>
      </c>
      <c r="V341" t="s">
        <v>275</v>
      </c>
      <c r="W341" t="s">
        <v>275</v>
      </c>
      <c r="X341" t="s">
        <v>275</v>
      </c>
      <c r="Y341" t="s">
        <v>275</v>
      </c>
      <c r="Z341" t="s">
        <v>275</v>
      </c>
      <c r="AA341" t="s">
        <v>275</v>
      </c>
      <c r="AB341" t="s">
        <v>275</v>
      </c>
      <c r="AC341" t="s">
        <v>275</v>
      </c>
      <c r="AD341" t="s">
        <v>1</v>
      </c>
    </row>
    <row r="342" spans="1:30">
      <c r="A342">
        <v>340</v>
      </c>
      <c r="B342" t="s">
        <v>146</v>
      </c>
      <c r="C342" t="s">
        <v>147</v>
      </c>
      <c r="D342" t="str">
        <f>IF(VLOOKUP(C342,'Capabilities Overview'!$A$2:$A$587,1)=C342,"","Not in UCL")</f>
        <v/>
      </c>
      <c r="E342" t="s">
        <v>1</v>
      </c>
      <c r="F342" t="s">
        <v>1</v>
      </c>
      <c r="G342" t="s">
        <v>275</v>
      </c>
      <c r="H342" t="s">
        <v>275</v>
      </c>
      <c r="I342" t="s">
        <v>275</v>
      </c>
      <c r="J342" t="s">
        <v>275</v>
      </c>
      <c r="K342" t="s">
        <v>275</v>
      </c>
      <c r="L342" t="s">
        <v>275</v>
      </c>
      <c r="M342" t="s">
        <v>1</v>
      </c>
      <c r="N342" t="s">
        <v>1</v>
      </c>
      <c r="O342" t="s">
        <v>1</v>
      </c>
      <c r="P342" t="s">
        <v>275</v>
      </c>
      <c r="Q342" t="s">
        <v>1</v>
      </c>
      <c r="R342" t="s">
        <v>1</v>
      </c>
      <c r="S342" t="s">
        <v>275</v>
      </c>
      <c r="T342" t="s">
        <v>1</v>
      </c>
      <c r="U342" t="s">
        <v>275</v>
      </c>
      <c r="V342" t="s">
        <v>275</v>
      </c>
      <c r="W342" t="s">
        <v>275</v>
      </c>
      <c r="X342" t="s">
        <v>275</v>
      </c>
      <c r="Y342" t="s">
        <v>275</v>
      </c>
      <c r="Z342" t="s">
        <v>275</v>
      </c>
      <c r="AA342" t="s">
        <v>275</v>
      </c>
      <c r="AB342" t="s">
        <v>275</v>
      </c>
      <c r="AC342" t="s">
        <v>275</v>
      </c>
      <c r="AD342" t="s">
        <v>1</v>
      </c>
    </row>
    <row r="343" spans="1:30">
      <c r="A343">
        <v>341</v>
      </c>
      <c r="B343" t="s">
        <v>803</v>
      </c>
      <c r="C343" t="s">
        <v>804</v>
      </c>
      <c r="D343" t="str">
        <f>IF(VLOOKUP(C343,'Capabilities Overview'!$A$2:$A$587,1)=C343,"","Not in UCL")</f>
        <v/>
      </c>
      <c r="E343" t="s">
        <v>1</v>
      </c>
      <c r="F343" t="s">
        <v>275</v>
      </c>
      <c r="G343" t="s">
        <v>275</v>
      </c>
      <c r="H343" t="s">
        <v>275</v>
      </c>
      <c r="I343" t="s">
        <v>275</v>
      </c>
      <c r="J343" t="s">
        <v>275</v>
      </c>
      <c r="K343" t="s">
        <v>275</v>
      </c>
      <c r="L343" t="s">
        <v>275</v>
      </c>
      <c r="M343" t="s">
        <v>275</v>
      </c>
      <c r="N343" t="s">
        <v>275</v>
      </c>
      <c r="O343" t="s">
        <v>1</v>
      </c>
      <c r="P343" t="s">
        <v>275</v>
      </c>
      <c r="Q343" t="s">
        <v>275</v>
      </c>
      <c r="R343" t="s">
        <v>275</v>
      </c>
      <c r="S343" t="s">
        <v>275</v>
      </c>
      <c r="T343" t="s">
        <v>275</v>
      </c>
      <c r="U343" t="s">
        <v>275</v>
      </c>
      <c r="V343" t="s">
        <v>275</v>
      </c>
      <c r="W343" t="s">
        <v>10</v>
      </c>
      <c r="X343" t="s">
        <v>275</v>
      </c>
      <c r="Y343" t="s">
        <v>275</v>
      </c>
      <c r="Z343" t="s">
        <v>275</v>
      </c>
      <c r="AA343" t="s">
        <v>275</v>
      </c>
      <c r="AB343" t="s">
        <v>275</v>
      </c>
      <c r="AC343" t="s">
        <v>275</v>
      </c>
      <c r="AD343" t="s">
        <v>275</v>
      </c>
    </row>
    <row r="344" spans="1:30">
      <c r="A344">
        <v>342</v>
      </c>
      <c r="B344" t="s">
        <v>805</v>
      </c>
      <c r="C344" t="s">
        <v>806</v>
      </c>
      <c r="D344" t="str">
        <f>IF(VLOOKUP(C344,'Capabilities Overview'!$A$2:$A$587,1)=C344,"","Not in UCL")</f>
        <v/>
      </c>
      <c r="E344" t="s">
        <v>1</v>
      </c>
      <c r="F344" t="s">
        <v>275</v>
      </c>
      <c r="G344" t="s">
        <v>275</v>
      </c>
      <c r="H344" t="s">
        <v>275</v>
      </c>
      <c r="I344" t="s">
        <v>275</v>
      </c>
      <c r="J344" t="s">
        <v>275</v>
      </c>
      <c r="K344" t="s">
        <v>275</v>
      </c>
      <c r="L344" t="s">
        <v>275</v>
      </c>
      <c r="M344" t="s">
        <v>275</v>
      </c>
      <c r="N344" t="s">
        <v>275</v>
      </c>
      <c r="O344" t="s">
        <v>1</v>
      </c>
      <c r="P344" t="s">
        <v>275</v>
      </c>
      <c r="Q344" t="s">
        <v>275</v>
      </c>
      <c r="R344" t="s">
        <v>275</v>
      </c>
      <c r="S344" t="s">
        <v>275</v>
      </c>
      <c r="T344" t="s">
        <v>275</v>
      </c>
      <c r="U344" t="s">
        <v>275</v>
      </c>
      <c r="V344" t="s">
        <v>275</v>
      </c>
      <c r="W344" t="s">
        <v>10</v>
      </c>
      <c r="X344" t="s">
        <v>275</v>
      </c>
      <c r="Y344" t="s">
        <v>275</v>
      </c>
      <c r="Z344" t="s">
        <v>275</v>
      </c>
      <c r="AA344" t="s">
        <v>275</v>
      </c>
      <c r="AB344" t="s">
        <v>275</v>
      </c>
      <c r="AC344" t="s">
        <v>275</v>
      </c>
      <c r="AD344" t="s">
        <v>275</v>
      </c>
    </row>
    <row r="345" spans="1:30">
      <c r="A345">
        <v>343</v>
      </c>
      <c r="B345" t="s">
        <v>807</v>
      </c>
      <c r="C345" t="s">
        <v>808</v>
      </c>
      <c r="D345" t="str">
        <f>IF(VLOOKUP(C345,'Capabilities Overview'!$A$2:$A$587,1)=C345,"","Not in UCL")</f>
        <v/>
      </c>
      <c r="E345" t="s">
        <v>1</v>
      </c>
      <c r="F345" t="s">
        <v>275</v>
      </c>
      <c r="G345" t="s">
        <v>275</v>
      </c>
      <c r="H345" t="s">
        <v>275</v>
      </c>
      <c r="I345" t="s">
        <v>275</v>
      </c>
      <c r="J345" t="s">
        <v>275</v>
      </c>
      <c r="K345" t="s">
        <v>275</v>
      </c>
      <c r="L345" t="s">
        <v>275</v>
      </c>
      <c r="M345" t="s">
        <v>275</v>
      </c>
      <c r="N345" t="s">
        <v>275</v>
      </c>
      <c r="O345" t="s">
        <v>1</v>
      </c>
      <c r="P345" t="s">
        <v>275</v>
      </c>
      <c r="Q345" t="s">
        <v>275</v>
      </c>
      <c r="R345" t="s">
        <v>275</v>
      </c>
      <c r="S345" t="s">
        <v>275</v>
      </c>
      <c r="T345" t="s">
        <v>275</v>
      </c>
      <c r="U345" t="s">
        <v>275</v>
      </c>
      <c r="V345" t="s">
        <v>275</v>
      </c>
      <c r="W345" t="s">
        <v>10</v>
      </c>
      <c r="X345" t="s">
        <v>275</v>
      </c>
      <c r="Y345" t="s">
        <v>275</v>
      </c>
      <c r="Z345" t="s">
        <v>275</v>
      </c>
      <c r="AA345" t="s">
        <v>275</v>
      </c>
      <c r="AB345" t="s">
        <v>275</v>
      </c>
      <c r="AC345" t="s">
        <v>275</v>
      </c>
      <c r="AD345" t="s">
        <v>275</v>
      </c>
    </row>
    <row r="346" spans="1:30">
      <c r="A346">
        <v>344</v>
      </c>
      <c r="B346" t="s">
        <v>809</v>
      </c>
      <c r="C346" t="s">
        <v>810</v>
      </c>
      <c r="D346" t="str">
        <f>IF(VLOOKUP(C346,'Capabilities Overview'!$A$2:$A$587,1)=C346,"","Not in UCL")</f>
        <v/>
      </c>
      <c r="E346" t="s">
        <v>1</v>
      </c>
      <c r="F346" t="s">
        <v>275</v>
      </c>
      <c r="G346" t="s">
        <v>275</v>
      </c>
      <c r="H346" t="s">
        <v>275</v>
      </c>
      <c r="I346" t="s">
        <v>275</v>
      </c>
      <c r="J346" t="s">
        <v>275</v>
      </c>
      <c r="K346" t="s">
        <v>275</v>
      </c>
      <c r="L346" t="s">
        <v>275</v>
      </c>
      <c r="M346" t="s">
        <v>275</v>
      </c>
      <c r="N346" t="s">
        <v>275</v>
      </c>
      <c r="O346" t="s">
        <v>1</v>
      </c>
      <c r="P346" t="s">
        <v>275</v>
      </c>
      <c r="Q346" t="s">
        <v>275</v>
      </c>
      <c r="R346" t="s">
        <v>275</v>
      </c>
      <c r="S346" t="s">
        <v>275</v>
      </c>
      <c r="T346" t="s">
        <v>275</v>
      </c>
      <c r="U346" t="s">
        <v>275</v>
      </c>
      <c r="V346" t="s">
        <v>275</v>
      </c>
      <c r="W346" t="s">
        <v>10</v>
      </c>
      <c r="X346" t="s">
        <v>275</v>
      </c>
      <c r="Y346" t="s">
        <v>275</v>
      </c>
      <c r="Z346" t="s">
        <v>275</v>
      </c>
      <c r="AA346" t="s">
        <v>275</v>
      </c>
      <c r="AB346" t="s">
        <v>275</v>
      </c>
      <c r="AC346" t="s">
        <v>275</v>
      </c>
      <c r="AD346" t="s">
        <v>275</v>
      </c>
    </row>
    <row r="347" spans="1:30">
      <c r="A347">
        <v>345</v>
      </c>
      <c r="B347" t="s">
        <v>811</v>
      </c>
      <c r="C347" t="s">
        <v>812</v>
      </c>
      <c r="D347" t="str">
        <f>IF(VLOOKUP(C347,'Capabilities Overview'!$A$2:$A$587,1)=C347,"","Not in UCL")</f>
        <v/>
      </c>
      <c r="E347" t="s">
        <v>1</v>
      </c>
      <c r="F347" t="s">
        <v>275</v>
      </c>
      <c r="G347" t="s">
        <v>275</v>
      </c>
      <c r="H347" t="s">
        <v>275</v>
      </c>
      <c r="I347" t="s">
        <v>275</v>
      </c>
      <c r="J347" t="s">
        <v>275</v>
      </c>
      <c r="K347" t="s">
        <v>275</v>
      </c>
      <c r="L347" t="s">
        <v>275</v>
      </c>
      <c r="M347" t="s">
        <v>275</v>
      </c>
      <c r="N347" t="s">
        <v>275</v>
      </c>
      <c r="O347" t="s">
        <v>1</v>
      </c>
      <c r="P347" t="s">
        <v>275</v>
      </c>
      <c r="Q347" t="s">
        <v>275</v>
      </c>
      <c r="R347" t="s">
        <v>275</v>
      </c>
      <c r="S347" t="s">
        <v>275</v>
      </c>
      <c r="T347" t="s">
        <v>275</v>
      </c>
      <c r="U347" t="s">
        <v>275</v>
      </c>
      <c r="V347" t="s">
        <v>275</v>
      </c>
      <c r="W347" t="s">
        <v>10</v>
      </c>
      <c r="X347" t="s">
        <v>275</v>
      </c>
      <c r="Y347" t="s">
        <v>275</v>
      </c>
      <c r="Z347" t="s">
        <v>275</v>
      </c>
      <c r="AA347" t="s">
        <v>275</v>
      </c>
      <c r="AB347" t="s">
        <v>275</v>
      </c>
      <c r="AC347" t="s">
        <v>275</v>
      </c>
      <c r="AD347" t="s">
        <v>275</v>
      </c>
    </row>
    <row r="348" spans="1:30">
      <c r="A348">
        <v>346</v>
      </c>
      <c r="B348" t="s">
        <v>813</v>
      </c>
      <c r="C348" t="s">
        <v>814</v>
      </c>
      <c r="D348" t="str">
        <f>IF(VLOOKUP(C348,'Capabilities Overview'!$A$2:$A$587,1)=C348,"","Not in UCL")</f>
        <v/>
      </c>
      <c r="E348" t="s">
        <v>1</v>
      </c>
      <c r="F348" t="s">
        <v>275</v>
      </c>
      <c r="G348" t="s">
        <v>275</v>
      </c>
      <c r="H348" t="s">
        <v>275</v>
      </c>
      <c r="I348" t="s">
        <v>275</v>
      </c>
      <c r="J348" t="s">
        <v>1</v>
      </c>
      <c r="K348" t="s">
        <v>1</v>
      </c>
      <c r="L348" t="s">
        <v>275</v>
      </c>
      <c r="M348" t="s">
        <v>1</v>
      </c>
      <c r="N348" t="s">
        <v>1</v>
      </c>
      <c r="O348" t="s">
        <v>1</v>
      </c>
      <c r="P348" t="s">
        <v>275</v>
      </c>
      <c r="Q348" t="s">
        <v>275</v>
      </c>
      <c r="R348" t="s">
        <v>275</v>
      </c>
      <c r="S348" t="s">
        <v>275</v>
      </c>
      <c r="T348" t="s">
        <v>275</v>
      </c>
      <c r="U348" t="s">
        <v>275</v>
      </c>
      <c r="V348" t="s">
        <v>275</v>
      </c>
      <c r="W348" t="s">
        <v>10</v>
      </c>
      <c r="X348" t="s">
        <v>275</v>
      </c>
      <c r="Y348" t="s">
        <v>275</v>
      </c>
      <c r="Z348" t="s">
        <v>275</v>
      </c>
      <c r="AA348" t="s">
        <v>275</v>
      </c>
      <c r="AB348" t="s">
        <v>275</v>
      </c>
      <c r="AC348" t="s">
        <v>275</v>
      </c>
      <c r="AD348" t="s">
        <v>275</v>
      </c>
    </row>
    <row r="349" spans="1:30">
      <c r="A349">
        <v>347</v>
      </c>
      <c r="B349" t="s">
        <v>815</v>
      </c>
      <c r="C349" t="s">
        <v>816</v>
      </c>
      <c r="D349" t="str">
        <f>IF(VLOOKUP(C349,'Capabilities Overview'!$A$2:$A$587,1)=C349,"","Not in UCL")</f>
        <v/>
      </c>
      <c r="E349" t="s">
        <v>1</v>
      </c>
      <c r="F349" t="s">
        <v>275</v>
      </c>
      <c r="G349" t="s">
        <v>1</v>
      </c>
      <c r="H349" t="s">
        <v>275</v>
      </c>
      <c r="I349" t="s">
        <v>275</v>
      </c>
      <c r="J349" t="s">
        <v>275</v>
      </c>
      <c r="K349" t="s">
        <v>275</v>
      </c>
      <c r="L349" t="s">
        <v>275</v>
      </c>
      <c r="M349" t="s">
        <v>275</v>
      </c>
      <c r="N349" t="s">
        <v>275</v>
      </c>
      <c r="O349" t="s">
        <v>275</v>
      </c>
      <c r="P349" t="s">
        <v>275</v>
      </c>
      <c r="Q349" t="s">
        <v>275</v>
      </c>
      <c r="R349" t="s">
        <v>275</v>
      </c>
      <c r="S349" t="s">
        <v>275</v>
      </c>
      <c r="T349" t="s">
        <v>275</v>
      </c>
      <c r="U349" t="s">
        <v>275</v>
      </c>
      <c r="V349" t="s">
        <v>275</v>
      </c>
      <c r="W349" t="s">
        <v>10</v>
      </c>
      <c r="X349" t="s">
        <v>275</v>
      </c>
      <c r="Y349" t="s">
        <v>275</v>
      </c>
      <c r="Z349" t="s">
        <v>275</v>
      </c>
      <c r="AA349" t="s">
        <v>275</v>
      </c>
      <c r="AB349" t="s">
        <v>275</v>
      </c>
      <c r="AC349" t="s">
        <v>275</v>
      </c>
      <c r="AD349" t="s">
        <v>275</v>
      </c>
    </row>
    <row r="350" spans="1:30">
      <c r="A350">
        <v>348</v>
      </c>
      <c r="B350" t="s">
        <v>817</v>
      </c>
      <c r="C350" t="s">
        <v>818</v>
      </c>
      <c r="D350" t="str">
        <f>IF(VLOOKUP(C350,'Capabilities Overview'!$A$2:$A$587,1)=C350,"","Not in UCL")</f>
        <v/>
      </c>
      <c r="E350" t="s">
        <v>1</v>
      </c>
      <c r="F350" t="s">
        <v>275</v>
      </c>
      <c r="G350" t="s">
        <v>275</v>
      </c>
      <c r="H350" t="s">
        <v>275</v>
      </c>
      <c r="I350" t="s">
        <v>275</v>
      </c>
      <c r="J350" t="s">
        <v>275</v>
      </c>
      <c r="K350" t="s">
        <v>275</v>
      </c>
      <c r="L350" t="s">
        <v>275</v>
      </c>
      <c r="M350" t="s">
        <v>275</v>
      </c>
      <c r="N350" t="s">
        <v>275</v>
      </c>
      <c r="O350" t="s">
        <v>1</v>
      </c>
      <c r="P350" t="s">
        <v>275</v>
      </c>
      <c r="Q350" t="s">
        <v>275</v>
      </c>
      <c r="R350" t="s">
        <v>275</v>
      </c>
      <c r="S350" t="s">
        <v>275</v>
      </c>
      <c r="T350" t="s">
        <v>275</v>
      </c>
      <c r="U350" t="s">
        <v>275</v>
      </c>
      <c r="V350" t="s">
        <v>275</v>
      </c>
      <c r="W350" t="s">
        <v>10</v>
      </c>
      <c r="X350" t="s">
        <v>275</v>
      </c>
      <c r="Y350" t="s">
        <v>275</v>
      </c>
      <c r="Z350" t="s">
        <v>275</v>
      </c>
      <c r="AA350" t="s">
        <v>275</v>
      </c>
      <c r="AB350" t="s">
        <v>275</v>
      </c>
      <c r="AC350" t="s">
        <v>275</v>
      </c>
      <c r="AD350" t="s">
        <v>275</v>
      </c>
    </row>
    <row r="351" spans="1:30">
      <c r="A351">
        <v>349</v>
      </c>
      <c r="B351" t="s">
        <v>819</v>
      </c>
      <c r="C351" t="s">
        <v>820</v>
      </c>
      <c r="D351" t="str">
        <f>IF(VLOOKUP(C351,'Capabilities Overview'!$A$2:$A$587,1)=C351,"","Not in UCL")</f>
        <v/>
      </c>
      <c r="E351" t="s">
        <v>1</v>
      </c>
      <c r="F351" t="s">
        <v>275</v>
      </c>
      <c r="G351" t="s">
        <v>275</v>
      </c>
      <c r="H351" t="s">
        <v>275</v>
      </c>
      <c r="I351" t="s">
        <v>275</v>
      </c>
      <c r="J351" t="s">
        <v>275</v>
      </c>
      <c r="K351" t="s">
        <v>275</v>
      </c>
      <c r="L351" t="s">
        <v>275</v>
      </c>
      <c r="M351" t="s">
        <v>275</v>
      </c>
      <c r="N351" t="s">
        <v>275</v>
      </c>
      <c r="O351" t="s">
        <v>275</v>
      </c>
      <c r="P351" t="s">
        <v>275</v>
      </c>
      <c r="Q351" t="s">
        <v>275</v>
      </c>
      <c r="R351" t="s">
        <v>275</v>
      </c>
      <c r="S351" t="s">
        <v>275</v>
      </c>
      <c r="T351" t="s">
        <v>275</v>
      </c>
      <c r="U351" t="s">
        <v>275</v>
      </c>
      <c r="V351" t="s">
        <v>275</v>
      </c>
      <c r="W351" t="s">
        <v>10</v>
      </c>
      <c r="X351" t="s">
        <v>275</v>
      </c>
      <c r="Y351" t="s">
        <v>275</v>
      </c>
      <c r="Z351" t="s">
        <v>275</v>
      </c>
      <c r="AA351" t="s">
        <v>275</v>
      </c>
      <c r="AB351" t="s">
        <v>275</v>
      </c>
      <c r="AC351" t="s">
        <v>275</v>
      </c>
      <c r="AD351" t="s">
        <v>275</v>
      </c>
    </row>
    <row r="352" spans="1:30">
      <c r="A352">
        <v>350</v>
      </c>
      <c r="B352" t="s">
        <v>821</v>
      </c>
      <c r="C352" t="s">
        <v>822</v>
      </c>
      <c r="D352" t="str">
        <f>IF(VLOOKUP(C352,'Capabilities Overview'!$A$2:$A$587,1)=C352,"","Not in UCL")</f>
        <v/>
      </c>
      <c r="E352" t="s">
        <v>275</v>
      </c>
      <c r="F352" t="s">
        <v>275</v>
      </c>
      <c r="G352" t="s">
        <v>275</v>
      </c>
      <c r="H352" t="s">
        <v>275</v>
      </c>
      <c r="I352" t="s">
        <v>275</v>
      </c>
      <c r="J352" t="s">
        <v>275</v>
      </c>
      <c r="K352" t="s">
        <v>275</v>
      </c>
      <c r="L352" t="s">
        <v>275</v>
      </c>
      <c r="M352" t="s">
        <v>275</v>
      </c>
      <c r="N352" t="s">
        <v>275</v>
      </c>
      <c r="O352" t="s">
        <v>275</v>
      </c>
      <c r="P352" t="s">
        <v>275</v>
      </c>
      <c r="Q352" t="s">
        <v>275</v>
      </c>
      <c r="R352" t="s">
        <v>275</v>
      </c>
      <c r="S352" t="s">
        <v>275</v>
      </c>
      <c r="T352" t="s">
        <v>275</v>
      </c>
      <c r="U352" t="s">
        <v>275</v>
      </c>
      <c r="V352" t="s">
        <v>275</v>
      </c>
      <c r="W352" t="s">
        <v>10</v>
      </c>
      <c r="X352" t="s">
        <v>275</v>
      </c>
      <c r="Y352" t="s">
        <v>275</v>
      </c>
      <c r="Z352" t="s">
        <v>275</v>
      </c>
      <c r="AA352" t="s">
        <v>275</v>
      </c>
      <c r="AB352" t="s">
        <v>275</v>
      </c>
      <c r="AC352" t="s">
        <v>275</v>
      </c>
      <c r="AD352" t="s">
        <v>275</v>
      </c>
    </row>
    <row r="353" spans="1:30">
      <c r="A353">
        <v>351</v>
      </c>
      <c r="B353" t="s">
        <v>823</v>
      </c>
      <c r="C353" t="s">
        <v>824</v>
      </c>
      <c r="D353" t="str">
        <f>IF(VLOOKUP(C353,'Capabilities Overview'!$A$2:$A$587,1)=C353,"","Not in UCL")</f>
        <v/>
      </c>
      <c r="E353" t="s">
        <v>1</v>
      </c>
      <c r="F353" t="s">
        <v>1</v>
      </c>
      <c r="G353" t="s">
        <v>275</v>
      </c>
      <c r="H353" t="s">
        <v>275</v>
      </c>
      <c r="I353" t="s">
        <v>275</v>
      </c>
      <c r="J353" t="s">
        <v>275</v>
      </c>
      <c r="K353" t="s">
        <v>275</v>
      </c>
      <c r="L353" t="s">
        <v>275</v>
      </c>
      <c r="M353" t="s">
        <v>1</v>
      </c>
      <c r="N353" t="s">
        <v>1</v>
      </c>
      <c r="O353" t="s">
        <v>1</v>
      </c>
      <c r="P353" t="s">
        <v>275</v>
      </c>
      <c r="Q353" t="s">
        <v>275</v>
      </c>
      <c r="R353" t="s">
        <v>275</v>
      </c>
      <c r="S353" t="s">
        <v>275</v>
      </c>
      <c r="T353" t="s">
        <v>275</v>
      </c>
      <c r="U353" t="s">
        <v>275</v>
      </c>
      <c r="V353" t="s">
        <v>275</v>
      </c>
      <c r="W353" t="s">
        <v>10</v>
      </c>
      <c r="X353" t="s">
        <v>275</v>
      </c>
      <c r="Y353" t="s">
        <v>275</v>
      </c>
      <c r="Z353" t="s">
        <v>275</v>
      </c>
      <c r="AA353" t="s">
        <v>275</v>
      </c>
      <c r="AB353" t="s">
        <v>275</v>
      </c>
      <c r="AC353" t="s">
        <v>275</v>
      </c>
      <c r="AD353" t="s">
        <v>275</v>
      </c>
    </row>
    <row r="354" spans="1:30">
      <c r="A354">
        <v>352</v>
      </c>
      <c r="B354" t="s">
        <v>825</v>
      </c>
      <c r="C354" t="s">
        <v>826</v>
      </c>
      <c r="D354" t="str">
        <f>IF(VLOOKUP(C354,'Capabilities Overview'!$A$2:$A$587,1)=C354,"","Not in UCL")</f>
        <v/>
      </c>
      <c r="E354" t="s">
        <v>1</v>
      </c>
      <c r="F354" t="s">
        <v>275</v>
      </c>
      <c r="G354" t="s">
        <v>275</v>
      </c>
      <c r="H354" t="s">
        <v>275</v>
      </c>
      <c r="I354" t="s">
        <v>275</v>
      </c>
      <c r="J354" t="s">
        <v>275</v>
      </c>
      <c r="K354" t="s">
        <v>275</v>
      </c>
      <c r="L354" t="s">
        <v>275</v>
      </c>
      <c r="M354" t="s">
        <v>275</v>
      </c>
      <c r="N354" t="s">
        <v>275</v>
      </c>
      <c r="O354" t="s">
        <v>275</v>
      </c>
      <c r="P354" t="s">
        <v>275</v>
      </c>
      <c r="Q354" t="s">
        <v>275</v>
      </c>
      <c r="R354" t="s">
        <v>275</v>
      </c>
      <c r="S354" t="s">
        <v>275</v>
      </c>
      <c r="T354" t="s">
        <v>275</v>
      </c>
      <c r="U354" t="s">
        <v>275</v>
      </c>
      <c r="V354" t="s">
        <v>275</v>
      </c>
      <c r="W354" t="s">
        <v>10</v>
      </c>
      <c r="X354" t="s">
        <v>275</v>
      </c>
      <c r="Y354" t="s">
        <v>275</v>
      </c>
      <c r="Z354" t="s">
        <v>275</v>
      </c>
      <c r="AA354" t="s">
        <v>275</v>
      </c>
      <c r="AB354" t="s">
        <v>275</v>
      </c>
      <c r="AC354" t="s">
        <v>275</v>
      </c>
      <c r="AD354" t="s">
        <v>275</v>
      </c>
    </row>
    <row r="355" spans="1:30">
      <c r="A355">
        <v>353</v>
      </c>
      <c r="B355" t="s">
        <v>827</v>
      </c>
      <c r="C355" t="s">
        <v>828</v>
      </c>
      <c r="D355" t="str">
        <f>IF(VLOOKUP(C355,'Capabilities Overview'!$A$2:$A$587,1)=C355,"","Not in UCL")</f>
        <v/>
      </c>
      <c r="E355" t="s">
        <v>1</v>
      </c>
      <c r="F355" t="s">
        <v>275</v>
      </c>
      <c r="G355" t="s">
        <v>275</v>
      </c>
      <c r="H355" t="s">
        <v>275</v>
      </c>
      <c r="I355" t="s">
        <v>1</v>
      </c>
      <c r="J355" t="s">
        <v>275</v>
      </c>
      <c r="K355" t="s">
        <v>275</v>
      </c>
      <c r="L355" t="s">
        <v>275</v>
      </c>
      <c r="M355" t="s">
        <v>275</v>
      </c>
      <c r="N355" t="s">
        <v>275</v>
      </c>
      <c r="O355" t="s">
        <v>1</v>
      </c>
      <c r="P355" t="s">
        <v>275</v>
      </c>
      <c r="Q355" t="s">
        <v>1</v>
      </c>
      <c r="R355" t="s">
        <v>275</v>
      </c>
      <c r="S355" t="s">
        <v>275</v>
      </c>
      <c r="T355" t="s">
        <v>275</v>
      </c>
      <c r="U355" t="s">
        <v>275</v>
      </c>
      <c r="V355" t="s">
        <v>275</v>
      </c>
      <c r="W355" t="s">
        <v>10</v>
      </c>
      <c r="X355" t="s">
        <v>275</v>
      </c>
      <c r="Y355" t="s">
        <v>275</v>
      </c>
      <c r="Z355" t="s">
        <v>275</v>
      </c>
      <c r="AA355" t="s">
        <v>275</v>
      </c>
      <c r="AB355" t="s">
        <v>275</v>
      </c>
      <c r="AC355" t="s">
        <v>275</v>
      </c>
      <c r="AD355" t="s">
        <v>275</v>
      </c>
    </row>
    <row r="356" spans="1:30">
      <c r="A356">
        <v>354</v>
      </c>
      <c r="B356" t="s">
        <v>829</v>
      </c>
      <c r="C356" t="s">
        <v>830</v>
      </c>
      <c r="D356" t="str">
        <f>IF(VLOOKUP(C356,'Capabilities Overview'!$A$2:$A$587,1)=C356,"","Not in UCL")</f>
        <v/>
      </c>
      <c r="E356" t="s">
        <v>275</v>
      </c>
      <c r="F356" t="s">
        <v>275</v>
      </c>
      <c r="G356" t="s">
        <v>275</v>
      </c>
      <c r="H356" t="s">
        <v>275</v>
      </c>
      <c r="I356" t="s">
        <v>275</v>
      </c>
      <c r="J356" t="s">
        <v>275</v>
      </c>
      <c r="K356" t="s">
        <v>275</v>
      </c>
      <c r="L356" t="s">
        <v>275</v>
      </c>
      <c r="M356" t="s">
        <v>275</v>
      </c>
      <c r="N356" t="s">
        <v>275</v>
      </c>
      <c r="O356" t="s">
        <v>1</v>
      </c>
      <c r="P356" t="s">
        <v>275</v>
      </c>
      <c r="Q356" t="s">
        <v>275</v>
      </c>
      <c r="R356" t="s">
        <v>275</v>
      </c>
      <c r="S356" t="s">
        <v>275</v>
      </c>
      <c r="T356" t="s">
        <v>275</v>
      </c>
      <c r="U356" t="s">
        <v>275</v>
      </c>
      <c r="V356" t="s">
        <v>275</v>
      </c>
      <c r="W356" t="s">
        <v>10</v>
      </c>
      <c r="X356" t="s">
        <v>275</v>
      </c>
      <c r="Y356" t="s">
        <v>275</v>
      </c>
      <c r="Z356" t="s">
        <v>275</v>
      </c>
      <c r="AA356" t="s">
        <v>275</v>
      </c>
      <c r="AB356" t="s">
        <v>275</v>
      </c>
      <c r="AC356" t="s">
        <v>275</v>
      </c>
      <c r="AD356" t="s">
        <v>275</v>
      </c>
    </row>
    <row r="357" spans="1:30">
      <c r="A357">
        <v>355</v>
      </c>
      <c r="B357" t="s">
        <v>831</v>
      </c>
      <c r="C357" t="s">
        <v>832</v>
      </c>
      <c r="D357" t="str">
        <f>IF(VLOOKUP(C357,'Capabilities Overview'!$A$2:$A$587,1)=C357,"","Not in UCL")</f>
        <v/>
      </c>
      <c r="E357" t="s">
        <v>1</v>
      </c>
      <c r="F357" t="s">
        <v>1</v>
      </c>
      <c r="G357" t="s">
        <v>275</v>
      </c>
      <c r="H357" t="s">
        <v>275</v>
      </c>
      <c r="I357" t="s">
        <v>1</v>
      </c>
      <c r="J357" t="s">
        <v>1</v>
      </c>
      <c r="K357" t="s">
        <v>1</v>
      </c>
      <c r="L357" t="s">
        <v>275</v>
      </c>
      <c r="M357" t="s">
        <v>1</v>
      </c>
      <c r="N357" t="s">
        <v>1</v>
      </c>
      <c r="O357" t="s">
        <v>1</v>
      </c>
      <c r="P357" t="s">
        <v>275</v>
      </c>
      <c r="Q357" t="s">
        <v>275</v>
      </c>
      <c r="R357" t="s">
        <v>275</v>
      </c>
      <c r="S357" t="s">
        <v>275</v>
      </c>
      <c r="T357" t="s">
        <v>275</v>
      </c>
      <c r="U357" t="s">
        <v>275</v>
      </c>
      <c r="V357" t="s">
        <v>275</v>
      </c>
      <c r="W357" t="s">
        <v>10</v>
      </c>
      <c r="X357" t="s">
        <v>275</v>
      </c>
      <c r="Y357" t="s">
        <v>275</v>
      </c>
      <c r="Z357" t="s">
        <v>275</v>
      </c>
      <c r="AA357" t="s">
        <v>275</v>
      </c>
      <c r="AB357" t="s">
        <v>275</v>
      </c>
      <c r="AC357" t="s">
        <v>275</v>
      </c>
      <c r="AD357" t="s">
        <v>275</v>
      </c>
    </row>
    <row r="358" spans="1:30">
      <c r="A358">
        <v>356</v>
      </c>
      <c r="B358" t="s">
        <v>833</v>
      </c>
      <c r="C358" t="s">
        <v>834</v>
      </c>
      <c r="D358" t="str">
        <f>IF(VLOOKUP(C358,'Capabilities Overview'!$A$2:$A$587,1)=C358,"","Not in UCL")</f>
        <v/>
      </c>
      <c r="E358" t="s">
        <v>1</v>
      </c>
      <c r="F358" t="s">
        <v>1</v>
      </c>
      <c r="G358" t="s">
        <v>275</v>
      </c>
      <c r="H358" t="s">
        <v>275</v>
      </c>
      <c r="I358" t="s">
        <v>1</v>
      </c>
      <c r="J358" t="s">
        <v>275</v>
      </c>
      <c r="K358" t="s">
        <v>275</v>
      </c>
      <c r="L358" t="s">
        <v>275</v>
      </c>
      <c r="M358" t="s">
        <v>1</v>
      </c>
      <c r="N358" t="s">
        <v>1</v>
      </c>
      <c r="O358" t="s">
        <v>1</v>
      </c>
      <c r="P358" t="s">
        <v>275</v>
      </c>
      <c r="Q358" t="s">
        <v>1</v>
      </c>
      <c r="R358" t="s">
        <v>275</v>
      </c>
      <c r="S358" t="s">
        <v>275</v>
      </c>
      <c r="T358" t="s">
        <v>275</v>
      </c>
      <c r="U358" t="s">
        <v>275</v>
      </c>
      <c r="V358" t="s">
        <v>275</v>
      </c>
      <c r="W358" t="s">
        <v>10</v>
      </c>
      <c r="X358" t="s">
        <v>275</v>
      </c>
      <c r="Y358" t="s">
        <v>275</v>
      </c>
      <c r="Z358" t="s">
        <v>275</v>
      </c>
      <c r="AA358" t="s">
        <v>275</v>
      </c>
      <c r="AB358" t="s">
        <v>275</v>
      </c>
      <c r="AC358" t="s">
        <v>275</v>
      </c>
      <c r="AD358" t="s">
        <v>275</v>
      </c>
    </row>
    <row r="359" spans="1:30">
      <c r="A359">
        <v>357</v>
      </c>
      <c r="B359" t="s">
        <v>835</v>
      </c>
      <c r="C359" t="s">
        <v>836</v>
      </c>
      <c r="D359" t="str">
        <f>IF(VLOOKUP(C359,'Capabilities Overview'!$A$2:$A$587,1)=C359,"","Not in UCL")</f>
        <v/>
      </c>
      <c r="E359" t="s">
        <v>1</v>
      </c>
      <c r="F359" t="s">
        <v>1</v>
      </c>
      <c r="G359" t="s">
        <v>275</v>
      </c>
      <c r="H359" t="s">
        <v>275</v>
      </c>
      <c r="I359" t="s">
        <v>1</v>
      </c>
      <c r="J359" t="s">
        <v>1</v>
      </c>
      <c r="K359" t="s">
        <v>1</v>
      </c>
      <c r="L359" t="s">
        <v>275</v>
      </c>
      <c r="M359" t="s">
        <v>275</v>
      </c>
      <c r="N359" t="s">
        <v>275</v>
      </c>
      <c r="O359" t="s">
        <v>1</v>
      </c>
      <c r="P359" t="s">
        <v>275</v>
      </c>
      <c r="Q359" t="s">
        <v>275</v>
      </c>
      <c r="R359" t="s">
        <v>275</v>
      </c>
      <c r="S359" t="s">
        <v>275</v>
      </c>
      <c r="T359" t="s">
        <v>275</v>
      </c>
      <c r="U359" t="s">
        <v>275</v>
      </c>
      <c r="V359" t="s">
        <v>275</v>
      </c>
      <c r="W359" t="s">
        <v>10</v>
      </c>
      <c r="X359" t="s">
        <v>275</v>
      </c>
      <c r="Y359" t="s">
        <v>275</v>
      </c>
      <c r="Z359" t="s">
        <v>275</v>
      </c>
      <c r="AA359" t="s">
        <v>275</v>
      </c>
      <c r="AB359" t="s">
        <v>275</v>
      </c>
      <c r="AC359" t="s">
        <v>275</v>
      </c>
      <c r="AD359" t="s">
        <v>275</v>
      </c>
    </row>
    <row r="360" spans="1:30">
      <c r="A360">
        <v>358</v>
      </c>
      <c r="B360" t="s">
        <v>837</v>
      </c>
      <c r="C360" t="s">
        <v>838</v>
      </c>
      <c r="D360" t="str">
        <f>IF(VLOOKUP(C360,'Capabilities Overview'!$A$2:$A$587,1)=C360,"","Not in UCL")</f>
        <v/>
      </c>
      <c r="E360" t="s">
        <v>1</v>
      </c>
      <c r="F360" t="s">
        <v>1</v>
      </c>
      <c r="G360" t="s">
        <v>275</v>
      </c>
      <c r="H360" t="s">
        <v>275</v>
      </c>
      <c r="I360" t="s">
        <v>1</v>
      </c>
      <c r="J360" t="s">
        <v>1</v>
      </c>
      <c r="K360" t="s">
        <v>1</v>
      </c>
      <c r="L360" t="s">
        <v>275</v>
      </c>
      <c r="M360" t="s">
        <v>1</v>
      </c>
      <c r="N360" t="s">
        <v>1</v>
      </c>
      <c r="O360" t="s">
        <v>1</v>
      </c>
      <c r="P360" t="s">
        <v>275</v>
      </c>
      <c r="Q360" t="s">
        <v>1</v>
      </c>
      <c r="R360" t="s">
        <v>275</v>
      </c>
      <c r="S360" t="s">
        <v>275</v>
      </c>
      <c r="T360" t="s">
        <v>275</v>
      </c>
      <c r="U360" t="s">
        <v>275</v>
      </c>
      <c r="V360" t="s">
        <v>275</v>
      </c>
      <c r="W360" t="s">
        <v>10</v>
      </c>
      <c r="X360" t="s">
        <v>275</v>
      </c>
      <c r="Y360" t="s">
        <v>275</v>
      </c>
      <c r="Z360" t="s">
        <v>275</v>
      </c>
      <c r="AA360" t="s">
        <v>275</v>
      </c>
      <c r="AB360" t="s">
        <v>275</v>
      </c>
      <c r="AC360" t="s">
        <v>275</v>
      </c>
      <c r="AD360" t="s">
        <v>275</v>
      </c>
    </row>
    <row r="361" spans="1:30">
      <c r="A361">
        <v>359</v>
      </c>
      <c r="B361" t="s">
        <v>839</v>
      </c>
      <c r="C361" t="s">
        <v>840</v>
      </c>
      <c r="D361" t="str">
        <f>IF(VLOOKUP(C361,'Capabilities Overview'!$A$2:$A$587,1)=C361,"","Not in UCL")</f>
        <v/>
      </c>
      <c r="E361" t="s">
        <v>1</v>
      </c>
      <c r="F361" t="s">
        <v>1</v>
      </c>
      <c r="G361" t="s">
        <v>275</v>
      </c>
      <c r="H361" t="s">
        <v>275</v>
      </c>
      <c r="I361" t="s">
        <v>1</v>
      </c>
      <c r="J361" t="s">
        <v>1</v>
      </c>
      <c r="K361" t="s">
        <v>1</v>
      </c>
      <c r="L361" t="s">
        <v>1</v>
      </c>
      <c r="M361" t="s">
        <v>1</v>
      </c>
      <c r="N361" t="s">
        <v>1</v>
      </c>
      <c r="O361" t="s">
        <v>1</v>
      </c>
      <c r="P361" t="s">
        <v>275</v>
      </c>
      <c r="Q361" t="s">
        <v>1</v>
      </c>
      <c r="R361" t="s">
        <v>275</v>
      </c>
      <c r="S361" t="s">
        <v>275</v>
      </c>
      <c r="T361" t="s">
        <v>275</v>
      </c>
      <c r="U361" t="s">
        <v>275</v>
      </c>
      <c r="V361" t="s">
        <v>275</v>
      </c>
      <c r="W361" t="s">
        <v>275</v>
      </c>
      <c r="X361" t="s">
        <v>275</v>
      </c>
      <c r="Y361" t="s">
        <v>275</v>
      </c>
      <c r="Z361" t="s">
        <v>275</v>
      </c>
      <c r="AA361" t="s">
        <v>275</v>
      </c>
      <c r="AB361" t="s">
        <v>275</v>
      </c>
      <c r="AC361" t="s">
        <v>275</v>
      </c>
      <c r="AD361" t="s">
        <v>275</v>
      </c>
    </row>
    <row r="362" spans="1:30">
      <c r="A362">
        <v>360</v>
      </c>
      <c r="B362" t="s">
        <v>841</v>
      </c>
      <c r="C362" t="s">
        <v>842</v>
      </c>
      <c r="D362" t="str">
        <f>IF(VLOOKUP(C362,'Capabilities Overview'!$A$2:$A$587,1)=C362,"","Not in UCL")</f>
        <v/>
      </c>
      <c r="E362" t="s">
        <v>1</v>
      </c>
      <c r="F362" t="s">
        <v>275</v>
      </c>
      <c r="G362" t="s">
        <v>275</v>
      </c>
      <c r="H362" t="s">
        <v>275</v>
      </c>
      <c r="I362" t="s">
        <v>1</v>
      </c>
      <c r="J362" t="s">
        <v>275</v>
      </c>
      <c r="K362" t="s">
        <v>275</v>
      </c>
      <c r="L362" t="s">
        <v>275</v>
      </c>
      <c r="M362" t="s">
        <v>1</v>
      </c>
      <c r="N362" t="s">
        <v>1</v>
      </c>
      <c r="O362" t="s">
        <v>1</v>
      </c>
      <c r="P362" t="s">
        <v>275</v>
      </c>
      <c r="Q362" t="s">
        <v>1</v>
      </c>
      <c r="R362" t="s">
        <v>275</v>
      </c>
      <c r="S362" t="s">
        <v>275</v>
      </c>
      <c r="T362" t="s">
        <v>275</v>
      </c>
      <c r="U362" t="s">
        <v>275</v>
      </c>
      <c r="V362" t="s">
        <v>275</v>
      </c>
      <c r="W362" t="s">
        <v>10</v>
      </c>
      <c r="X362" t="s">
        <v>275</v>
      </c>
      <c r="Y362" t="s">
        <v>275</v>
      </c>
      <c r="Z362" t="s">
        <v>275</v>
      </c>
      <c r="AA362" t="s">
        <v>275</v>
      </c>
      <c r="AB362" t="s">
        <v>275</v>
      </c>
      <c r="AC362" t="s">
        <v>275</v>
      </c>
      <c r="AD362" t="s">
        <v>275</v>
      </c>
    </row>
    <row r="363" spans="1:30">
      <c r="A363">
        <v>361</v>
      </c>
      <c r="B363" t="s">
        <v>843</v>
      </c>
      <c r="C363" t="s">
        <v>844</v>
      </c>
      <c r="D363" t="str">
        <f>IF(VLOOKUP(C363,'Capabilities Overview'!$A$2:$A$587,1)=C363,"","Not in UCL")</f>
        <v/>
      </c>
      <c r="E363" t="s">
        <v>1</v>
      </c>
      <c r="F363" t="s">
        <v>275</v>
      </c>
      <c r="G363" t="s">
        <v>275</v>
      </c>
      <c r="H363" t="s">
        <v>275</v>
      </c>
      <c r="I363" t="s">
        <v>1</v>
      </c>
      <c r="J363" t="s">
        <v>275</v>
      </c>
      <c r="K363" t="s">
        <v>275</v>
      </c>
      <c r="L363" t="s">
        <v>275</v>
      </c>
      <c r="M363" t="s">
        <v>275</v>
      </c>
      <c r="N363" t="s">
        <v>275</v>
      </c>
      <c r="O363" t="s">
        <v>275</v>
      </c>
      <c r="P363" t="s">
        <v>275</v>
      </c>
      <c r="Q363" t="s">
        <v>275</v>
      </c>
      <c r="R363" t="s">
        <v>275</v>
      </c>
      <c r="S363" t="s">
        <v>275</v>
      </c>
      <c r="T363" t="s">
        <v>275</v>
      </c>
      <c r="U363" t="s">
        <v>275</v>
      </c>
      <c r="V363" t="s">
        <v>275</v>
      </c>
      <c r="W363" t="s">
        <v>10</v>
      </c>
      <c r="X363" t="s">
        <v>275</v>
      </c>
      <c r="Y363" t="s">
        <v>275</v>
      </c>
      <c r="Z363" t="s">
        <v>275</v>
      </c>
      <c r="AA363" t="s">
        <v>275</v>
      </c>
      <c r="AB363" t="s">
        <v>275</v>
      </c>
      <c r="AC363" t="s">
        <v>275</v>
      </c>
      <c r="AD363" t="s">
        <v>275</v>
      </c>
    </row>
    <row r="364" spans="1:30">
      <c r="A364">
        <v>362</v>
      </c>
      <c r="B364" t="s">
        <v>845</v>
      </c>
      <c r="C364" t="s">
        <v>846</v>
      </c>
      <c r="D364" t="str">
        <f>IF(VLOOKUP(C364,'Capabilities Overview'!$A$2:$A$587,1)=C364,"","Not in UCL")</f>
        <v/>
      </c>
      <c r="E364" t="s">
        <v>1</v>
      </c>
      <c r="F364" t="s">
        <v>1</v>
      </c>
      <c r="G364" t="s">
        <v>275</v>
      </c>
      <c r="H364" t="s">
        <v>275</v>
      </c>
      <c r="I364" t="s">
        <v>1</v>
      </c>
      <c r="J364" t="s">
        <v>275</v>
      </c>
      <c r="K364" t="s">
        <v>275</v>
      </c>
      <c r="L364" t="s">
        <v>275</v>
      </c>
      <c r="M364" t="s">
        <v>1</v>
      </c>
      <c r="N364" t="s">
        <v>1</v>
      </c>
      <c r="O364" t="s">
        <v>1</v>
      </c>
      <c r="P364" t="s">
        <v>275</v>
      </c>
      <c r="Q364" t="s">
        <v>1</v>
      </c>
      <c r="R364" t="s">
        <v>1</v>
      </c>
      <c r="S364" t="s">
        <v>1</v>
      </c>
      <c r="T364" t="s">
        <v>275</v>
      </c>
      <c r="U364" t="s">
        <v>275</v>
      </c>
      <c r="V364" t="s">
        <v>275</v>
      </c>
      <c r="W364" t="s">
        <v>1</v>
      </c>
      <c r="X364" t="s">
        <v>275</v>
      </c>
      <c r="Y364" t="s">
        <v>275</v>
      </c>
      <c r="Z364" t="s">
        <v>275</v>
      </c>
      <c r="AA364" t="s">
        <v>275</v>
      </c>
      <c r="AB364" t="s">
        <v>275</v>
      </c>
      <c r="AC364" t="s">
        <v>275</v>
      </c>
      <c r="AD364" t="s">
        <v>275</v>
      </c>
    </row>
    <row r="365" spans="1:30">
      <c r="A365">
        <v>363</v>
      </c>
      <c r="B365" t="s">
        <v>847</v>
      </c>
      <c r="C365" t="s">
        <v>848</v>
      </c>
      <c r="D365" t="str">
        <f>IF(VLOOKUP(C365,'Capabilities Overview'!$A$2:$A$587,1)=C365,"","Not in UCL")</f>
        <v/>
      </c>
      <c r="E365" t="s">
        <v>1</v>
      </c>
      <c r="F365" t="s">
        <v>1</v>
      </c>
      <c r="G365" t="s">
        <v>275</v>
      </c>
      <c r="H365" t="s">
        <v>275</v>
      </c>
      <c r="I365" t="s">
        <v>1</v>
      </c>
      <c r="J365" t="s">
        <v>275</v>
      </c>
      <c r="K365" t="s">
        <v>275</v>
      </c>
      <c r="L365" t="s">
        <v>275</v>
      </c>
      <c r="M365" t="s">
        <v>1</v>
      </c>
      <c r="N365" t="s">
        <v>1</v>
      </c>
      <c r="O365" t="s">
        <v>1</v>
      </c>
      <c r="P365" t="s">
        <v>275</v>
      </c>
      <c r="Q365" t="s">
        <v>1</v>
      </c>
      <c r="R365" t="s">
        <v>275</v>
      </c>
      <c r="S365" t="s">
        <v>275</v>
      </c>
      <c r="T365" t="s">
        <v>275</v>
      </c>
      <c r="U365" t="s">
        <v>275</v>
      </c>
      <c r="V365" t="s">
        <v>275</v>
      </c>
      <c r="W365" t="s">
        <v>275</v>
      </c>
      <c r="X365" t="s">
        <v>275</v>
      </c>
      <c r="Y365" t="s">
        <v>275</v>
      </c>
      <c r="Z365" t="s">
        <v>275</v>
      </c>
      <c r="AA365" t="s">
        <v>275</v>
      </c>
      <c r="AB365" t="s">
        <v>275</v>
      </c>
      <c r="AC365" t="s">
        <v>275</v>
      </c>
      <c r="AD365" t="s">
        <v>275</v>
      </c>
    </row>
    <row r="366" spans="1:30">
      <c r="A366">
        <v>364</v>
      </c>
      <c r="B366" t="s">
        <v>849</v>
      </c>
      <c r="C366" t="s">
        <v>850</v>
      </c>
      <c r="D366" t="str">
        <f>IF(VLOOKUP(C366,'Capabilities Overview'!$A$2:$A$587,1)=C366,"","Not in UCL")</f>
        <v/>
      </c>
      <c r="E366" t="s">
        <v>1</v>
      </c>
      <c r="F366" t="s">
        <v>1</v>
      </c>
      <c r="G366" t="s">
        <v>275</v>
      </c>
      <c r="H366" t="s">
        <v>275</v>
      </c>
      <c r="I366" t="s">
        <v>1</v>
      </c>
      <c r="J366" t="s">
        <v>275</v>
      </c>
      <c r="K366" t="s">
        <v>275</v>
      </c>
      <c r="L366" t="s">
        <v>275</v>
      </c>
      <c r="M366" t="s">
        <v>1</v>
      </c>
      <c r="N366" t="s">
        <v>1</v>
      </c>
      <c r="O366" t="s">
        <v>1</v>
      </c>
      <c r="P366" t="s">
        <v>275</v>
      </c>
      <c r="Q366" t="s">
        <v>1</v>
      </c>
      <c r="R366" t="s">
        <v>275</v>
      </c>
      <c r="S366" t="s">
        <v>275</v>
      </c>
      <c r="T366" t="s">
        <v>275</v>
      </c>
      <c r="U366" t="s">
        <v>275</v>
      </c>
      <c r="V366" t="s">
        <v>275</v>
      </c>
      <c r="W366" t="s">
        <v>275</v>
      </c>
      <c r="X366" t="s">
        <v>275</v>
      </c>
      <c r="Y366" t="s">
        <v>275</v>
      </c>
      <c r="Z366" t="s">
        <v>275</v>
      </c>
      <c r="AA366" t="s">
        <v>275</v>
      </c>
      <c r="AB366" t="s">
        <v>275</v>
      </c>
      <c r="AC366" t="s">
        <v>275</v>
      </c>
      <c r="AD366" t="s">
        <v>275</v>
      </c>
    </row>
    <row r="367" spans="1:30">
      <c r="A367">
        <v>365</v>
      </c>
      <c r="B367" t="s">
        <v>851</v>
      </c>
      <c r="C367" t="s">
        <v>852</v>
      </c>
      <c r="D367" t="str">
        <f>IF(VLOOKUP(C367,'Capabilities Overview'!$A$2:$A$587,1)=C367,"","Not in UCL")</f>
        <v/>
      </c>
      <c r="E367" t="s">
        <v>1</v>
      </c>
      <c r="F367" t="s">
        <v>1</v>
      </c>
      <c r="G367" t="s">
        <v>275</v>
      </c>
      <c r="H367" t="s">
        <v>275</v>
      </c>
      <c r="I367" t="s">
        <v>1</v>
      </c>
      <c r="J367" t="s">
        <v>275</v>
      </c>
      <c r="K367" t="s">
        <v>275</v>
      </c>
      <c r="L367" t="s">
        <v>275</v>
      </c>
      <c r="M367" t="s">
        <v>1</v>
      </c>
      <c r="N367" t="s">
        <v>1</v>
      </c>
      <c r="O367" t="s">
        <v>1</v>
      </c>
      <c r="P367" t="s">
        <v>275</v>
      </c>
      <c r="Q367" t="s">
        <v>1</v>
      </c>
      <c r="R367" t="s">
        <v>275</v>
      </c>
      <c r="S367" t="s">
        <v>275</v>
      </c>
      <c r="T367" t="s">
        <v>275</v>
      </c>
      <c r="U367" t="s">
        <v>275</v>
      </c>
      <c r="V367" t="s">
        <v>275</v>
      </c>
      <c r="W367" t="s">
        <v>275</v>
      </c>
      <c r="X367" t="s">
        <v>275</v>
      </c>
      <c r="Y367" t="s">
        <v>275</v>
      </c>
      <c r="Z367" t="s">
        <v>275</v>
      </c>
      <c r="AA367" t="s">
        <v>275</v>
      </c>
      <c r="AB367" t="s">
        <v>275</v>
      </c>
      <c r="AC367" t="s">
        <v>275</v>
      </c>
      <c r="AD367" t="s">
        <v>275</v>
      </c>
    </row>
    <row r="368" spans="1:30">
      <c r="A368">
        <v>366</v>
      </c>
      <c r="B368" t="s">
        <v>853</v>
      </c>
      <c r="C368" t="s">
        <v>854</v>
      </c>
      <c r="D368" t="str">
        <f>IF(VLOOKUP(C368,'Capabilities Overview'!$A$2:$A$587,1)=C368,"","Not in UCL")</f>
        <v/>
      </c>
      <c r="E368" t="s">
        <v>1</v>
      </c>
      <c r="F368" t="s">
        <v>1</v>
      </c>
      <c r="G368" t="s">
        <v>275</v>
      </c>
      <c r="H368" t="s">
        <v>275</v>
      </c>
      <c r="I368" t="s">
        <v>1</v>
      </c>
      <c r="J368" t="s">
        <v>275</v>
      </c>
      <c r="K368" t="s">
        <v>275</v>
      </c>
      <c r="L368" t="s">
        <v>275</v>
      </c>
      <c r="M368" t="s">
        <v>1</v>
      </c>
      <c r="N368" t="s">
        <v>1</v>
      </c>
      <c r="O368" t="s">
        <v>1</v>
      </c>
      <c r="P368" t="s">
        <v>275</v>
      </c>
      <c r="Q368" t="s">
        <v>1</v>
      </c>
      <c r="R368" t="s">
        <v>275</v>
      </c>
      <c r="S368" t="s">
        <v>275</v>
      </c>
      <c r="T368" t="s">
        <v>275</v>
      </c>
      <c r="U368" t="s">
        <v>275</v>
      </c>
      <c r="V368" t="s">
        <v>275</v>
      </c>
      <c r="W368" t="s">
        <v>275</v>
      </c>
      <c r="X368" t="s">
        <v>275</v>
      </c>
      <c r="Y368" t="s">
        <v>275</v>
      </c>
      <c r="Z368" t="s">
        <v>275</v>
      </c>
      <c r="AA368" t="s">
        <v>275</v>
      </c>
      <c r="AB368" t="s">
        <v>275</v>
      </c>
      <c r="AC368" t="s">
        <v>275</v>
      </c>
      <c r="AD368" t="s">
        <v>275</v>
      </c>
    </row>
    <row r="369" spans="1:30">
      <c r="A369">
        <v>367</v>
      </c>
      <c r="B369" t="s">
        <v>855</v>
      </c>
      <c r="C369" t="s">
        <v>856</v>
      </c>
      <c r="D369" t="str">
        <f>IF(VLOOKUP(C369,'Capabilities Overview'!$A$2:$A$587,1)=C369,"","Not in UCL")</f>
        <v/>
      </c>
      <c r="E369" t="s">
        <v>1</v>
      </c>
      <c r="F369" t="s">
        <v>1</v>
      </c>
      <c r="G369" t="s">
        <v>275</v>
      </c>
      <c r="H369" t="s">
        <v>275</v>
      </c>
      <c r="I369" t="s">
        <v>1</v>
      </c>
      <c r="J369" t="s">
        <v>275</v>
      </c>
      <c r="K369" t="s">
        <v>275</v>
      </c>
      <c r="L369" t="s">
        <v>275</v>
      </c>
      <c r="M369" t="s">
        <v>1</v>
      </c>
      <c r="N369" t="s">
        <v>1</v>
      </c>
      <c r="O369" t="s">
        <v>1</v>
      </c>
      <c r="P369" t="s">
        <v>275</v>
      </c>
      <c r="Q369" t="s">
        <v>1</v>
      </c>
      <c r="R369" t="s">
        <v>275</v>
      </c>
      <c r="S369" t="s">
        <v>275</v>
      </c>
      <c r="T369" t="s">
        <v>275</v>
      </c>
      <c r="U369" t="s">
        <v>275</v>
      </c>
      <c r="V369" t="s">
        <v>275</v>
      </c>
      <c r="W369" t="s">
        <v>275</v>
      </c>
      <c r="X369" t="s">
        <v>275</v>
      </c>
      <c r="Y369" t="s">
        <v>275</v>
      </c>
      <c r="Z369" t="s">
        <v>275</v>
      </c>
      <c r="AA369" t="s">
        <v>275</v>
      </c>
      <c r="AB369" t="s">
        <v>275</v>
      </c>
      <c r="AC369" t="s">
        <v>275</v>
      </c>
      <c r="AD369" t="s">
        <v>275</v>
      </c>
    </row>
    <row r="370" spans="1:30">
      <c r="A370">
        <v>368</v>
      </c>
      <c r="B370" t="s">
        <v>857</v>
      </c>
      <c r="C370" t="s">
        <v>858</v>
      </c>
      <c r="D370" t="str">
        <f>IF(VLOOKUP(C370,'Capabilities Overview'!$A$2:$A$587,1)=C370,"","Not in UCL")</f>
        <v/>
      </c>
      <c r="E370" t="s">
        <v>1</v>
      </c>
      <c r="F370" t="s">
        <v>1</v>
      </c>
      <c r="G370" t="s">
        <v>275</v>
      </c>
      <c r="H370" t="s">
        <v>275</v>
      </c>
      <c r="I370" t="s">
        <v>1</v>
      </c>
      <c r="J370" t="s">
        <v>275</v>
      </c>
      <c r="K370" t="s">
        <v>275</v>
      </c>
      <c r="L370" t="s">
        <v>275</v>
      </c>
      <c r="M370" t="s">
        <v>1</v>
      </c>
      <c r="N370" t="s">
        <v>1</v>
      </c>
      <c r="O370" t="s">
        <v>1</v>
      </c>
      <c r="P370" t="s">
        <v>275</v>
      </c>
      <c r="Q370" t="s">
        <v>1</v>
      </c>
      <c r="R370" t="s">
        <v>275</v>
      </c>
      <c r="S370" t="s">
        <v>275</v>
      </c>
      <c r="T370" t="s">
        <v>275</v>
      </c>
      <c r="U370" t="s">
        <v>275</v>
      </c>
      <c r="V370" t="s">
        <v>275</v>
      </c>
      <c r="W370" t="s">
        <v>275</v>
      </c>
      <c r="X370" t="s">
        <v>275</v>
      </c>
      <c r="Y370" t="s">
        <v>275</v>
      </c>
      <c r="Z370" t="s">
        <v>275</v>
      </c>
      <c r="AA370" t="s">
        <v>275</v>
      </c>
      <c r="AB370" t="s">
        <v>275</v>
      </c>
      <c r="AC370" t="s">
        <v>275</v>
      </c>
      <c r="AD370" t="s">
        <v>275</v>
      </c>
    </row>
    <row r="371" spans="1:30">
      <c r="A371">
        <v>369</v>
      </c>
      <c r="B371" t="s">
        <v>859</v>
      </c>
      <c r="C371" t="s">
        <v>860</v>
      </c>
      <c r="D371" t="str">
        <f>IF(VLOOKUP(C371,'Capabilities Overview'!$A$2:$A$587,1)=C371,"","Not in UCL")</f>
        <v/>
      </c>
      <c r="E371" t="s">
        <v>1</v>
      </c>
      <c r="F371" t="s">
        <v>1</v>
      </c>
      <c r="G371" t="s">
        <v>275</v>
      </c>
      <c r="H371" t="s">
        <v>275</v>
      </c>
      <c r="I371" t="s">
        <v>1</v>
      </c>
      <c r="J371" t="s">
        <v>275</v>
      </c>
      <c r="K371" t="s">
        <v>275</v>
      </c>
      <c r="L371" t="s">
        <v>275</v>
      </c>
      <c r="M371" t="s">
        <v>1</v>
      </c>
      <c r="N371" t="s">
        <v>1</v>
      </c>
      <c r="O371" t="s">
        <v>1</v>
      </c>
      <c r="P371" t="s">
        <v>275</v>
      </c>
      <c r="Q371" t="s">
        <v>1</v>
      </c>
      <c r="R371" t="s">
        <v>275</v>
      </c>
      <c r="S371" t="s">
        <v>275</v>
      </c>
      <c r="T371" t="s">
        <v>275</v>
      </c>
      <c r="U371" t="s">
        <v>275</v>
      </c>
      <c r="V371" t="s">
        <v>275</v>
      </c>
      <c r="W371" t="s">
        <v>275</v>
      </c>
      <c r="X371" t="s">
        <v>275</v>
      </c>
      <c r="Y371" t="s">
        <v>275</v>
      </c>
      <c r="Z371" t="s">
        <v>275</v>
      </c>
      <c r="AA371" t="s">
        <v>275</v>
      </c>
      <c r="AB371" t="s">
        <v>275</v>
      </c>
      <c r="AC371" t="s">
        <v>275</v>
      </c>
      <c r="AD371" t="s">
        <v>275</v>
      </c>
    </row>
    <row r="372" spans="1:30">
      <c r="A372">
        <v>370</v>
      </c>
      <c r="B372" t="s">
        <v>861</v>
      </c>
      <c r="C372" t="s">
        <v>862</v>
      </c>
      <c r="D372" t="str">
        <f>IF(VLOOKUP(C372,'Capabilities Overview'!$A$2:$A$587,1)=C372,"","Not in UCL")</f>
        <v/>
      </c>
      <c r="E372" t="s">
        <v>1</v>
      </c>
      <c r="F372" t="s">
        <v>1</v>
      </c>
      <c r="G372" t="s">
        <v>275</v>
      </c>
      <c r="H372" t="s">
        <v>275</v>
      </c>
      <c r="I372" t="s">
        <v>1</v>
      </c>
      <c r="J372" t="s">
        <v>275</v>
      </c>
      <c r="K372" t="s">
        <v>275</v>
      </c>
      <c r="L372" t="s">
        <v>275</v>
      </c>
      <c r="M372" t="s">
        <v>1</v>
      </c>
      <c r="N372" t="s">
        <v>1</v>
      </c>
      <c r="O372" t="s">
        <v>1</v>
      </c>
      <c r="P372" t="s">
        <v>275</v>
      </c>
      <c r="Q372" t="s">
        <v>1</v>
      </c>
      <c r="R372" t="s">
        <v>275</v>
      </c>
      <c r="S372" t="s">
        <v>275</v>
      </c>
      <c r="T372" t="s">
        <v>275</v>
      </c>
      <c r="U372" t="s">
        <v>275</v>
      </c>
      <c r="V372" t="s">
        <v>275</v>
      </c>
      <c r="W372" t="s">
        <v>275</v>
      </c>
      <c r="X372" t="s">
        <v>275</v>
      </c>
      <c r="Y372" t="s">
        <v>275</v>
      </c>
      <c r="Z372" t="s">
        <v>275</v>
      </c>
      <c r="AA372" t="s">
        <v>275</v>
      </c>
      <c r="AB372" t="s">
        <v>275</v>
      </c>
      <c r="AC372" t="s">
        <v>275</v>
      </c>
      <c r="AD372" t="s">
        <v>275</v>
      </c>
    </row>
    <row r="373" spans="1:30">
      <c r="A373">
        <v>371</v>
      </c>
      <c r="B373" t="s">
        <v>863</v>
      </c>
      <c r="C373" t="s">
        <v>864</v>
      </c>
      <c r="D373" t="str">
        <f>IF(VLOOKUP(C373,'Capabilities Overview'!$A$2:$A$587,1)=C373,"","Not in UCL")</f>
        <v/>
      </c>
      <c r="E373" t="s">
        <v>1</v>
      </c>
      <c r="F373" t="s">
        <v>275</v>
      </c>
      <c r="G373" t="s">
        <v>275</v>
      </c>
      <c r="H373" t="s">
        <v>275</v>
      </c>
      <c r="I373" t="s">
        <v>1</v>
      </c>
      <c r="J373" t="s">
        <v>275</v>
      </c>
      <c r="K373" t="s">
        <v>275</v>
      </c>
      <c r="L373" t="s">
        <v>275</v>
      </c>
      <c r="M373" t="s">
        <v>1</v>
      </c>
      <c r="N373" t="s">
        <v>1</v>
      </c>
      <c r="O373" t="s">
        <v>1</v>
      </c>
      <c r="P373" t="s">
        <v>275</v>
      </c>
      <c r="Q373" t="s">
        <v>1</v>
      </c>
      <c r="R373" t="s">
        <v>275</v>
      </c>
      <c r="S373" t="s">
        <v>275</v>
      </c>
      <c r="T373" t="s">
        <v>275</v>
      </c>
      <c r="U373" t="s">
        <v>275</v>
      </c>
      <c r="V373" t="s">
        <v>275</v>
      </c>
      <c r="W373" t="s">
        <v>275</v>
      </c>
      <c r="X373" t="s">
        <v>275</v>
      </c>
      <c r="Y373" t="s">
        <v>275</v>
      </c>
      <c r="Z373" t="s">
        <v>275</v>
      </c>
      <c r="AA373" t="s">
        <v>275</v>
      </c>
      <c r="AB373" t="s">
        <v>275</v>
      </c>
      <c r="AC373" t="s">
        <v>275</v>
      </c>
      <c r="AD373" t="s">
        <v>275</v>
      </c>
    </row>
    <row r="374" spans="1:30">
      <c r="A374">
        <v>372</v>
      </c>
      <c r="B374" t="s">
        <v>865</v>
      </c>
      <c r="C374" t="s">
        <v>866</v>
      </c>
      <c r="D374" t="str">
        <f>IF(VLOOKUP(C374,'Capabilities Overview'!$A$2:$A$587,1)=C374,"","Not in UCL")</f>
        <v/>
      </c>
      <c r="E374" t="s">
        <v>275</v>
      </c>
      <c r="F374" t="s">
        <v>275</v>
      </c>
      <c r="G374" t="s">
        <v>275</v>
      </c>
      <c r="H374" t="s">
        <v>275</v>
      </c>
      <c r="I374" t="s">
        <v>275</v>
      </c>
      <c r="J374" t="s">
        <v>275</v>
      </c>
      <c r="K374" t="s">
        <v>275</v>
      </c>
      <c r="L374" t="s">
        <v>275</v>
      </c>
      <c r="M374" t="s">
        <v>275</v>
      </c>
      <c r="N374" t="s">
        <v>275</v>
      </c>
      <c r="O374" t="s">
        <v>275</v>
      </c>
      <c r="P374" t="s">
        <v>275</v>
      </c>
      <c r="Q374" t="s">
        <v>275</v>
      </c>
      <c r="R374" t="s">
        <v>275</v>
      </c>
      <c r="S374" t="s">
        <v>275</v>
      </c>
      <c r="T374" t="s">
        <v>275</v>
      </c>
      <c r="U374" t="s">
        <v>275</v>
      </c>
      <c r="V374" t="s">
        <v>275</v>
      </c>
      <c r="W374" t="s">
        <v>10</v>
      </c>
      <c r="X374" t="s">
        <v>275</v>
      </c>
      <c r="Y374" t="s">
        <v>275</v>
      </c>
      <c r="Z374" t="s">
        <v>275</v>
      </c>
      <c r="AA374" t="s">
        <v>275</v>
      </c>
      <c r="AB374" t="s">
        <v>275</v>
      </c>
      <c r="AC374" t="s">
        <v>275</v>
      </c>
      <c r="AD374" t="s">
        <v>275</v>
      </c>
    </row>
    <row r="375" spans="1:30">
      <c r="A375">
        <v>373</v>
      </c>
      <c r="B375" t="s">
        <v>867</v>
      </c>
      <c r="C375" t="s">
        <v>868</v>
      </c>
      <c r="D375" t="str">
        <f>IF(VLOOKUP(C375,'Capabilities Overview'!$A$2:$A$587,1)=C375,"","Not in UCL")</f>
        <v/>
      </c>
      <c r="E375" t="s">
        <v>275</v>
      </c>
      <c r="F375" t="s">
        <v>275</v>
      </c>
      <c r="G375" t="s">
        <v>275</v>
      </c>
      <c r="H375" t="s">
        <v>275</v>
      </c>
      <c r="I375" t="s">
        <v>275</v>
      </c>
      <c r="J375" t="s">
        <v>275</v>
      </c>
      <c r="K375" t="s">
        <v>275</v>
      </c>
      <c r="L375" t="s">
        <v>275</v>
      </c>
      <c r="M375" t="s">
        <v>275</v>
      </c>
      <c r="N375" t="s">
        <v>275</v>
      </c>
      <c r="O375" t="s">
        <v>275</v>
      </c>
      <c r="P375" t="s">
        <v>275</v>
      </c>
      <c r="Q375" t="s">
        <v>275</v>
      </c>
      <c r="R375" t="s">
        <v>275</v>
      </c>
      <c r="S375" t="s">
        <v>275</v>
      </c>
      <c r="T375" t="s">
        <v>275</v>
      </c>
      <c r="U375" t="s">
        <v>275</v>
      </c>
      <c r="V375" t="s">
        <v>275</v>
      </c>
      <c r="W375" t="s">
        <v>10</v>
      </c>
      <c r="X375" t="s">
        <v>275</v>
      </c>
      <c r="Y375" t="s">
        <v>275</v>
      </c>
      <c r="Z375" t="s">
        <v>275</v>
      </c>
      <c r="AA375" t="s">
        <v>275</v>
      </c>
      <c r="AB375" t="s">
        <v>275</v>
      </c>
      <c r="AC375" t="s">
        <v>275</v>
      </c>
      <c r="AD375" t="s">
        <v>275</v>
      </c>
    </row>
    <row r="376" spans="1:30">
      <c r="A376">
        <v>374</v>
      </c>
      <c r="B376" t="s">
        <v>869</v>
      </c>
      <c r="C376" t="s">
        <v>870</v>
      </c>
      <c r="D376" t="str">
        <f>IF(VLOOKUP(C376,'Capabilities Overview'!$A$2:$A$587,1)=C376,"","Not in UCL")</f>
        <v/>
      </c>
      <c r="E376" t="s">
        <v>275</v>
      </c>
      <c r="F376" t="s">
        <v>275</v>
      </c>
      <c r="G376" t="s">
        <v>275</v>
      </c>
      <c r="H376" t="s">
        <v>275</v>
      </c>
      <c r="I376" t="s">
        <v>275</v>
      </c>
      <c r="J376" t="s">
        <v>275</v>
      </c>
      <c r="K376" t="s">
        <v>275</v>
      </c>
      <c r="L376" t="s">
        <v>275</v>
      </c>
      <c r="M376" t="s">
        <v>275</v>
      </c>
      <c r="N376" t="s">
        <v>275</v>
      </c>
      <c r="O376" t="s">
        <v>275</v>
      </c>
      <c r="P376" t="s">
        <v>275</v>
      </c>
      <c r="Q376" t="s">
        <v>275</v>
      </c>
      <c r="R376" t="s">
        <v>275</v>
      </c>
      <c r="S376" t="s">
        <v>275</v>
      </c>
      <c r="T376" t="s">
        <v>275</v>
      </c>
      <c r="U376" t="s">
        <v>275</v>
      </c>
      <c r="V376" t="s">
        <v>275</v>
      </c>
      <c r="W376" t="s">
        <v>10</v>
      </c>
      <c r="X376" t="s">
        <v>275</v>
      </c>
      <c r="Y376" t="s">
        <v>275</v>
      </c>
      <c r="Z376" t="s">
        <v>275</v>
      </c>
      <c r="AA376" t="s">
        <v>275</v>
      </c>
      <c r="AB376" t="s">
        <v>275</v>
      </c>
      <c r="AC376" t="s">
        <v>275</v>
      </c>
      <c r="AD376" t="s">
        <v>275</v>
      </c>
    </row>
    <row r="377" spans="1:30">
      <c r="A377">
        <v>375</v>
      </c>
      <c r="B377" t="s">
        <v>148</v>
      </c>
      <c r="C377" t="s">
        <v>149</v>
      </c>
      <c r="D377" t="str">
        <f>IF(VLOOKUP(C377,'Capabilities Overview'!$A$2:$A$587,1)=C377,"","Not in UCL")</f>
        <v/>
      </c>
      <c r="E377" t="s">
        <v>275</v>
      </c>
      <c r="F377" t="s">
        <v>275</v>
      </c>
      <c r="G377" t="s">
        <v>275</v>
      </c>
      <c r="H377" t="s">
        <v>275</v>
      </c>
      <c r="I377" t="s">
        <v>275</v>
      </c>
      <c r="J377" t="s">
        <v>275</v>
      </c>
      <c r="K377" t="s">
        <v>275</v>
      </c>
      <c r="L377" t="s">
        <v>275</v>
      </c>
      <c r="M377" t="s">
        <v>275</v>
      </c>
      <c r="N377" t="s">
        <v>275</v>
      </c>
      <c r="O377" t="s">
        <v>275</v>
      </c>
      <c r="P377" t="s">
        <v>275</v>
      </c>
      <c r="Q377" t="s">
        <v>275</v>
      </c>
      <c r="R377" t="s">
        <v>275</v>
      </c>
      <c r="S377" t="s">
        <v>275</v>
      </c>
      <c r="T377" t="s">
        <v>1</v>
      </c>
      <c r="U377" t="s">
        <v>275</v>
      </c>
      <c r="V377" t="s">
        <v>275</v>
      </c>
      <c r="W377" t="s">
        <v>10</v>
      </c>
      <c r="X377" t="s">
        <v>275</v>
      </c>
      <c r="Y377" t="s">
        <v>275</v>
      </c>
      <c r="Z377" t="s">
        <v>275</v>
      </c>
      <c r="AA377" t="s">
        <v>275</v>
      </c>
      <c r="AB377" t="s">
        <v>275</v>
      </c>
      <c r="AC377" t="s">
        <v>275</v>
      </c>
      <c r="AD377" t="s">
        <v>1</v>
      </c>
    </row>
    <row r="378" spans="1:30">
      <c r="A378">
        <v>376</v>
      </c>
      <c r="B378" t="s">
        <v>871</v>
      </c>
      <c r="C378" t="s">
        <v>872</v>
      </c>
      <c r="D378" t="str">
        <f>IF(VLOOKUP(C378,'Capabilities Overview'!$A$2:$A$587,1)=C378,"","Not in UCL")</f>
        <v/>
      </c>
      <c r="E378" t="s">
        <v>275</v>
      </c>
      <c r="F378" t="s">
        <v>275</v>
      </c>
      <c r="G378" t="s">
        <v>275</v>
      </c>
      <c r="H378" t="s">
        <v>275</v>
      </c>
      <c r="I378" t="s">
        <v>1</v>
      </c>
      <c r="J378" t="s">
        <v>275</v>
      </c>
      <c r="K378" t="s">
        <v>275</v>
      </c>
      <c r="L378" t="s">
        <v>275</v>
      </c>
      <c r="M378" t="s">
        <v>275</v>
      </c>
      <c r="N378" t="s">
        <v>275</v>
      </c>
      <c r="O378" t="s">
        <v>275</v>
      </c>
      <c r="P378" t="s">
        <v>275</v>
      </c>
      <c r="Q378" t="s">
        <v>275</v>
      </c>
      <c r="R378" t="s">
        <v>275</v>
      </c>
      <c r="S378" t="s">
        <v>275</v>
      </c>
      <c r="T378" t="s">
        <v>275</v>
      </c>
      <c r="U378" t="s">
        <v>275</v>
      </c>
      <c r="V378" t="s">
        <v>275</v>
      </c>
      <c r="W378" t="s">
        <v>10</v>
      </c>
      <c r="X378" t="s">
        <v>275</v>
      </c>
      <c r="Y378" t="s">
        <v>275</v>
      </c>
      <c r="Z378" t="s">
        <v>275</v>
      </c>
      <c r="AA378" t="s">
        <v>275</v>
      </c>
      <c r="AB378" t="s">
        <v>275</v>
      </c>
      <c r="AC378" t="s">
        <v>275</v>
      </c>
      <c r="AD378" t="s">
        <v>275</v>
      </c>
    </row>
    <row r="379" spans="1:30">
      <c r="A379">
        <v>377</v>
      </c>
      <c r="B379" t="s">
        <v>873</v>
      </c>
      <c r="C379" t="s">
        <v>874</v>
      </c>
      <c r="D379" t="str">
        <f>IF(VLOOKUP(C379,'Capabilities Overview'!$A$2:$A$587,1)=C379,"","Not in UCL")</f>
        <v/>
      </c>
      <c r="E379" t="s">
        <v>1</v>
      </c>
      <c r="F379" t="s">
        <v>275</v>
      </c>
      <c r="G379" t="s">
        <v>275</v>
      </c>
      <c r="H379" t="s">
        <v>275</v>
      </c>
      <c r="I379" t="s">
        <v>1</v>
      </c>
      <c r="J379" t="s">
        <v>275</v>
      </c>
      <c r="K379" t="s">
        <v>275</v>
      </c>
      <c r="L379" t="s">
        <v>275</v>
      </c>
      <c r="M379" t="s">
        <v>1</v>
      </c>
      <c r="N379" t="s">
        <v>1</v>
      </c>
      <c r="O379" t="s">
        <v>1</v>
      </c>
      <c r="P379" t="s">
        <v>275</v>
      </c>
      <c r="Q379" t="s">
        <v>275</v>
      </c>
      <c r="R379" t="s">
        <v>275</v>
      </c>
      <c r="S379" t="s">
        <v>275</v>
      </c>
      <c r="T379" t="s">
        <v>275</v>
      </c>
      <c r="U379" t="s">
        <v>275</v>
      </c>
      <c r="V379" t="s">
        <v>275</v>
      </c>
      <c r="W379" t="s">
        <v>10</v>
      </c>
      <c r="X379" t="s">
        <v>275</v>
      </c>
      <c r="Y379" t="s">
        <v>275</v>
      </c>
      <c r="Z379" t="s">
        <v>275</v>
      </c>
      <c r="AA379" t="s">
        <v>275</v>
      </c>
      <c r="AB379" t="s">
        <v>275</v>
      </c>
      <c r="AC379" t="s">
        <v>275</v>
      </c>
      <c r="AD379" t="s">
        <v>275</v>
      </c>
    </row>
    <row r="380" spans="1:30">
      <c r="A380">
        <v>378</v>
      </c>
      <c r="B380" t="s">
        <v>875</v>
      </c>
      <c r="C380" t="s">
        <v>876</v>
      </c>
      <c r="D380" t="str">
        <f>IF(VLOOKUP(C380,'Capabilities Overview'!$A$2:$A$587,1)=C380,"","Not in UCL")</f>
        <v/>
      </c>
      <c r="E380" t="s">
        <v>1</v>
      </c>
      <c r="F380" t="s">
        <v>275</v>
      </c>
      <c r="G380" t="s">
        <v>275</v>
      </c>
      <c r="H380" t="s">
        <v>275</v>
      </c>
      <c r="I380" t="s">
        <v>1</v>
      </c>
      <c r="J380" t="s">
        <v>1</v>
      </c>
      <c r="K380" t="s">
        <v>1</v>
      </c>
      <c r="L380" t="s">
        <v>275</v>
      </c>
      <c r="M380" t="s">
        <v>1</v>
      </c>
      <c r="N380" t="s">
        <v>1</v>
      </c>
      <c r="O380" t="s">
        <v>1</v>
      </c>
      <c r="P380" t="s">
        <v>275</v>
      </c>
      <c r="Q380" t="s">
        <v>1</v>
      </c>
      <c r="R380" t="s">
        <v>1</v>
      </c>
      <c r="S380" t="s">
        <v>1</v>
      </c>
      <c r="T380" t="s">
        <v>275</v>
      </c>
      <c r="U380" t="s">
        <v>1</v>
      </c>
      <c r="V380" t="s">
        <v>275</v>
      </c>
      <c r="W380" t="s">
        <v>10</v>
      </c>
      <c r="X380" t="s">
        <v>275</v>
      </c>
      <c r="Y380" t="s">
        <v>275</v>
      </c>
      <c r="Z380" t="s">
        <v>275</v>
      </c>
      <c r="AA380" t="s">
        <v>275</v>
      </c>
      <c r="AB380" t="s">
        <v>275</v>
      </c>
      <c r="AC380" t="s">
        <v>275</v>
      </c>
      <c r="AD380" t="s">
        <v>275</v>
      </c>
    </row>
    <row r="381" spans="1:30">
      <c r="A381">
        <v>379</v>
      </c>
      <c r="B381" t="s">
        <v>877</v>
      </c>
      <c r="C381" t="s">
        <v>878</v>
      </c>
      <c r="D381" t="str">
        <f>IF(VLOOKUP(C381,'Capabilities Overview'!$A$2:$A$587,1)=C381,"","Not in UCL")</f>
        <v>Not in UCL</v>
      </c>
      <c r="E381" t="s">
        <v>1</v>
      </c>
      <c r="F381" t="s">
        <v>275</v>
      </c>
      <c r="G381" t="s">
        <v>275</v>
      </c>
      <c r="H381" t="s">
        <v>275</v>
      </c>
      <c r="I381" t="s">
        <v>275</v>
      </c>
      <c r="J381" t="s">
        <v>275</v>
      </c>
      <c r="K381" t="s">
        <v>275</v>
      </c>
      <c r="L381" t="s">
        <v>275</v>
      </c>
      <c r="M381" t="s">
        <v>1</v>
      </c>
      <c r="N381" t="s">
        <v>1</v>
      </c>
      <c r="O381" t="s">
        <v>1</v>
      </c>
      <c r="P381" t="s">
        <v>275</v>
      </c>
      <c r="Q381" t="s">
        <v>1</v>
      </c>
      <c r="R381" t="s">
        <v>275</v>
      </c>
      <c r="S381" t="s">
        <v>275</v>
      </c>
      <c r="T381" t="s">
        <v>275</v>
      </c>
      <c r="U381" t="s">
        <v>275</v>
      </c>
      <c r="V381" t="s">
        <v>275</v>
      </c>
      <c r="W381" t="s">
        <v>275</v>
      </c>
      <c r="X381" t="s">
        <v>275</v>
      </c>
      <c r="Y381" t="s">
        <v>275</v>
      </c>
      <c r="Z381" t="s">
        <v>275</v>
      </c>
      <c r="AA381" t="s">
        <v>275</v>
      </c>
      <c r="AB381" t="s">
        <v>275</v>
      </c>
      <c r="AC381" t="s">
        <v>275</v>
      </c>
      <c r="AD381" t="s">
        <v>275</v>
      </c>
    </row>
    <row r="382" spans="1:30">
      <c r="A382">
        <v>380</v>
      </c>
      <c r="B382" t="s">
        <v>879</v>
      </c>
      <c r="C382" t="s">
        <v>880</v>
      </c>
      <c r="D382" t="str">
        <f>IF(VLOOKUP(C382,'Capabilities Overview'!$A$2:$A$587,1)=C382,"","Not in UCL")</f>
        <v>Not in UCL</v>
      </c>
      <c r="E382" t="s">
        <v>1</v>
      </c>
      <c r="F382" t="s">
        <v>275</v>
      </c>
      <c r="G382" t="s">
        <v>275</v>
      </c>
      <c r="H382" t="s">
        <v>275</v>
      </c>
      <c r="I382" t="s">
        <v>275</v>
      </c>
      <c r="J382" t="s">
        <v>275</v>
      </c>
      <c r="K382" t="s">
        <v>275</v>
      </c>
      <c r="L382" t="s">
        <v>275</v>
      </c>
      <c r="M382" t="s">
        <v>1</v>
      </c>
      <c r="N382" t="s">
        <v>1</v>
      </c>
      <c r="O382" t="s">
        <v>1</v>
      </c>
      <c r="P382" t="s">
        <v>275</v>
      </c>
      <c r="Q382" t="s">
        <v>1</v>
      </c>
      <c r="R382" t="s">
        <v>275</v>
      </c>
      <c r="S382" t="s">
        <v>275</v>
      </c>
      <c r="T382" t="s">
        <v>275</v>
      </c>
      <c r="U382" t="s">
        <v>275</v>
      </c>
      <c r="V382" t="s">
        <v>275</v>
      </c>
      <c r="W382" t="s">
        <v>275</v>
      </c>
      <c r="X382" t="s">
        <v>275</v>
      </c>
      <c r="Y382" t="s">
        <v>275</v>
      </c>
      <c r="Z382" t="s">
        <v>275</v>
      </c>
      <c r="AA382" t="s">
        <v>275</v>
      </c>
      <c r="AB382" t="s">
        <v>275</v>
      </c>
      <c r="AC382" t="s">
        <v>275</v>
      </c>
      <c r="AD382" t="s">
        <v>275</v>
      </c>
    </row>
    <row r="383" spans="1:30">
      <c r="A383">
        <v>381</v>
      </c>
      <c r="B383" t="s">
        <v>881</v>
      </c>
      <c r="C383" t="s">
        <v>882</v>
      </c>
      <c r="D383" t="str">
        <f>IF(VLOOKUP(C383,'Capabilities Overview'!$A$2:$A$587,1)=C383,"","Not in UCL")</f>
        <v>Not in UCL</v>
      </c>
      <c r="E383" t="s">
        <v>1</v>
      </c>
      <c r="F383" t="s">
        <v>275</v>
      </c>
      <c r="G383" t="s">
        <v>275</v>
      </c>
      <c r="H383" t="s">
        <v>275</v>
      </c>
      <c r="I383" t="s">
        <v>275</v>
      </c>
      <c r="J383" t="s">
        <v>275</v>
      </c>
      <c r="K383" t="s">
        <v>275</v>
      </c>
      <c r="L383" t="s">
        <v>275</v>
      </c>
      <c r="M383" t="s">
        <v>1</v>
      </c>
      <c r="N383" t="s">
        <v>1</v>
      </c>
      <c r="O383" t="s">
        <v>1</v>
      </c>
      <c r="P383" t="s">
        <v>275</v>
      </c>
      <c r="Q383" t="s">
        <v>1</v>
      </c>
      <c r="R383" t="s">
        <v>275</v>
      </c>
      <c r="S383" t="s">
        <v>275</v>
      </c>
      <c r="T383" t="s">
        <v>275</v>
      </c>
      <c r="U383" t="s">
        <v>275</v>
      </c>
      <c r="V383" t="s">
        <v>275</v>
      </c>
      <c r="W383" t="s">
        <v>275</v>
      </c>
      <c r="X383" t="s">
        <v>275</v>
      </c>
      <c r="Y383" t="s">
        <v>275</v>
      </c>
      <c r="Z383" t="s">
        <v>275</v>
      </c>
      <c r="AA383" t="s">
        <v>275</v>
      </c>
      <c r="AB383" t="s">
        <v>275</v>
      </c>
      <c r="AC383" t="s">
        <v>275</v>
      </c>
      <c r="AD383" t="s">
        <v>275</v>
      </c>
    </row>
    <row r="384" spans="1:30">
      <c r="A384">
        <v>382</v>
      </c>
      <c r="B384" t="s">
        <v>883</v>
      </c>
      <c r="C384" t="s">
        <v>884</v>
      </c>
      <c r="D384" t="str">
        <f>IF(VLOOKUP(C384,'Capabilities Overview'!$A$2:$A$587,1)=C384,"","Not in UCL")</f>
        <v>Not in UCL</v>
      </c>
      <c r="E384" t="s">
        <v>1</v>
      </c>
      <c r="F384" t="s">
        <v>275</v>
      </c>
      <c r="G384" t="s">
        <v>275</v>
      </c>
      <c r="H384" t="s">
        <v>275</v>
      </c>
      <c r="I384" t="s">
        <v>275</v>
      </c>
      <c r="J384" t="s">
        <v>275</v>
      </c>
      <c r="K384" t="s">
        <v>275</v>
      </c>
      <c r="L384" t="s">
        <v>275</v>
      </c>
      <c r="M384" t="s">
        <v>1</v>
      </c>
      <c r="N384" t="s">
        <v>1</v>
      </c>
      <c r="O384" t="s">
        <v>1</v>
      </c>
      <c r="P384" t="s">
        <v>275</v>
      </c>
      <c r="Q384" t="s">
        <v>1</v>
      </c>
      <c r="R384" t="s">
        <v>275</v>
      </c>
      <c r="S384" t="s">
        <v>275</v>
      </c>
      <c r="T384" t="s">
        <v>275</v>
      </c>
      <c r="U384" t="s">
        <v>275</v>
      </c>
      <c r="V384" t="s">
        <v>275</v>
      </c>
      <c r="W384" t="s">
        <v>275</v>
      </c>
      <c r="X384" t="s">
        <v>275</v>
      </c>
      <c r="Y384" t="s">
        <v>275</v>
      </c>
      <c r="Z384" t="s">
        <v>275</v>
      </c>
      <c r="AA384" t="s">
        <v>275</v>
      </c>
      <c r="AB384" t="s">
        <v>275</v>
      </c>
      <c r="AC384" t="s">
        <v>275</v>
      </c>
      <c r="AD384" t="s">
        <v>275</v>
      </c>
    </row>
    <row r="385" spans="1:30">
      <c r="A385">
        <v>383</v>
      </c>
      <c r="B385" t="s">
        <v>885</v>
      </c>
      <c r="C385" t="s">
        <v>886</v>
      </c>
      <c r="D385" t="str">
        <f>IF(VLOOKUP(C385,'Capabilities Overview'!$A$2:$A$587,1)=C385,"","Not in UCL")</f>
        <v>Not in UCL</v>
      </c>
      <c r="E385" t="s">
        <v>275</v>
      </c>
      <c r="F385" t="s">
        <v>275</v>
      </c>
      <c r="G385" t="s">
        <v>275</v>
      </c>
      <c r="H385" t="s">
        <v>275</v>
      </c>
      <c r="I385" t="s">
        <v>275</v>
      </c>
      <c r="J385" t="s">
        <v>275</v>
      </c>
      <c r="K385" t="s">
        <v>275</v>
      </c>
      <c r="L385" t="s">
        <v>275</v>
      </c>
      <c r="M385" t="s">
        <v>275</v>
      </c>
      <c r="N385" t="s">
        <v>275</v>
      </c>
      <c r="O385" t="s">
        <v>275</v>
      </c>
      <c r="P385" t="s">
        <v>275</v>
      </c>
      <c r="Q385" t="s">
        <v>275</v>
      </c>
      <c r="R385" t="s">
        <v>1</v>
      </c>
      <c r="S385" t="s">
        <v>275</v>
      </c>
      <c r="T385" t="s">
        <v>275</v>
      </c>
      <c r="U385" t="s">
        <v>275</v>
      </c>
      <c r="V385" t="s">
        <v>275</v>
      </c>
      <c r="W385" t="s">
        <v>275</v>
      </c>
      <c r="X385" t="s">
        <v>275</v>
      </c>
      <c r="Y385" t="s">
        <v>275</v>
      </c>
      <c r="Z385" t="s">
        <v>275</v>
      </c>
      <c r="AA385" t="s">
        <v>275</v>
      </c>
      <c r="AB385" t="s">
        <v>275</v>
      </c>
      <c r="AC385" t="s">
        <v>275</v>
      </c>
      <c r="AD385" t="s">
        <v>275</v>
      </c>
    </row>
    <row r="386" spans="1:30">
      <c r="A386">
        <v>384</v>
      </c>
      <c r="B386" t="s">
        <v>887</v>
      </c>
      <c r="C386" t="s">
        <v>888</v>
      </c>
      <c r="D386" t="str">
        <f>IF(VLOOKUP(C386,'Capabilities Overview'!$A$2:$A$587,1)=C386,"","Not in UCL")</f>
        <v>Not in UCL</v>
      </c>
      <c r="E386" t="s">
        <v>1</v>
      </c>
      <c r="F386" t="s">
        <v>275</v>
      </c>
      <c r="G386" t="s">
        <v>275</v>
      </c>
      <c r="H386" t="s">
        <v>275</v>
      </c>
      <c r="I386" t="s">
        <v>275</v>
      </c>
      <c r="J386" t="s">
        <v>275</v>
      </c>
      <c r="K386" t="s">
        <v>275</v>
      </c>
      <c r="L386" t="s">
        <v>275</v>
      </c>
      <c r="M386" t="s">
        <v>275</v>
      </c>
      <c r="N386" t="s">
        <v>275</v>
      </c>
      <c r="O386" t="s">
        <v>275</v>
      </c>
      <c r="P386" t="s">
        <v>275</v>
      </c>
      <c r="Q386" t="s">
        <v>275</v>
      </c>
      <c r="R386" t="s">
        <v>275</v>
      </c>
      <c r="S386" t="s">
        <v>275</v>
      </c>
      <c r="T386" t="s">
        <v>275</v>
      </c>
      <c r="U386" t="s">
        <v>275</v>
      </c>
      <c r="V386" t="s">
        <v>275</v>
      </c>
      <c r="W386" t="s">
        <v>275</v>
      </c>
      <c r="X386" t="s">
        <v>275</v>
      </c>
      <c r="Y386" t="s">
        <v>275</v>
      </c>
      <c r="Z386" t="s">
        <v>1</v>
      </c>
      <c r="AA386" t="s">
        <v>275</v>
      </c>
      <c r="AB386" t="s">
        <v>275</v>
      </c>
      <c r="AC386" t="s">
        <v>275</v>
      </c>
      <c r="AD386" t="s">
        <v>275</v>
      </c>
    </row>
    <row r="387" spans="1:30">
      <c r="A387">
        <v>385</v>
      </c>
      <c r="B387" t="s">
        <v>889</v>
      </c>
      <c r="C387" t="s">
        <v>890</v>
      </c>
      <c r="D387" t="str">
        <f>IF(VLOOKUP(C387,'Capabilities Overview'!$A$2:$A$587,1)=C387,"","Not in UCL")</f>
        <v>Not in UCL</v>
      </c>
      <c r="E387" t="s">
        <v>1</v>
      </c>
      <c r="F387" t="s">
        <v>275</v>
      </c>
      <c r="G387" t="s">
        <v>275</v>
      </c>
      <c r="H387" t="s">
        <v>275</v>
      </c>
      <c r="I387" t="s">
        <v>275</v>
      </c>
      <c r="J387" t="s">
        <v>275</v>
      </c>
      <c r="K387" t="s">
        <v>275</v>
      </c>
      <c r="L387" t="s">
        <v>275</v>
      </c>
      <c r="M387" t="s">
        <v>275</v>
      </c>
      <c r="N387" t="s">
        <v>275</v>
      </c>
      <c r="O387" t="s">
        <v>275</v>
      </c>
      <c r="P387" t="s">
        <v>275</v>
      </c>
      <c r="Q387" t="s">
        <v>275</v>
      </c>
      <c r="R387" t="s">
        <v>275</v>
      </c>
      <c r="S387" t="s">
        <v>275</v>
      </c>
      <c r="T387" t="s">
        <v>275</v>
      </c>
      <c r="U387" t="s">
        <v>275</v>
      </c>
      <c r="V387" t="s">
        <v>275</v>
      </c>
      <c r="W387" t="s">
        <v>275</v>
      </c>
      <c r="X387" t="s">
        <v>275</v>
      </c>
      <c r="Y387" t="s">
        <v>1</v>
      </c>
      <c r="Z387" t="s">
        <v>275</v>
      </c>
      <c r="AA387" t="s">
        <v>275</v>
      </c>
      <c r="AB387" t="s">
        <v>275</v>
      </c>
      <c r="AC387" t="s">
        <v>275</v>
      </c>
      <c r="AD387" t="s">
        <v>275</v>
      </c>
    </row>
    <row r="388" spans="1:30">
      <c r="A388">
        <v>386</v>
      </c>
      <c r="B388" t="s">
        <v>891</v>
      </c>
      <c r="C388" t="s">
        <v>892</v>
      </c>
      <c r="D388" t="str">
        <f>IF(VLOOKUP(C388,'Capabilities Overview'!$A$2:$A$587,1)=C388,"","Not in UCL")</f>
        <v>Not in UCL</v>
      </c>
      <c r="E388" t="s">
        <v>1</v>
      </c>
      <c r="F388" t="s">
        <v>275</v>
      </c>
      <c r="G388" t="s">
        <v>275</v>
      </c>
      <c r="H388" t="s">
        <v>275</v>
      </c>
      <c r="I388" t="s">
        <v>275</v>
      </c>
      <c r="J388" t="s">
        <v>275</v>
      </c>
      <c r="K388" t="s">
        <v>275</v>
      </c>
      <c r="L388" t="s">
        <v>275</v>
      </c>
      <c r="M388" t="s">
        <v>275</v>
      </c>
      <c r="N388" t="s">
        <v>275</v>
      </c>
      <c r="O388" t="s">
        <v>275</v>
      </c>
      <c r="P388" t="s">
        <v>275</v>
      </c>
      <c r="Q388" t="s">
        <v>275</v>
      </c>
      <c r="R388" t="s">
        <v>275</v>
      </c>
      <c r="S388" t="s">
        <v>275</v>
      </c>
      <c r="T388" t="s">
        <v>275</v>
      </c>
      <c r="U388" t="s">
        <v>275</v>
      </c>
      <c r="V388" t="s">
        <v>275</v>
      </c>
      <c r="W388" t="s">
        <v>275</v>
      </c>
      <c r="X388" t="s">
        <v>1</v>
      </c>
      <c r="Y388" t="s">
        <v>275</v>
      </c>
      <c r="Z388" t="s">
        <v>275</v>
      </c>
      <c r="AA388" t="s">
        <v>275</v>
      </c>
      <c r="AB388" t="s">
        <v>275</v>
      </c>
      <c r="AC388" t="s">
        <v>275</v>
      </c>
      <c r="AD388" t="s">
        <v>275</v>
      </c>
    </row>
    <row r="389" spans="1:30">
      <c r="A389">
        <v>387</v>
      </c>
      <c r="B389" t="s">
        <v>893</v>
      </c>
      <c r="C389" t="s">
        <v>894</v>
      </c>
      <c r="D389" t="str">
        <f>IF(VLOOKUP(C389,'Capabilities Overview'!$A$2:$A$587,1)=C389,"","Not in UCL")</f>
        <v/>
      </c>
      <c r="E389" t="s">
        <v>1</v>
      </c>
      <c r="F389" t="s">
        <v>1</v>
      </c>
      <c r="G389" t="s">
        <v>275</v>
      </c>
      <c r="H389" t="s">
        <v>275</v>
      </c>
      <c r="I389" t="s">
        <v>275</v>
      </c>
      <c r="J389" t="s">
        <v>275</v>
      </c>
      <c r="K389" t="s">
        <v>275</v>
      </c>
      <c r="L389" t="s">
        <v>275</v>
      </c>
      <c r="M389" t="s">
        <v>1</v>
      </c>
      <c r="N389" t="s">
        <v>1</v>
      </c>
      <c r="O389" t="s">
        <v>1</v>
      </c>
      <c r="P389" t="s">
        <v>275</v>
      </c>
      <c r="Q389" t="s">
        <v>1</v>
      </c>
      <c r="R389" t="s">
        <v>1</v>
      </c>
      <c r="S389" t="s">
        <v>275</v>
      </c>
      <c r="T389" t="s">
        <v>275</v>
      </c>
      <c r="U389" t="s">
        <v>275</v>
      </c>
      <c r="V389" t="s">
        <v>275</v>
      </c>
      <c r="W389" t="s">
        <v>275</v>
      </c>
      <c r="X389" t="s">
        <v>275</v>
      </c>
      <c r="Y389" t="s">
        <v>275</v>
      </c>
      <c r="Z389" t="s">
        <v>275</v>
      </c>
      <c r="AA389" t="s">
        <v>275</v>
      </c>
      <c r="AB389" t="s">
        <v>275</v>
      </c>
      <c r="AC389" t="s">
        <v>275</v>
      </c>
      <c r="AD389" t="s">
        <v>275</v>
      </c>
    </row>
    <row r="390" spans="1:30">
      <c r="A390">
        <v>388</v>
      </c>
      <c r="B390" t="s">
        <v>895</v>
      </c>
      <c r="C390" t="s">
        <v>896</v>
      </c>
      <c r="D390" t="str">
        <f>IF(VLOOKUP(C390,'Capabilities Overview'!$A$2:$A$587,1)=C390,"","Not in UCL")</f>
        <v/>
      </c>
      <c r="E390" t="s">
        <v>1</v>
      </c>
      <c r="F390" t="s">
        <v>1</v>
      </c>
      <c r="G390" t="s">
        <v>275</v>
      </c>
      <c r="H390" t="s">
        <v>275</v>
      </c>
      <c r="I390" t="s">
        <v>275</v>
      </c>
      <c r="J390" t="s">
        <v>275</v>
      </c>
      <c r="K390" t="s">
        <v>275</v>
      </c>
      <c r="L390" t="s">
        <v>275</v>
      </c>
      <c r="M390" t="s">
        <v>1</v>
      </c>
      <c r="N390" t="s">
        <v>1</v>
      </c>
      <c r="O390" t="s">
        <v>1</v>
      </c>
      <c r="P390" t="s">
        <v>1</v>
      </c>
      <c r="Q390" t="s">
        <v>1</v>
      </c>
      <c r="R390" t="s">
        <v>275</v>
      </c>
      <c r="S390" t="s">
        <v>275</v>
      </c>
      <c r="T390" t="s">
        <v>275</v>
      </c>
      <c r="U390" t="s">
        <v>275</v>
      </c>
      <c r="V390" t="s">
        <v>275</v>
      </c>
      <c r="W390" t="s">
        <v>275</v>
      </c>
      <c r="X390" t="s">
        <v>275</v>
      </c>
      <c r="Y390" t="s">
        <v>275</v>
      </c>
      <c r="Z390" t="s">
        <v>275</v>
      </c>
      <c r="AA390" t="s">
        <v>275</v>
      </c>
      <c r="AB390" t="s">
        <v>275</v>
      </c>
      <c r="AC390" t="s">
        <v>275</v>
      </c>
      <c r="AD390" t="s">
        <v>275</v>
      </c>
    </row>
    <row r="391" spans="1:30">
      <c r="A391">
        <v>389</v>
      </c>
      <c r="B391" t="s">
        <v>897</v>
      </c>
      <c r="C391" t="s">
        <v>898</v>
      </c>
      <c r="D391" t="str">
        <f>IF(VLOOKUP(C391,'Capabilities Overview'!$A$2:$A$587,1)=C391,"","Not in UCL")</f>
        <v/>
      </c>
      <c r="E391" t="s">
        <v>1</v>
      </c>
      <c r="F391" t="s">
        <v>1</v>
      </c>
      <c r="G391" t="s">
        <v>275</v>
      </c>
      <c r="H391" t="s">
        <v>275</v>
      </c>
      <c r="I391" t="s">
        <v>1</v>
      </c>
      <c r="J391" t="s">
        <v>275</v>
      </c>
      <c r="K391" t="s">
        <v>275</v>
      </c>
      <c r="L391" t="s">
        <v>275</v>
      </c>
      <c r="M391" t="s">
        <v>1</v>
      </c>
      <c r="N391" t="s">
        <v>1</v>
      </c>
      <c r="O391" t="s">
        <v>1</v>
      </c>
      <c r="P391" t="s">
        <v>275</v>
      </c>
      <c r="Q391" t="s">
        <v>1</v>
      </c>
      <c r="R391" t="s">
        <v>275</v>
      </c>
      <c r="S391" t="s">
        <v>275</v>
      </c>
      <c r="T391" t="s">
        <v>275</v>
      </c>
      <c r="U391" t="s">
        <v>275</v>
      </c>
      <c r="V391" t="s">
        <v>275</v>
      </c>
      <c r="W391" t="s">
        <v>275</v>
      </c>
      <c r="X391" t="s">
        <v>275</v>
      </c>
      <c r="Y391" t="s">
        <v>275</v>
      </c>
      <c r="Z391" t="s">
        <v>275</v>
      </c>
      <c r="AA391" t="s">
        <v>275</v>
      </c>
      <c r="AB391" t="s">
        <v>275</v>
      </c>
      <c r="AC391" t="s">
        <v>275</v>
      </c>
      <c r="AD391" t="s">
        <v>275</v>
      </c>
    </row>
    <row r="392" spans="1:30">
      <c r="A392">
        <v>390</v>
      </c>
      <c r="B392" t="s">
        <v>899</v>
      </c>
      <c r="C392" t="s">
        <v>900</v>
      </c>
      <c r="D392" t="str">
        <f>IF(VLOOKUP(C392,'Capabilities Overview'!$A$2:$A$587,1)=C392,"","Not in UCL")</f>
        <v/>
      </c>
      <c r="E392" t="s">
        <v>1</v>
      </c>
      <c r="F392" t="s">
        <v>1</v>
      </c>
      <c r="G392" t="s">
        <v>275</v>
      </c>
      <c r="H392" t="s">
        <v>275</v>
      </c>
      <c r="I392" t="s">
        <v>275</v>
      </c>
      <c r="J392" t="s">
        <v>275</v>
      </c>
      <c r="K392" t="s">
        <v>275</v>
      </c>
      <c r="L392" t="s">
        <v>275</v>
      </c>
      <c r="M392" t="s">
        <v>1</v>
      </c>
      <c r="N392" t="s">
        <v>1</v>
      </c>
      <c r="O392" t="s">
        <v>1</v>
      </c>
      <c r="P392" t="s">
        <v>275</v>
      </c>
      <c r="Q392" t="s">
        <v>275</v>
      </c>
      <c r="R392" t="s">
        <v>275</v>
      </c>
      <c r="S392" t="s">
        <v>275</v>
      </c>
      <c r="T392" t="s">
        <v>275</v>
      </c>
      <c r="U392" t="s">
        <v>275</v>
      </c>
      <c r="V392" t="s">
        <v>275</v>
      </c>
      <c r="W392" t="s">
        <v>10</v>
      </c>
      <c r="X392" t="s">
        <v>275</v>
      </c>
      <c r="Y392" t="s">
        <v>275</v>
      </c>
      <c r="Z392" t="s">
        <v>275</v>
      </c>
      <c r="AA392" t="s">
        <v>275</v>
      </c>
      <c r="AB392" t="s">
        <v>275</v>
      </c>
      <c r="AC392" t="s">
        <v>275</v>
      </c>
      <c r="AD392" t="s">
        <v>275</v>
      </c>
    </row>
    <row r="393" spans="1:30">
      <c r="A393">
        <v>391</v>
      </c>
      <c r="B393" t="s">
        <v>901</v>
      </c>
      <c r="C393" t="s">
        <v>902</v>
      </c>
      <c r="D393" t="str">
        <f>IF(VLOOKUP(C393,'Capabilities Overview'!$A$2:$A$587,1)=C393,"","Not in UCL")</f>
        <v/>
      </c>
      <c r="E393" t="s">
        <v>1</v>
      </c>
      <c r="F393" t="s">
        <v>1</v>
      </c>
      <c r="G393" t="s">
        <v>275</v>
      </c>
      <c r="H393" t="s">
        <v>275</v>
      </c>
      <c r="I393" t="s">
        <v>275</v>
      </c>
      <c r="J393" t="s">
        <v>275</v>
      </c>
      <c r="K393" t="s">
        <v>275</v>
      </c>
      <c r="L393" t="s">
        <v>275</v>
      </c>
      <c r="M393" t="s">
        <v>1</v>
      </c>
      <c r="N393" t="s">
        <v>1</v>
      </c>
      <c r="O393" t="s">
        <v>1</v>
      </c>
      <c r="P393" t="s">
        <v>275</v>
      </c>
      <c r="Q393" t="s">
        <v>275</v>
      </c>
      <c r="R393" t="s">
        <v>275</v>
      </c>
      <c r="S393" t="s">
        <v>275</v>
      </c>
      <c r="T393" t="s">
        <v>275</v>
      </c>
      <c r="U393" t="s">
        <v>275</v>
      </c>
      <c r="V393" t="s">
        <v>275</v>
      </c>
      <c r="W393" t="s">
        <v>10</v>
      </c>
      <c r="X393" t="s">
        <v>275</v>
      </c>
      <c r="Y393" t="s">
        <v>275</v>
      </c>
      <c r="Z393" t="s">
        <v>275</v>
      </c>
      <c r="AA393" t="s">
        <v>275</v>
      </c>
      <c r="AB393" t="s">
        <v>275</v>
      </c>
      <c r="AC393" t="s">
        <v>275</v>
      </c>
      <c r="AD393" t="s">
        <v>275</v>
      </c>
    </row>
    <row r="394" spans="1:30">
      <c r="A394">
        <v>392</v>
      </c>
      <c r="B394" t="s">
        <v>903</v>
      </c>
      <c r="C394" t="s">
        <v>904</v>
      </c>
      <c r="D394" t="str">
        <f>IF(VLOOKUP(C394,'Capabilities Overview'!$A$2:$A$587,1)=C394,"","Not in UCL")</f>
        <v/>
      </c>
      <c r="E394" t="s">
        <v>1</v>
      </c>
      <c r="F394" t="s">
        <v>1</v>
      </c>
      <c r="G394" t="s">
        <v>275</v>
      </c>
      <c r="H394" t="s">
        <v>275</v>
      </c>
      <c r="I394" t="s">
        <v>275</v>
      </c>
      <c r="J394" t="s">
        <v>275</v>
      </c>
      <c r="K394" t="s">
        <v>275</v>
      </c>
      <c r="L394" t="s">
        <v>275</v>
      </c>
      <c r="M394" t="s">
        <v>1</v>
      </c>
      <c r="N394" t="s">
        <v>1</v>
      </c>
      <c r="O394" t="s">
        <v>1</v>
      </c>
      <c r="P394" t="s">
        <v>275</v>
      </c>
      <c r="Q394" t="s">
        <v>275</v>
      </c>
      <c r="R394" t="s">
        <v>275</v>
      </c>
      <c r="S394" t="s">
        <v>275</v>
      </c>
      <c r="T394" t="s">
        <v>275</v>
      </c>
      <c r="U394" t="s">
        <v>275</v>
      </c>
      <c r="V394" t="s">
        <v>275</v>
      </c>
      <c r="W394" t="s">
        <v>10</v>
      </c>
      <c r="X394" t="s">
        <v>275</v>
      </c>
      <c r="Y394" t="s">
        <v>275</v>
      </c>
      <c r="Z394" t="s">
        <v>275</v>
      </c>
      <c r="AA394" t="s">
        <v>275</v>
      </c>
      <c r="AB394" t="s">
        <v>275</v>
      </c>
      <c r="AC394" t="s">
        <v>275</v>
      </c>
      <c r="AD394" t="s">
        <v>275</v>
      </c>
    </row>
    <row r="395" spans="1:30">
      <c r="A395">
        <v>393</v>
      </c>
      <c r="B395" t="s">
        <v>905</v>
      </c>
      <c r="C395" t="s">
        <v>906</v>
      </c>
      <c r="D395" t="str">
        <f>IF(VLOOKUP(C395,'Capabilities Overview'!$A$2:$A$587,1)=C395,"","Not in UCL")</f>
        <v/>
      </c>
      <c r="E395" t="s">
        <v>1</v>
      </c>
      <c r="F395" t="s">
        <v>1</v>
      </c>
      <c r="G395" t="s">
        <v>275</v>
      </c>
      <c r="H395" t="s">
        <v>275</v>
      </c>
      <c r="I395" t="s">
        <v>275</v>
      </c>
      <c r="J395" t="s">
        <v>275</v>
      </c>
      <c r="K395" t="s">
        <v>275</v>
      </c>
      <c r="L395" t="s">
        <v>275</v>
      </c>
      <c r="M395" t="s">
        <v>1</v>
      </c>
      <c r="N395" t="s">
        <v>1</v>
      </c>
      <c r="O395" t="s">
        <v>1</v>
      </c>
      <c r="P395" t="s">
        <v>275</v>
      </c>
      <c r="Q395" t="s">
        <v>275</v>
      </c>
      <c r="R395" t="s">
        <v>275</v>
      </c>
      <c r="S395" t="s">
        <v>275</v>
      </c>
      <c r="T395" t="s">
        <v>275</v>
      </c>
      <c r="U395" t="s">
        <v>275</v>
      </c>
      <c r="V395" t="s">
        <v>275</v>
      </c>
      <c r="W395" t="s">
        <v>275</v>
      </c>
      <c r="X395" t="s">
        <v>275</v>
      </c>
      <c r="Y395" t="s">
        <v>275</v>
      </c>
      <c r="Z395" t="s">
        <v>275</v>
      </c>
      <c r="AA395" t="s">
        <v>275</v>
      </c>
      <c r="AB395" t="s">
        <v>275</v>
      </c>
      <c r="AC395" t="s">
        <v>275</v>
      </c>
      <c r="AD395" t="s">
        <v>275</v>
      </c>
    </row>
    <row r="396" spans="1:30">
      <c r="A396">
        <v>394</v>
      </c>
      <c r="B396" t="s">
        <v>907</v>
      </c>
      <c r="C396" t="s">
        <v>908</v>
      </c>
      <c r="D396" t="str">
        <f>IF(VLOOKUP(C396,'Capabilities Overview'!$A$2:$A$587,1)=C396,"","Not in UCL")</f>
        <v/>
      </c>
      <c r="E396" t="s">
        <v>1</v>
      </c>
      <c r="F396" t="s">
        <v>1</v>
      </c>
      <c r="G396" t="s">
        <v>275</v>
      </c>
      <c r="H396" t="s">
        <v>275</v>
      </c>
      <c r="I396" t="s">
        <v>275</v>
      </c>
      <c r="J396" t="s">
        <v>275</v>
      </c>
      <c r="K396" t="s">
        <v>275</v>
      </c>
      <c r="L396" t="s">
        <v>275</v>
      </c>
      <c r="M396" t="s">
        <v>1</v>
      </c>
      <c r="N396" t="s">
        <v>1</v>
      </c>
      <c r="O396" t="s">
        <v>1</v>
      </c>
      <c r="P396" t="s">
        <v>275</v>
      </c>
      <c r="Q396" t="s">
        <v>275</v>
      </c>
      <c r="R396" t="s">
        <v>275</v>
      </c>
      <c r="S396" t="s">
        <v>275</v>
      </c>
      <c r="T396" t="s">
        <v>275</v>
      </c>
      <c r="U396" t="s">
        <v>275</v>
      </c>
      <c r="V396" t="s">
        <v>275</v>
      </c>
      <c r="W396" t="s">
        <v>10</v>
      </c>
      <c r="X396" t="s">
        <v>275</v>
      </c>
      <c r="Y396" t="s">
        <v>275</v>
      </c>
      <c r="Z396" t="s">
        <v>275</v>
      </c>
      <c r="AA396" t="s">
        <v>275</v>
      </c>
      <c r="AB396" t="s">
        <v>275</v>
      </c>
      <c r="AC396" t="s">
        <v>275</v>
      </c>
      <c r="AD396" t="s">
        <v>275</v>
      </c>
    </row>
    <row r="397" spans="1:30">
      <c r="A397">
        <v>395</v>
      </c>
      <c r="B397" t="s">
        <v>909</v>
      </c>
      <c r="C397" t="s">
        <v>910</v>
      </c>
      <c r="D397" t="str">
        <f>IF(VLOOKUP(C397,'Capabilities Overview'!$A$2:$A$587,1)=C397,"","Not in UCL")</f>
        <v/>
      </c>
      <c r="E397" t="s">
        <v>275</v>
      </c>
      <c r="F397" t="s">
        <v>1</v>
      </c>
      <c r="G397" t="s">
        <v>275</v>
      </c>
      <c r="H397" t="s">
        <v>275</v>
      </c>
      <c r="I397" t="s">
        <v>275</v>
      </c>
      <c r="J397" t="s">
        <v>275</v>
      </c>
      <c r="K397" t="s">
        <v>275</v>
      </c>
      <c r="L397" t="s">
        <v>275</v>
      </c>
      <c r="M397" t="s">
        <v>275</v>
      </c>
      <c r="N397" t="s">
        <v>275</v>
      </c>
      <c r="O397" t="s">
        <v>275</v>
      </c>
      <c r="P397" t="s">
        <v>1</v>
      </c>
      <c r="Q397" t="s">
        <v>275</v>
      </c>
      <c r="R397" t="s">
        <v>1</v>
      </c>
      <c r="S397" t="s">
        <v>275</v>
      </c>
      <c r="T397" t="s">
        <v>275</v>
      </c>
      <c r="U397" t="s">
        <v>275</v>
      </c>
      <c r="V397" t="s">
        <v>275</v>
      </c>
      <c r="W397" t="s">
        <v>275</v>
      </c>
      <c r="X397" t="s">
        <v>275</v>
      </c>
      <c r="Y397" t="s">
        <v>275</v>
      </c>
      <c r="Z397" t="s">
        <v>275</v>
      </c>
      <c r="AA397" t="s">
        <v>275</v>
      </c>
      <c r="AB397" t="s">
        <v>275</v>
      </c>
      <c r="AC397" t="s">
        <v>275</v>
      </c>
      <c r="AD397" t="s">
        <v>275</v>
      </c>
    </row>
    <row r="398" spans="1:30">
      <c r="A398">
        <v>396</v>
      </c>
      <c r="B398" t="s">
        <v>911</v>
      </c>
      <c r="C398" t="s">
        <v>912</v>
      </c>
      <c r="D398" t="str">
        <f>IF(VLOOKUP(C398,'Capabilities Overview'!$A$2:$A$587,1)=C398,"","Not in UCL")</f>
        <v/>
      </c>
      <c r="E398" t="s">
        <v>1</v>
      </c>
      <c r="F398" t="s">
        <v>1</v>
      </c>
      <c r="G398" t="s">
        <v>275</v>
      </c>
      <c r="H398" t="s">
        <v>275</v>
      </c>
      <c r="I398" t="s">
        <v>275</v>
      </c>
      <c r="J398" t="s">
        <v>275</v>
      </c>
      <c r="K398" t="s">
        <v>275</v>
      </c>
      <c r="L398" t="s">
        <v>275</v>
      </c>
      <c r="M398" t="s">
        <v>1</v>
      </c>
      <c r="N398" t="s">
        <v>1</v>
      </c>
      <c r="O398" t="s">
        <v>1</v>
      </c>
      <c r="P398" t="s">
        <v>1</v>
      </c>
      <c r="Q398" t="s">
        <v>1</v>
      </c>
      <c r="R398" t="s">
        <v>1</v>
      </c>
      <c r="S398" t="s">
        <v>1</v>
      </c>
      <c r="T398" t="s">
        <v>275</v>
      </c>
      <c r="U398" t="s">
        <v>275</v>
      </c>
      <c r="V398" t="s">
        <v>275</v>
      </c>
      <c r="W398" t="s">
        <v>1</v>
      </c>
      <c r="X398" t="s">
        <v>275</v>
      </c>
      <c r="Y398" t="s">
        <v>275</v>
      </c>
      <c r="Z398" t="s">
        <v>275</v>
      </c>
      <c r="AA398" t="s">
        <v>275</v>
      </c>
      <c r="AB398" t="s">
        <v>275</v>
      </c>
      <c r="AC398" t="s">
        <v>275</v>
      </c>
      <c r="AD398" t="s">
        <v>275</v>
      </c>
    </row>
    <row r="399" spans="1:30">
      <c r="A399">
        <v>397</v>
      </c>
      <c r="B399" t="s">
        <v>893</v>
      </c>
      <c r="C399" t="s">
        <v>913</v>
      </c>
      <c r="D399" t="str">
        <f>IF(VLOOKUP(C399,'Capabilities Overview'!$A$2:$A$587,1)=C399,"","Not in UCL")</f>
        <v/>
      </c>
      <c r="E399" t="s">
        <v>1</v>
      </c>
      <c r="F399" t="s">
        <v>1</v>
      </c>
      <c r="G399" t="s">
        <v>275</v>
      </c>
      <c r="H399" t="s">
        <v>275</v>
      </c>
      <c r="I399" t="s">
        <v>275</v>
      </c>
      <c r="J399" t="s">
        <v>275</v>
      </c>
      <c r="K399" t="s">
        <v>275</v>
      </c>
      <c r="L399" t="s">
        <v>275</v>
      </c>
      <c r="M399" t="s">
        <v>275</v>
      </c>
      <c r="N399" t="s">
        <v>275</v>
      </c>
      <c r="O399" t="s">
        <v>1</v>
      </c>
      <c r="P399" t="s">
        <v>275</v>
      </c>
      <c r="Q399" t="s">
        <v>1</v>
      </c>
      <c r="R399" t="s">
        <v>1</v>
      </c>
      <c r="S399" t="s">
        <v>275</v>
      </c>
      <c r="T399" t="s">
        <v>275</v>
      </c>
      <c r="U399" t="s">
        <v>275</v>
      </c>
      <c r="V399" t="s">
        <v>275</v>
      </c>
      <c r="W399" t="s">
        <v>10</v>
      </c>
      <c r="X399" t="s">
        <v>275</v>
      </c>
      <c r="Y399" t="s">
        <v>275</v>
      </c>
      <c r="Z399" t="s">
        <v>275</v>
      </c>
      <c r="AA399" t="s">
        <v>275</v>
      </c>
      <c r="AB399" t="s">
        <v>275</v>
      </c>
      <c r="AC399" t="s">
        <v>275</v>
      </c>
      <c r="AD399" t="s">
        <v>275</v>
      </c>
    </row>
    <row r="400" spans="1:30">
      <c r="A400">
        <v>398</v>
      </c>
      <c r="B400" t="s">
        <v>895</v>
      </c>
      <c r="C400" t="s">
        <v>914</v>
      </c>
      <c r="D400" t="str">
        <f>IF(VLOOKUP(C400,'Capabilities Overview'!$A$2:$A$587,1)=C400,"","Not in UCL")</f>
        <v/>
      </c>
      <c r="E400" t="s">
        <v>1</v>
      </c>
      <c r="F400" t="s">
        <v>1</v>
      </c>
      <c r="G400" t="s">
        <v>275</v>
      </c>
      <c r="H400" t="s">
        <v>275</v>
      </c>
      <c r="I400" t="s">
        <v>275</v>
      </c>
      <c r="J400" t="s">
        <v>275</v>
      </c>
      <c r="K400" t="s">
        <v>275</v>
      </c>
      <c r="L400" t="s">
        <v>275</v>
      </c>
      <c r="M400" t="s">
        <v>1</v>
      </c>
      <c r="N400" t="s">
        <v>1</v>
      </c>
      <c r="O400" t="s">
        <v>1</v>
      </c>
      <c r="P400" t="s">
        <v>275</v>
      </c>
      <c r="Q400" t="s">
        <v>1</v>
      </c>
      <c r="R400" t="s">
        <v>275</v>
      </c>
      <c r="S400" t="s">
        <v>275</v>
      </c>
      <c r="T400" t="s">
        <v>275</v>
      </c>
      <c r="U400" t="s">
        <v>275</v>
      </c>
      <c r="V400" t="s">
        <v>275</v>
      </c>
      <c r="W400" t="s">
        <v>10</v>
      </c>
      <c r="X400" t="s">
        <v>275</v>
      </c>
      <c r="Y400" t="s">
        <v>275</v>
      </c>
      <c r="Z400" t="s">
        <v>275</v>
      </c>
      <c r="AA400" t="s">
        <v>275</v>
      </c>
      <c r="AB400" t="s">
        <v>275</v>
      </c>
      <c r="AC400" t="s">
        <v>275</v>
      </c>
      <c r="AD400" t="s">
        <v>275</v>
      </c>
    </row>
    <row r="401" spans="1:30">
      <c r="A401">
        <v>399</v>
      </c>
      <c r="B401" t="s">
        <v>909</v>
      </c>
      <c r="C401" t="s">
        <v>915</v>
      </c>
      <c r="D401" t="str">
        <f>IF(VLOOKUP(C401,'Capabilities Overview'!$A$2:$A$587,1)=C401,"","Not in UCL")</f>
        <v/>
      </c>
      <c r="E401" t="s">
        <v>275</v>
      </c>
      <c r="F401" t="s">
        <v>1</v>
      </c>
      <c r="G401" t="s">
        <v>275</v>
      </c>
      <c r="H401" t="s">
        <v>275</v>
      </c>
      <c r="I401" t="s">
        <v>275</v>
      </c>
      <c r="J401" t="s">
        <v>275</v>
      </c>
      <c r="K401" t="s">
        <v>275</v>
      </c>
      <c r="L401" t="s">
        <v>275</v>
      </c>
      <c r="M401" t="s">
        <v>275</v>
      </c>
      <c r="N401" t="s">
        <v>275</v>
      </c>
      <c r="O401" t="s">
        <v>275</v>
      </c>
      <c r="P401" t="s">
        <v>275</v>
      </c>
      <c r="Q401" t="s">
        <v>275</v>
      </c>
      <c r="R401" t="s">
        <v>1</v>
      </c>
      <c r="S401" t="s">
        <v>275</v>
      </c>
      <c r="T401" t="s">
        <v>275</v>
      </c>
      <c r="U401" t="s">
        <v>275</v>
      </c>
      <c r="V401" t="s">
        <v>275</v>
      </c>
      <c r="W401" t="s">
        <v>10</v>
      </c>
      <c r="X401" t="s">
        <v>275</v>
      </c>
      <c r="Y401" t="s">
        <v>275</v>
      </c>
      <c r="Z401" t="s">
        <v>275</v>
      </c>
      <c r="AA401" t="s">
        <v>275</v>
      </c>
      <c r="AB401" t="s">
        <v>275</v>
      </c>
      <c r="AC401" t="s">
        <v>275</v>
      </c>
      <c r="AD401" t="s">
        <v>275</v>
      </c>
    </row>
    <row r="402" spans="1:30">
      <c r="A402">
        <v>400</v>
      </c>
      <c r="B402" t="s">
        <v>911</v>
      </c>
      <c r="C402" t="s">
        <v>916</v>
      </c>
      <c r="D402" t="str">
        <f>IF(VLOOKUP(C402,'Capabilities Overview'!$A$2:$A$587,1)=C402,"","Not in UCL")</f>
        <v/>
      </c>
      <c r="E402" t="s">
        <v>1</v>
      </c>
      <c r="F402" t="s">
        <v>1</v>
      </c>
      <c r="G402" t="s">
        <v>275</v>
      </c>
      <c r="H402" t="s">
        <v>275</v>
      </c>
      <c r="I402" t="s">
        <v>275</v>
      </c>
      <c r="J402" t="s">
        <v>275</v>
      </c>
      <c r="K402" t="s">
        <v>275</v>
      </c>
      <c r="L402" t="s">
        <v>1</v>
      </c>
      <c r="M402" t="s">
        <v>1</v>
      </c>
      <c r="N402" t="s">
        <v>1</v>
      </c>
      <c r="O402" t="s">
        <v>1</v>
      </c>
      <c r="P402" t="s">
        <v>275</v>
      </c>
      <c r="Q402" t="s">
        <v>1</v>
      </c>
      <c r="R402" t="s">
        <v>1</v>
      </c>
      <c r="S402" t="s">
        <v>1</v>
      </c>
      <c r="T402" t="s">
        <v>275</v>
      </c>
      <c r="U402" t="s">
        <v>275</v>
      </c>
      <c r="V402" t="s">
        <v>275</v>
      </c>
      <c r="W402" t="s">
        <v>1</v>
      </c>
      <c r="X402" t="s">
        <v>275</v>
      </c>
      <c r="Y402" t="s">
        <v>275</v>
      </c>
      <c r="Z402" t="s">
        <v>275</v>
      </c>
      <c r="AA402" t="s">
        <v>275</v>
      </c>
      <c r="AB402" t="s">
        <v>275</v>
      </c>
      <c r="AC402" t="s">
        <v>275</v>
      </c>
      <c r="AD402" t="s">
        <v>275</v>
      </c>
    </row>
    <row r="403" spans="1:30">
      <c r="A403">
        <v>401</v>
      </c>
      <c r="B403" t="s">
        <v>917</v>
      </c>
      <c r="C403" t="s">
        <v>918</v>
      </c>
      <c r="D403" t="str">
        <f>IF(VLOOKUP(C403,'Capabilities Overview'!$A$2:$A$587,1)=C403,"","Not in UCL")</f>
        <v>Not in UCL</v>
      </c>
      <c r="E403" t="s">
        <v>275</v>
      </c>
      <c r="F403" t="s">
        <v>1</v>
      </c>
      <c r="G403" t="s">
        <v>275</v>
      </c>
      <c r="H403" t="s">
        <v>275</v>
      </c>
      <c r="I403" t="s">
        <v>275</v>
      </c>
      <c r="J403" t="s">
        <v>275</v>
      </c>
      <c r="K403" t="s">
        <v>275</v>
      </c>
      <c r="L403" t="s">
        <v>275</v>
      </c>
      <c r="M403" t="s">
        <v>275</v>
      </c>
      <c r="N403" t="s">
        <v>275</v>
      </c>
      <c r="O403" t="s">
        <v>275</v>
      </c>
      <c r="P403" t="s">
        <v>275</v>
      </c>
      <c r="Q403" t="s">
        <v>275</v>
      </c>
      <c r="R403" t="s">
        <v>1</v>
      </c>
      <c r="S403" t="s">
        <v>275</v>
      </c>
      <c r="T403" t="s">
        <v>275</v>
      </c>
      <c r="U403" t="s">
        <v>275</v>
      </c>
      <c r="V403" t="s">
        <v>275</v>
      </c>
      <c r="W403" t="s">
        <v>10</v>
      </c>
      <c r="X403" t="s">
        <v>275</v>
      </c>
      <c r="Y403" t="s">
        <v>275</v>
      </c>
      <c r="Z403" t="s">
        <v>275</v>
      </c>
      <c r="AA403" t="s">
        <v>275</v>
      </c>
      <c r="AB403" t="s">
        <v>275</v>
      </c>
      <c r="AC403" t="s">
        <v>275</v>
      </c>
      <c r="AD403" t="s">
        <v>275</v>
      </c>
    </row>
    <row r="404" spans="1:30">
      <c r="A404">
        <v>402</v>
      </c>
      <c r="B404" t="s">
        <v>919</v>
      </c>
      <c r="C404" t="s">
        <v>920</v>
      </c>
      <c r="D404" t="str">
        <f>IF(VLOOKUP(C404,'Capabilities Overview'!$A$2:$A$587,1)=C404,"","Not in UCL")</f>
        <v>Not in UCL</v>
      </c>
      <c r="E404" t="s">
        <v>1</v>
      </c>
      <c r="F404" t="s">
        <v>1</v>
      </c>
      <c r="G404" t="s">
        <v>275</v>
      </c>
      <c r="H404" t="s">
        <v>275</v>
      </c>
      <c r="I404" t="s">
        <v>275</v>
      </c>
      <c r="J404" t="s">
        <v>275</v>
      </c>
      <c r="K404" t="s">
        <v>275</v>
      </c>
      <c r="L404" t="s">
        <v>275</v>
      </c>
      <c r="M404" t="s">
        <v>1</v>
      </c>
      <c r="N404" t="s">
        <v>1</v>
      </c>
      <c r="O404" t="s">
        <v>1</v>
      </c>
      <c r="P404" t="s">
        <v>275</v>
      </c>
      <c r="Q404" t="s">
        <v>1</v>
      </c>
      <c r="R404" t="s">
        <v>275</v>
      </c>
      <c r="S404" t="s">
        <v>275</v>
      </c>
      <c r="T404" t="s">
        <v>275</v>
      </c>
      <c r="U404" t="s">
        <v>275</v>
      </c>
      <c r="V404" t="s">
        <v>275</v>
      </c>
      <c r="W404" t="s">
        <v>10</v>
      </c>
      <c r="X404" t="s">
        <v>275</v>
      </c>
      <c r="Y404" t="s">
        <v>275</v>
      </c>
      <c r="Z404" t="s">
        <v>275</v>
      </c>
      <c r="AA404" t="s">
        <v>275</v>
      </c>
      <c r="AB404" t="s">
        <v>275</v>
      </c>
      <c r="AC404" t="s">
        <v>275</v>
      </c>
      <c r="AD404" t="s">
        <v>275</v>
      </c>
    </row>
    <row r="405" spans="1:30">
      <c r="A405">
        <v>403</v>
      </c>
      <c r="B405" t="s">
        <v>921</v>
      </c>
      <c r="C405" t="s">
        <v>922</v>
      </c>
      <c r="D405" t="str">
        <f>IF(VLOOKUP(C405,'Capabilities Overview'!$A$2:$A$587,1)=C405,"","Not in UCL")</f>
        <v>Not in UCL</v>
      </c>
      <c r="E405" t="s">
        <v>1</v>
      </c>
      <c r="F405" t="s">
        <v>1</v>
      </c>
      <c r="G405" t="s">
        <v>275</v>
      </c>
      <c r="H405" t="s">
        <v>275</v>
      </c>
      <c r="I405" t="s">
        <v>275</v>
      </c>
      <c r="J405" t="s">
        <v>275</v>
      </c>
      <c r="K405" t="s">
        <v>275</v>
      </c>
      <c r="L405" t="s">
        <v>275</v>
      </c>
      <c r="M405" t="s">
        <v>1</v>
      </c>
      <c r="N405" t="s">
        <v>1</v>
      </c>
      <c r="O405" t="s">
        <v>1</v>
      </c>
      <c r="P405" t="s">
        <v>275</v>
      </c>
      <c r="Q405" t="s">
        <v>275</v>
      </c>
      <c r="R405" t="s">
        <v>275</v>
      </c>
      <c r="S405" t="s">
        <v>275</v>
      </c>
      <c r="T405" t="s">
        <v>275</v>
      </c>
      <c r="U405" t="s">
        <v>275</v>
      </c>
      <c r="V405" t="s">
        <v>275</v>
      </c>
      <c r="W405" t="s">
        <v>10</v>
      </c>
      <c r="X405" t="s">
        <v>275</v>
      </c>
      <c r="Y405" t="s">
        <v>275</v>
      </c>
      <c r="Z405" t="s">
        <v>275</v>
      </c>
      <c r="AA405" t="s">
        <v>275</v>
      </c>
      <c r="AB405" t="s">
        <v>275</v>
      </c>
      <c r="AC405" t="s">
        <v>275</v>
      </c>
      <c r="AD405" t="s">
        <v>275</v>
      </c>
    </row>
    <row r="406" spans="1:30">
      <c r="A406">
        <v>404</v>
      </c>
      <c r="B406" t="s">
        <v>923</v>
      </c>
      <c r="C406" t="s">
        <v>924</v>
      </c>
      <c r="D406" t="str">
        <f>IF(VLOOKUP(C406,'Capabilities Overview'!$A$2:$A$587,1)=C406,"","Not in UCL")</f>
        <v>Not in UCL</v>
      </c>
      <c r="E406" t="s">
        <v>1</v>
      </c>
      <c r="F406" t="s">
        <v>1</v>
      </c>
      <c r="G406" t="s">
        <v>275</v>
      </c>
      <c r="H406" t="s">
        <v>275</v>
      </c>
      <c r="I406" t="s">
        <v>275</v>
      </c>
      <c r="J406" t="s">
        <v>275</v>
      </c>
      <c r="K406" t="s">
        <v>275</v>
      </c>
      <c r="L406" t="s">
        <v>275</v>
      </c>
      <c r="M406" t="s">
        <v>1</v>
      </c>
      <c r="N406" t="s">
        <v>1</v>
      </c>
      <c r="O406" t="s">
        <v>1</v>
      </c>
      <c r="P406" t="s">
        <v>275</v>
      </c>
      <c r="Q406" t="s">
        <v>275</v>
      </c>
      <c r="R406" t="s">
        <v>275</v>
      </c>
      <c r="S406" t="s">
        <v>275</v>
      </c>
      <c r="T406" t="s">
        <v>275</v>
      </c>
      <c r="U406" t="s">
        <v>275</v>
      </c>
      <c r="V406" t="s">
        <v>275</v>
      </c>
      <c r="W406" t="s">
        <v>10</v>
      </c>
      <c r="X406" t="s">
        <v>275</v>
      </c>
      <c r="Y406" t="s">
        <v>275</v>
      </c>
      <c r="Z406" t="s">
        <v>275</v>
      </c>
      <c r="AA406" t="s">
        <v>275</v>
      </c>
      <c r="AB406" t="s">
        <v>275</v>
      </c>
      <c r="AC406" t="s">
        <v>275</v>
      </c>
      <c r="AD406" t="s">
        <v>275</v>
      </c>
    </row>
    <row r="407" spans="1:30">
      <c r="A407">
        <v>405</v>
      </c>
      <c r="B407" t="s">
        <v>925</v>
      </c>
      <c r="C407" t="s">
        <v>926</v>
      </c>
      <c r="D407" t="str">
        <f>IF(VLOOKUP(C407,'Capabilities Overview'!$A$2:$A$587,1)=C407,"","Not in UCL")</f>
        <v>Not in UCL</v>
      </c>
      <c r="E407" t="s">
        <v>1</v>
      </c>
      <c r="F407" t="s">
        <v>1</v>
      </c>
      <c r="G407" t="s">
        <v>275</v>
      </c>
      <c r="H407" t="s">
        <v>275</v>
      </c>
      <c r="I407" t="s">
        <v>275</v>
      </c>
      <c r="J407" t="s">
        <v>275</v>
      </c>
      <c r="K407" t="s">
        <v>275</v>
      </c>
      <c r="L407" t="s">
        <v>275</v>
      </c>
      <c r="M407" t="s">
        <v>1</v>
      </c>
      <c r="N407" t="s">
        <v>1</v>
      </c>
      <c r="O407" t="s">
        <v>1</v>
      </c>
      <c r="P407" t="s">
        <v>275</v>
      </c>
      <c r="Q407" t="s">
        <v>275</v>
      </c>
      <c r="R407" t="s">
        <v>275</v>
      </c>
      <c r="S407" t="s">
        <v>275</v>
      </c>
      <c r="T407" t="s">
        <v>275</v>
      </c>
      <c r="U407" t="s">
        <v>275</v>
      </c>
      <c r="V407" t="s">
        <v>275</v>
      </c>
      <c r="W407" t="s">
        <v>10</v>
      </c>
      <c r="X407" t="s">
        <v>275</v>
      </c>
      <c r="Y407" t="s">
        <v>275</v>
      </c>
      <c r="Z407" t="s">
        <v>275</v>
      </c>
      <c r="AA407" t="s">
        <v>275</v>
      </c>
      <c r="AB407" t="s">
        <v>275</v>
      </c>
      <c r="AC407" t="s">
        <v>275</v>
      </c>
      <c r="AD407" t="s">
        <v>275</v>
      </c>
    </row>
    <row r="408" spans="1:30">
      <c r="A408">
        <v>406</v>
      </c>
      <c r="B408" t="s">
        <v>927</v>
      </c>
      <c r="C408" t="s">
        <v>928</v>
      </c>
      <c r="D408" t="str">
        <f>IF(VLOOKUP(C408,'Capabilities Overview'!$A$2:$A$587,1)=C408,"","Not in UCL")</f>
        <v>Not in UCL</v>
      </c>
      <c r="E408" t="s">
        <v>1</v>
      </c>
      <c r="F408" t="s">
        <v>1</v>
      </c>
      <c r="G408" t="s">
        <v>275</v>
      </c>
      <c r="H408" t="s">
        <v>275</v>
      </c>
      <c r="I408" t="s">
        <v>275</v>
      </c>
      <c r="J408" t="s">
        <v>275</v>
      </c>
      <c r="K408" t="s">
        <v>275</v>
      </c>
      <c r="L408" t="s">
        <v>275</v>
      </c>
      <c r="M408" t="s">
        <v>1</v>
      </c>
      <c r="N408" t="s">
        <v>1</v>
      </c>
      <c r="O408" t="s">
        <v>1</v>
      </c>
      <c r="P408" t="s">
        <v>275</v>
      </c>
      <c r="Q408" t="s">
        <v>1</v>
      </c>
      <c r="R408" t="s">
        <v>275</v>
      </c>
      <c r="S408" t="s">
        <v>275</v>
      </c>
      <c r="T408" t="s">
        <v>275</v>
      </c>
      <c r="U408" t="s">
        <v>275</v>
      </c>
      <c r="V408" t="s">
        <v>275</v>
      </c>
      <c r="W408" t="s">
        <v>10</v>
      </c>
      <c r="X408" t="s">
        <v>275</v>
      </c>
      <c r="Y408" t="s">
        <v>275</v>
      </c>
      <c r="Z408" t="s">
        <v>275</v>
      </c>
      <c r="AA408" t="s">
        <v>275</v>
      </c>
      <c r="AB408" t="s">
        <v>275</v>
      </c>
      <c r="AC408" t="s">
        <v>275</v>
      </c>
      <c r="AD408" t="s">
        <v>275</v>
      </c>
    </row>
    <row r="409" spans="1:30">
      <c r="A409">
        <v>407</v>
      </c>
      <c r="B409" t="s">
        <v>929</v>
      </c>
      <c r="C409" t="s">
        <v>930</v>
      </c>
      <c r="D409" t="str">
        <f>IF(VLOOKUP(C409,'Capabilities Overview'!$A$2:$A$587,1)=C409,"","Not in UCL")</f>
        <v>Not in UCL</v>
      </c>
      <c r="E409" t="s">
        <v>1</v>
      </c>
      <c r="F409" t="s">
        <v>1</v>
      </c>
      <c r="G409" t="s">
        <v>275</v>
      </c>
      <c r="H409" t="s">
        <v>275</v>
      </c>
      <c r="I409" t="s">
        <v>275</v>
      </c>
      <c r="J409" t="s">
        <v>275</v>
      </c>
      <c r="K409" t="s">
        <v>275</v>
      </c>
      <c r="L409" t="s">
        <v>275</v>
      </c>
      <c r="M409" t="s">
        <v>1</v>
      </c>
      <c r="N409" t="s">
        <v>1</v>
      </c>
      <c r="O409" t="s">
        <v>1</v>
      </c>
      <c r="P409" t="s">
        <v>275</v>
      </c>
      <c r="Q409" t="s">
        <v>1</v>
      </c>
      <c r="R409" t="s">
        <v>1</v>
      </c>
      <c r="S409" t="s">
        <v>275</v>
      </c>
      <c r="T409" t="s">
        <v>275</v>
      </c>
      <c r="U409" t="s">
        <v>275</v>
      </c>
      <c r="V409" t="s">
        <v>275</v>
      </c>
      <c r="W409" t="s">
        <v>275</v>
      </c>
      <c r="X409" t="s">
        <v>275</v>
      </c>
      <c r="Y409" t="s">
        <v>275</v>
      </c>
      <c r="Z409" t="s">
        <v>275</v>
      </c>
      <c r="AA409" t="s">
        <v>275</v>
      </c>
      <c r="AB409" t="s">
        <v>275</v>
      </c>
      <c r="AC409" t="s">
        <v>275</v>
      </c>
      <c r="AD409" t="s">
        <v>275</v>
      </c>
    </row>
    <row r="410" spans="1:30">
      <c r="A410">
        <v>408</v>
      </c>
      <c r="B410" t="s">
        <v>931</v>
      </c>
      <c r="C410" t="s">
        <v>932</v>
      </c>
      <c r="D410" t="str">
        <f>IF(VLOOKUP(C410,'Capabilities Overview'!$A$2:$A$587,1)=C410,"","Not in UCL")</f>
        <v>Not in UCL</v>
      </c>
      <c r="E410" t="s">
        <v>1</v>
      </c>
      <c r="F410" t="s">
        <v>1</v>
      </c>
      <c r="G410" t="s">
        <v>275</v>
      </c>
      <c r="H410" t="s">
        <v>275</v>
      </c>
      <c r="I410" t="s">
        <v>275</v>
      </c>
      <c r="J410" t="s">
        <v>275</v>
      </c>
      <c r="K410" t="s">
        <v>275</v>
      </c>
      <c r="L410" t="s">
        <v>275</v>
      </c>
      <c r="M410" t="s">
        <v>1</v>
      </c>
      <c r="N410" t="s">
        <v>1</v>
      </c>
      <c r="O410" t="s">
        <v>1</v>
      </c>
      <c r="P410" t="s">
        <v>275</v>
      </c>
      <c r="Q410" t="s">
        <v>1</v>
      </c>
      <c r="R410" t="s">
        <v>275</v>
      </c>
      <c r="S410" t="s">
        <v>275</v>
      </c>
      <c r="T410" t="s">
        <v>275</v>
      </c>
      <c r="U410" t="s">
        <v>275</v>
      </c>
      <c r="V410" t="s">
        <v>275</v>
      </c>
      <c r="W410" t="s">
        <v>275</v>
      </c>
      <c r="X410" t="s">
        <v>275</v>
      </c>
      <c r="Y410" t="s">
        <v>275</v>
      </c>
      <c r="Z410" t="s">
        <v>275</v>
      </c>
      <c r="AA410" t="s">
        <v>275</v>
      </c>
      <c r="AB410" t="s">
        <v>275</v>
      </c>
      <c r="AC410" t="s">
        <v>275</v>
      </c>
      <c r="AD410" t="s">
        <v>275</v>
      </c>
    </row>
    <row r="411" spans="1:30">
      <c r="A411">
        <v>409</v>
      </c>
      <c r="B411" t="s">
        <v>933</v>
      </c>
      <c r="C411" t="s">
        <v>934</v>
      </c>
      <c r="D411" t="str">
        <f>IF(VLOOKUP(C411,'Capabilities Overview'!$A$2:$A$587,1)=C411,"","Not in UCL")</f>
        <v>Not in UCL</v>
      </c>
      <c r="E411" t="s">
        <v>41</v>
      </c>
      <c r="F411" t="s">
        <v>275</v>
      </c>
      <c r="G411" t="s">
        <v>275</v>
      </c>
      <c r="H411" t="s">
        <v>275</v>
      </c>
      <c r="I411" t="s">
        <v>275</v>
      </c>
      <c r="J411" t="s">
        <v>275</v>
      </c>
      <c r="K411" t="s">
        <v>275</v>
      </c>
      <c r="L411" t="s">
        <v>275</v>
      </c>
      <c r="M411" t="s">
        <v>41</v>
      </c>
      <c r="N411" t="s">
        <v>41</v>
      </c>
      <c r="O411" t="s">
        <v>41</v>
      </c>
      <c r="P411" t="s">
        <v>275</v>
      </c>
      <c r="Q411" t="s">
        <v>41</v>
      </c>
      <c r="R411" t="s">
        <v>41</v>
      </c>
      <c r="S411" t="s">
        <v>275</v>
      </c>
      <c r="T411" t="s">
        <v>275</v>
      </c>
      <c r="U411" t="s">
        <v>275</v>
      </c>
      <c r="V411" t="s">
        <v>275</v>
      </c>
      <c r="W411" t="s">
        <v>275</v>
      </c>
      <c r="X411" t="s">
        <v>275</v>
      </c>
      <c r="Y411" t="s">
        <v>275</v>
      </c>
      <c r="Z411" t="s">
        <v>275</v>
      </c>
      <c r="AA411" t="s">
        <v>275</v>
      </c>
      <c r="AB411" t="s">
        <v>275</v>
      </c>
      <c r="AC411" t="s">
        <v>275</v>
      </c>
      <c r="AD411" t="s">
        <v>275</v>
      </c>
    </row>
    <row r="412" spans="1:30">
      <c r="A412">
        <v>410</v>
      </c>
      <c r="B412" t="s">
        <v>935</v>
      </c>
      <c r="C412" t="s">
        <v>936</v>
      </c>
      <c r="D412" t="str">
        <f>IF(VLOOKUP(C412,'Capabilities Overview'!$A$2:$A$587,1)=C412,"","Not in UCL")</f>
        <v>Not in UCL</v>
      </c>
      <c r="E412" t="s">
        <v>1</v>
      </c>
      <c r="F412" t="s">
        <v>275</v>
      </c>
      <c r="G412" t="s">
        <v>275</v>
      </c>
      <c r="H412" t="s">
        <v>275</v>
      </c>
      <c r="I412" t="s">
        <v>275</v>
      </c>
      <c r="J412" t="s">
        <v>275</v>
      </c>
      <c r="K412" t="s">
        <v>275</v>
      </c>
      <c r="L412" t="s">
        <v>275</v>
      </c>
      <c r="M412" t="s">
        <v>1</v>
      </c>
      <c r="N412" t="s">
        <v>1</v>
      </c>
      <c r="O412" t="s">
        <v>1</v>
      </c>
      <c r="P412" t="s">
        <v>275</v>
      </c>
      <c r="Q412" t="s">
        <v>1</v>
      </c>
      <c r="R412" t="s">
        <v>1</v>
      </c>
      <c r="S412" t="s">
        <v>275</v>
      </c>
      <c r="T412" t="s">
        <v>275</v>
      </c>
      <c r="U412" t="s">
        <v>275</v>
      </c>
      <c r="V412" t="s">
        <v>275</v>
      </c>
      <c r="W412" t="s">
        <v>275</v>
      </c>
      <c r="X412" t="s">
        <v>275</v>
      </c>
      <c r="Y412" t="s">
        <v>275</v>
      </c>
      <c r="Z412" t="s">
        <v>275</v>
      </c>
      <c r="AA412" t="s">
        <v>275</v>
      </c>
      <c r="AB412" t="s">
        <v>275</v>
      </c>
      <c r="AC412" t="s">
        <v>275</v>
      </c>
      <c r="AD412" t="s">
        <v>275</v>
      </c>
    </row>
    <row r="413" spans="1:30">
      <c r="A413">
        <v>411</v>
      </c>
      <c r="B413" t="s">
        <v>937</v>
      </c>
      <c r="C413" t="s">
        <v>938</v>
      </c>
      <c r="D413" t="str">
        <f>IF(VLOOKUP(C413,'Capabilities Overview'!$A$2:$A$587,1)=C413,"","Not in UCL")</f>
        <v>Not in UCL</v>
      </c>
      <c r="E413" t="s">
        <v>41</v>
      </c>
      <c r="F413" t="s">
        <v>275</v>
      </c>
      <c r="G413" t="s">
        <v>275</v>
      </c>
      <c r="H413" t="s">
        <v>275</v>
      </c>
      <c r="I413" t="s">
        <v>275</v>
      </c>
      <c r="J413" t="s">
        <v>275</v>
      </c>
      <c r="K413" t="s">
        <v>275</v>
      </c>
      <c r="L413" t="s">
        <v>275</v>
      </c>
      <c r="M413" t="s">
        <v>41</v>
      </c>
      <c r="N413" t="s">
        <v>41</v>
      </c>
      <c r="O413" t="s">
        <v>41</v>
      </c>
      <c r="P413" t="s">
        <v>275</v>
      </c>
      <c r="Q413" t="s">
        <v>41</v>
      </c>
      <c r="R413" t="s">
        <v>41</v>
      </c>
      <c r="S413" t="s">
        <v>275</v>
      </c>
      <c r="T413" t="s">
        <v>275</v>
      </c>
      <c r="U413" t="s">
        <v>275</v>
      </c>
      <c r="V413" t="s">
        <v>275</v>
      </c>
      <c r="W413" t="s">
        <v>275</v>
      </c>
      <c r="X413" t="s">
        <v>275</v>
      </c>
      <c r="Y413" t="s">
        <v>275</v>
      </c>
      <c r="Z413" t="s">
        <v>275</v>
      </c>
      <c r="AA413" t="s">
        <v>275</v>
      </c>
      <c r="AB413" t="s">
        <v>275</v>
      </c>
      <c r="AC413" t="s">
        <v>275</v>
      </c>
      <c r="AD413" t="s">
        <v>275</v>
      </c>
    </row>
    <row r="414" spans="1:30">
      <c r="A414">
        <v>412</v>
      </c>
      <c r="B414" t="s">
        <v>939</v>
      </c>
      <c r="C414" t="s">
        <v>940</v>
      </c>
      <c r="D414" t="str">
        <f>IF(VLOOKUP(C414,'Capabilities Overview'!$A$2:$A$587,1)=C414,"","Not in UCL")</f>
        <v>Not in UCL</v>
      </c>
      <c r="E414" t="s">
        <v>275</v>
      </c>
      <c r="F414" t="s">
        <v>275</v>
      </c>
      <c r="G414" t="s">
        <v>275</v>
      </c>
      <c r="H414" t="s">
        <v>275</v>
      </c>
      <c r="I414" t="s">
        <v>275</v>
      </c>
      <c r="J414" t="s">
        <v>275</v>
      </c>
      <c r="K414" t="s">
        <v>275</v>
      </c>
      <c r="L414" t="s">
        <v>275</v>
      </c>
      <c r="M414" t="s">
        <v>275</v>
      </c>
      <c r="N414" t="s">
        <v>275</v>
      </c>
      <c r="O414" t="s">
        <v>275</v>
      </c>
      <c r="P414" t="s">
        <v>275</v>
      </c>
      <c r="Q414" t="s">
        <v>275</v>
      </c>
      <c r="R414" t="s">
        <v>1</v>
      </c>
      <c r="S414" t="s">
        <v>275</v>
      </c>
      <c r="T414" t="s">
        <v>275</v>
      </c>
      <c r="U414" t="s">
        <v>275</v>
      </c>
      <c r="V414" t="s">
        <v>275</v>
      </c>
      <c r="W414" t="s">
        <v>275</v>
      </c>
      <c r="X414" t="s">
        <v>275</v>
      </c>
      <c r="Y414" t="s">
        <v>275</v>
      </c>
      <c r="Z414" t="s">
        <v>275</v>
      </c>
      <c r="AA414" t="s">
        <v>275</v>
      </c>
      <c r="AB414" t="s">
        <v>275</v>
      </c>
      <c r="AC414" t="s">
        <v>275</v>
      </c>
      <c r="AD414" t="s">
        <v>275</v>
      </c>
    </row>
    <row r="415" spans="1:30">
      <c r="A415">
        <v>413</v>
      </c>
      <c r="B415" t="s">
        <v>941</v>
      </c>
      <c r="C415" t="s">
        <v>942</v>
      </c>
      <c r="D415" t="str">
        <f>IF(VLOOKUP(C415,'Capabilities Overview'!$A$2:$A$587,1)=C415,"","Not in UCL")</f>
        <v>Not in UCL</v>
      </c>
      <c r="E415" t="s">
        <v>1</v>
      </c>
      <c r="F415" t="s">
        <v>275</v>
      </c>
      <c r="G415" t="s">
        <v>275</v>
      </c>
      <c r="H415" t="s">
        <v>275</v>
      </c>
      <c r="I415" t="s">
        <v>275</v>
      </c>
      <c r="J415" t="s">
        <v>275</v>
      </c>
      <c r="K415" t="s">
        <v>275</v>
      </c>
      <c r="L415" t="s">
        <v>275</v>
      </c>
      <c r="M415" t="s">
        <v>1</v>
      </c>
      <c r="N415" t="s">
        <v>1</v>
      </c>
      <c r="O415" t="s">
        <v>1</v>
      </c>
      <c r="P415" t="s">
        <v>275</v>
      </c>
      <c r="Q415" t="s">
        <v>1</v>
      </c>
      <c r="R415" t="s">
        <v>275</v>
      </c>
      <c r="S415" t="s">
        <v>275</v>
      </c>
      <c r="T415" t="s">
        <v>275</v>
      </c>
      <c r="U415" t="s">
        <v>275</v>
      </c>
      <c r="V415" t="s">
        <v>275</v>
      </c>
      <c r="W415" t="s">
        <v>275</v>
      </c>
      <c r="X415" t="s">
        <v>275</v>
      </c>
      <c r="Y415" t="s">
        <v>275</v>
      </c>
      <c r="Z415" t="s">
        <v>275</v>
      </c>
      <c r="AA415" t="s">
        <v>275</v>
      </c>
      <c r="AB415" t="s">
        <v>275</v>
      </c>
      <c r="AC415" t="s">
        <v>275</v>
      </c>
      <c r="AD415" t="s">
        <v>275</v>
      </c>
    </row>
    <row r="416" spans="1:30">
      <c r="A416">
        <v>414</v>
      </c>
      <c r="B416" t="s">
        <v>943</v>
      </c>
      <c r="C416" t="s">
        <v>944</v>
      </c>
      <c r="D416" t="str">
        <f>IF(VLOOKUP(C416,'Capabilities Overview'!$A$2:$A$587,1)=C416,"","Not in UCL")</f>
        <v>Not in UCL</v>
      </c>
      <c r="E416" t="s">
        <v>1</v>
      </c>
      <c r="F416" t="s">
        <v>275</v>
      </c>
      <c r="G416" t="s">
        <v>275</v>
      </c>
      <c r="H416" t="s">
        <v>275</v>
      </c>
      <c r="I416" t="s">
        <v>275</v>
      </c>
      <c r="J416" t="s">
        <v>275</v>
      </c>
      <c r="K416" t="s">
        <v>275</v>
      </c>
      <c r="L416" t="s">
        <v>275</v>
      </c>
      <c r="M416" t="s">
        <v>1</v>
      </c>
      <c r="N416" t="s">
        <v>1</v>
      </c>
      <c r="O416" t="s">
        <v>1</v>
      </c>
      <c r="P416" t="s">
        <v>275</v>
      </c>
      <c r="Q416" t="s">
        <v>1</v>
      </c>
      <c r="R416" t="s">
        <v>275</v>
      </c>
      <c r="S416" t="s">
        <v>275</v>
      </c>
      <c r="T416" t="s">
        <v>275</v>
      </c>
      <c r="U416" t="s">
        <v>275</v>
      </c>
      <c r="V416" t="s">
        <v>275</v>
      </c>
      <c r="W416" t="s">
        <v>275</v>
      </c>
      <c r="X416" t="s">
        <v>275</v>
      </c>
      <c r="Y416" t="s">
        <v>275</v>
      </c>
      <c r="Z416" t="s">
        <v>275</v>
      </c>
      <c r="AA416" t="s">
        <v>275</v>
      </c>
      <c r="AB416" t="s">
        <v>275</v>
      </c>
      <c r="AC416" t="s">
        <v>275</v>
      </c>
      <c r="AD416" t="s">
        <v>275</v>
      </c>
    </row>
    <row r="417" spans="1:30">
      <c r="A417">
        <v>415</v>
      </c>
      <c r="B417" t="s">
        <v>945</v>
      </c>
      <c r="C417" t="s">
        <v>946</v>
      </c>
      <c r="D417" t="str">
        <f>IF(VLOOKUP(C417,'Capabilities Overview'!$A$2:$A$587,1)=C417,"","Not in UCL")</f>
        <v>Not in UCL</v>
      </c>
      <c r="E417" t="s">
        <v>1</v>
      </c>
      <c r="F417" t="s">
        <v>275</v>
      </c>
      <c r="G417" t="s">
        <v>275</v>
      </c>
      <c r="H417" t="s">
        <v>275</v>
      </c>
      <c r="I417" t="s">
        <v>275</v>
      </c>
      <c r="J417" t="s">
        <v>275</v>
      </c>
      <c r="K417" t="s">
        <v>275</v>
      </c>
      <c r="L417" t="s">
        <v>275</v>
      </c>
      <c r="M417" t="s">
        <v>1</v>
      </c>
      <c r="N417" t="s">
        <v>1</v>
      </c>
      <c r="O417" t="s">
        <v>1</v>
      </c>
      <c r="P417" t="s">
        <v>275</v>
      </c>
      <c r="Q417" t="s">
        <v>1</v>
      </c>
      <c r="R417" t="s">
        <v>1</v>
      </c>
      <c r="S417" t="s">
        <v>275</v>
      </c>
      <c r="T417" t="s">
        <v>275</v>
      </c>
      <c r="U417" t="s">
        <v>275</v>
      </c>
      <c r="V417" t="s">
        <v>275</v>
      </c>
      <c r="W417" t="s">
        <v>275</v>
      </c>
      <c r="X417" t="s">
        <v>275</v>
      </c>
      <c r="Y417" t="s">
        <v>275</v>
      </c>
      <c r="Z417" t="s">
        <v>275</v>
      </c>
      <c r="AA417" t="s">
        <v>275</v>
      </c>
      <c r="AB417" t="s">
        <v>275</v>
      </c>
      <c r="AC417" t="s">
        <v>275</v>
      </c>
      <c r="AD417" t="s">
        <v>275</v>
      </c>
    </row>
    <row r="418" spans="1:30">
      <c r="A418">
        <v>416</v>
      </c>
      <c r="B418" t="s">
        <v>947</v>
      </c>
      <c r="C418" t="s">
        <v>948</v>
      </c>
      <c r="D418" t="str">
        <f>IF(VLOOKUP(C418,'Capabilities Overview'!$A$2:$A$587,1)=C418,"","Not in UCL")</f>
        <v/>
      </c>
      <c r="E418" t="s">
        <v>1</v>
      </c>
      <c r="F418" t="s">
        <v>1</v>
      </c>
      <c r="G418" t="s">
        <v>275</v>
      </c>
      <c r="H418" t="s">
        <v>275</v>
      </c>
      <c r="I418" t="s">
        <v>1</v>
      </c>
      <c r="J418" t="s">
        <v>1</v>
      </c>
      <c r="K418" t="s">
        <v>1</v>
      </c>
      <c r="L418" t="s">
        <v>275</v>
      </c>
      <c r="M418" t="s">
        <v>1</v>
      </c>
      <c r="N418" t="s">
        <v>1</v>
      </c>
      <c r="O418" t="s">
        <v>1</v>
      </c>
      <c r="P418" t="s">
        <v>275</v>
      </c>
      <c r="Q418" t="s">
        <v>275</v>
      </c>
      <c r="R418" t="s">
        <v>275</v>
      </c>
      <c r="S418" t="s">
        <v>275</v>
      </c>
      <c r="T418" t="s">
        <v>275</v>
      </c>
      <c r="U418" t="s">
        <v>275</v>
      </c>
      <c r="V418" t="s">
        <v>275</v>
      </c>
      <c r="W418" t="s">
        <v>10</v>
      </c>
      <c r="X418" t="s">
        <v>275</v>
      </c>
      <c r="Y418" t="s">
        <v>275</v>
      </c>
      <c r="Z418" t="s">
        <v>275</v>
      </c>
      <c r="AA418" t="s">
        <v>275</v>
      </c>
      <c r="AB418" t="s">
        <v>275</v>
      </c>
      <c r="AC418" t="s">
        <v>275</v>
      </c>
      <c r="AD418" t="s">
        <v>275</v>
      </c>
    </row>
    <row r="419" spans="1:30">
      <c r="A419">
        <v>417</v>
      </c>
      <c r="B419" t="s">
        <v>949</v>
      </c>
      <c r="C419" t="s">
        <v>950</v>
      </c>
      <c r="D419" t="str">
        <f>IF(VLOOKUP(C419,'Capabilities Overview'!$A$2:$A$587,1)=C419,"","Not in UCL")</f>
        <v/>
      </c>
      <c r="E419" t="s">
        <v>1</v>
      </c>
      <c r="F419" t="s">
        <v>1</v>
      </c>
      <c r="G419" t="s">
        <v>275</v>
      </c>
      <c r="H419" t="s">
        <v>275</v>
      </c>
      <c r="I419" t="s">
        <v>1</v>
      </c>
      <c r="J419" t="s">
        <v>1</v>
      </c>
      <c r="K419" t="s">
        <v>1</v>
      </c>
      <c r="L419" t="s">
        <v>275</v>
      </c>
      <c r="M419" t="s">
        <v>1</v>
      </c>
      <c r="N419" t="s">
        <v>1</v>
      </c>
      <c r="O419" t="s">
        <v>1</v>
      </c>
      <c r="P419" t="s">
        <v>275</v>
      </c>
      <c r="Q419" t="s">
        <v>1</v>
      </c>
      <c r="R419" t="s">
        <v>1</v>
      </c>
      <c r="S419" t="s">
        <v>1</v>
      </c>
      <c r="T419" t="s">
        <v>275</v>
      </c>
      <c r="U419" t="s">
        <v>1</v>
      </c>
      <c r="V419" t="s">
        <v>275</v>
      </c>
      <c r="W419" t="s">
        <v>1</v>
      </c>
      <c r="X419" t="s">
        <v>275</v>
      </c>
      <c r="Y419" t="s">
        <v>275</v>
      </c>
      <c r="Z419" t="s">
        <v>275</v>
      </c>
      <c r="AA419" t="s">
        <v>275</v>
      </c>
      <c r="AB419" t="s">
        <v>275</v>
      </c>
      <c r="AC419" t="s">
        <v>275</v>
      </c>
      <c r="AD419" t="s">
        <v>275</v>
      </c>
    </row>
    <row r="420" spans="1:30">
      <c r="A420">
        <v>418</v>
      </c>
      <c r="B420" t="s">
        <v>951</v>
      </c>
      <c r="C420" t="s">
        <v>952</v>
      </c>
      <c r="D420" t="str">
        <f>IF(VLOOKUP(C420,'Capabilities Overview'!$A$2:$A$587,1)=C420,"","Not in UCL")</f>
        <v/>
      </c>
      <c r="E420" t="s">
        <v>1</v>
      </c>
      <c r="F420" t="s">
        <v>1</v>
      </c>
      <c r="G420" t="s">
        <v>275</v>
      </c>
      <c r="H420" t="s">
        <v>275</v>
      </c>
      <c r="I420" t="s">
        <v>1</v>
      </c>
      <c r="J420" t="s">
        <v>1</v>
      </c>
      <c r="K420" t="s">
        <v>1</v>
      </c>
      <c r="L420" t="s">
        <v>275</v>
      </c>
      <c r="M420" t="s">
        <v>1</v>
      </c>
      <c r="N420" t="s">
        <v>1</v>
      </c>
      <c r="O420" t="s">
        <v>1</v>
      </c>
      <c r="P420" t="s">
        <v>275</v>
      </c>
      <c r="Q420" t="s">
        <v>1</v>
      </c>
      <c r="R420" t="s">
        <v>275</v>
      </c>
      <c r="S420" t="s">
        <v>275</v>
      </c>
      <c r="T420" t="s">
        <v>275</v>
      </c>
      <c r="U420" t="s">
        <v>275</v>
      </c>
      <c r="V420" t="s">
        <v>275</v>
      </c>
      <c r="W420" t="s">
        <v>275</v>
      </c>
      <c r="X420" t="s">
        <v>275</v>
      </c>
      <c r="Y420" t="s">
        <v>275</v>
      </c>
      <c r="Z420" t="s">
        <v>275</v>
      </c>
      <c r="AA420" t="s">
        <v>275</v>
      </c>
      <c r="AB420" t="s">
        <v>275</v>
      </c>
      <c r="AC420" t="s">
        <v>275</v>
      </c>
      <c r="AD420" t="s">
        <v>275</v>
      </c>
    </row>
    <row r="421" spans="1:30">
      <c r="A421">
        <v>419</v>
      </c>
      <c r="B421" t="s">
        <v>953</v>
      </c>
      <c r="C421" t="s">
        <v>954</v>
      </c>
      <c r="D421" t="str">
        <f>IF(VLOOKUP(C421,'Capabilities Overview'!$A$2:$A$587,1)=C421,"","Not in UCL")</f>
        <v>Not in UCL</v>
      </c>
      <c r="E421" t="s">
        <v>275</v>
      </c>
      <c r="F421" t="s">
        <v>1</v>
      </c>
      <c r="G421" t="s">
        <v>275</v>
      </c>
      <c r="H421" t="s">
        <v>275</v>
      </c>
      <c r="I421" t="s">
        <v>275</v>
      </c>
      <c r="J421" t="s">
        <v>275</v>
      </c>
      <c r="K421" t="s">
        <v>275</v>
      </c>
      <c r="L421" t="s">
        <v>275</v>
      </c>
      <c r="M421" t="s">
        <v>1</v>
      </c>
      <c r="N421" t="s">
        <v>1</v>
      </c>
      <c r="O421" t="s">
        <v>1</v>
      </c>
      <c r="P421" t="s">
        <v>275</v>
      </c>
      <c r="Q421" t="s">
        <v>1</v>
      </c>
      <c r="R421" t="s">
        <v>1</v>
      </c>
      <c r="S421" t="s">
        <v>275</v>
      </c>
      <c r="T421" t="s">
        <v>275</v>
      </c>
      <c r="U421" t="s">
        <v>275</v>
      </c>
      <c r="V421" t="s">
        <v>275</v>
      </c>
      <c r="W421" t="s">
        <v>275</v>
      </c>
      <c r="X421" t="s">
        <v>275</v>
      </c>
      <c r="Y421" t="s">
        <v>275</v>
      </c>
      <c r="Z421" t="s">
        <v>275</v>
      </c>
      <c r="AA421" t="s">
        <v>275</v>
      </c>
      <c r="AB421" t="s">
        <v>275</v>
      </c>
      <c r="AC421" t="s">
        <v>275</v>
      </c>
      <c r="AD421" t="s">
        <v>275</v>
      </c>
    </row>
    <row r="422" spans="1:30">
      <c r="A422">
        <v>420</v>
      </c>
      <c r="B422" t="s">
        <v>955</v>
      </c>
      <c r="C422" t="s">
        <v>956</v>
      </c>
      <c r="D422" t="str">
        <f>IF(VLOOKUP(C422,'Capabilities Overview'!$A$2:$A$587,1)=C422,"","Not in UCL")</f>
        <v>Not in UCL</v>
      </c>
      <c r="E422" t="s">
        <v>275</v>
      </c>
      <c r="F422" t="s">
        <v>1</v>
      </c>
      <c r="G422" t="s">
        <v>275</v>
      </c>
      <c r="H422" t="s">
        <v>275</v>
      </c>
      <c r="I422" t="s">
        <v>275</v>
      </c>
      <c r="J422" t="s">
        <v>275</v>
      </c>
      <c r="K422" t="s">
        <v>275</v>
      </c>
      <c r="L422" t="s">
        <v>275</v>
      </c>
      <c r="M422" t="s">
        <v>1</v>
      </c>
      <c r="N422" t="s">
        <v>1</v>
      </c>
      <c r="O422" t="s">
        <v>1</v>
      </c>
      <c r="P422" t="s">
        <v>275</v>
      </c>
      <c r="Q422" t="s">
        <v>1</v>
      </c>
      <c r="R422" t="s">
        <v>275</v>
      </c>
      <c r="S422" t="s">
        <v>275</v>
      </c>
      <c r="T422" t="s">
        <v>275</v>
      </c>
      <c r="U422" t="s">
        <v>275</v>
      </c>
      <c r="V422" t="s">
        <v>275</v>
      </c>
      <c r="W422" t="s">
        <v>275</v>
      </c>
      <c r="X422" t="s">
        <v>275</v>
      </c>
      <c r="Y422" t="s">
        <v>275</v>
      </c>
      <c r="Z422" t="s">
        <v>275</v>
      </c>
      <c r="AA422" t="s">
        <v>275</v>
      </c>
      <c r="AB422" t="s">
        <v>275</v>
      </c>
      <c r="AC422" t="s">
        <v>275</v>
      </c>
      <c r="AD422" t="s">
        <v>275</v>
      </c>
    </row>
    <row r="423" spans="1:30">
      <c r="A423">
        <v>421</v>
      </c>
      <c r="B423" t="s">
        <v>957</v>
      </c>
      <c r="C423" t="s">
        <v>958</v>
      </c>
      <c r="D423" t="str">
        <f>IF(VLOOKUP(C423,'Capabilities Overview'!$A$2:$A$587,1)=C423,"","Not in UCL")</f>
        <v>Not in UCL</v>
      </c>
      <c r="E423" t="s">
        <v>275</v>
      </c>
      <c r="F423" t="s">
        <v>1</v>
      </c>
      <c r="G423" t="s">
        <v>275</v>
      </c>
      <c r="H423" t="s">
        <v>275</v>
      </c>
      <c r="I423" t="s">
        <v>275</v>
      </c>
      <c r="J423" t="s">
        <v>275</v>
      </c>
      <c r="K423" t="s">
        <v>275</v>
      </c>
      <c r="L423" t="s">
        <v>275</v>
      </c>
      <c r="M423" t="s">
        <v>1</v>
      </c>
      <c r="N423" t="s">
        <v>1</v>
      </c>
      <c r="O423" t="s">
        <v>1</v>
      </c>
      <c r="P423" t="s">
        <v>275</v>
      </c>
      <c r="Q423" t="s">
        <v>1</v>
      </c>
      <c r="R423" t="s">
        <v>275</v>
      </c>
      <c r="S423" t="s">
        <v>275</v>
      </c>
      <c r="T423" t="s">
        <v>275</v>
      </c>
      <c r="U423" t="s">
        <v>275</v>
      </c>
      <c r="V423" t="s">
        <v>275</v>
      </c>
      <c r="W423" t="s">
        <v>275</v>
      </c>
      <c r="X423" t="s">
        <v>275</v>
      </c>
      <c r="Y423" t="s">
        <v>275</v>
      </c>
      <c r="Z423" t="s">
        <v>275</v>
      </c>
      <c r="AA423" t="s">
        <v>275</v>
      </c>
      <c r="AB423" t="s">
        <v>275</v>
      </c>
      <c r="AC423" t="s">
        <v>275</v>
      </c>
      <c r="AD423" t="s">
        <v>275</v>
      </c>
    </row>
    <row r="424" spans="1:30">
      <c r="A424">
        <v>422</v>
      </c>
      <c r="B424" t="s">
        <v>959</v>
      </c>
      <c r="C424" t="s">
        <v>960</v>
      </c>
      <c r="D424" t="str">
        <f>IF(VLOOKUP(C424,'Capabilities Overview'!$A$2:$A$587,1)=C424,"","Not in UCL")</f>
        <v>Not in UCL</v>
      </c>
      <c r="E424" t="s">
        <v>275</v>
      </c>
      <c r="F424" t="s">
        <v>1</v>
      </c>
      <c r="G424" t="s">
        <v>275</v>
      </c>
      <c r="H424" t="s">
        <v>275</v>
      </c>
      <c r="I424" t="s">
        <v>275</v>
      </c>
      <c r="J424" t="s">
        <v>275</v>
      </c>
      <c r="K424" t="s">
        <v>275</v>
      </c>
      <c r="L424" t="s">
        <v>275</v>
      </c>
      <c r="M424" t="s">
        <v>1</v>
      </c>
      <c r="N424" t="s">
        <v>1</v>
      </c>
      <c r="O424" t="s">
        <v>1</v>
      </c>
      <c r="P424" t="s">
        <v>275</v>
      </c>
      <c r="Q424" t="s">
        <v>1</v>
      </c>
      <c r="R424" t="s">
        <v>275</v>
      </c>
      <c r="S424" t="s">
        <v>275</v>
      </c>
      <c r="T424" t="s">
        <v>275</v>
      </c>
      <c r="U424" t="s">
        <v>275</v>
      </c>
      <c r="V424" t="s">
        <v>275</v>
      </c>
      <c r="W424" t="s">
        <v>275</v>
      </c>
      <c r="X424" t="s">
        <v>275</v>
      </c>
      <c r="Y424" t="s">
        <v>275</v>
      </c>
      <c r="Z424" t="s">
        <v>275</v>
      </c>
      <c r="AA424" t="s">
        <v>275</v>
      </c>
      <c r="AB424" t="s">
        <v>275</v>
      </c>
      <c r="AC424" t="s">
        <v>275</v>
      </c>
      <c r="AD424" t="s">
        <v>275</v>
      </c>
    </row>
    <row r="425" spans="1:30">
      <c r="A425">
        <v>423</v>
      </c>
      <c r="B425" t="s">
        <v>961</v>
      </c>
      <c r="C425" t="s">
        <v>962</v>
      </c>
      <c r="D425" t="str">
        <f>IF(VLOOKUP(C425,'Capabilities Overview'!$A$2:$A$587,1)=C425,"","Not in UCL")</f>
        <v>Not in UCL</v>
      </c>
      <c r="E425" t="s">
        <v>275</v>
      </c>
      <c r="F425" t="s">
        <v>1</v>
      </c>
      <c r="G425" t="s">
        <v>275</v>
      </c>
      <c r="H425" t="s">
        <v>275</v>
      </c>
      <c r="I425" t="s">
        <v>275</v>
      </c>
      <c r="J425" t="s">
        <v>275</v>
      </c>
      <c r="K425" t="s">
        <v>275</v>
      </c>
      <c r="L425" t="s">
        <v>275</v>
      </c>
      <c r="M425" t="s">
        <v>1</v>
      </c>
      <c r="N425" t="s">
        <v>1</v>
      </c>
      <c r="O425" t="s">
        <v>1</v>
      </c>
      <c r="P425" t="s">
        <v>275</v>
      </c>
      <c r="Q425" t="s">
        <v>1</v>
      </c>
      <c r="R425" t="s">
        <v>275</v>
      </c>
      <c r="S425" t="s">
        <v>275</v>
      </c>
      <c r="T425" t="s">
        <v>275</v>
      </c>
      <c r="U425" t="s">
        <v>275</v>
      </c>
      <c r="V425" t="s">
        <v>275</v>
      </c>
      <c r="W425" t="s">
        <v>275</v>
      </c>
      <c r="X425" t="s">
        <v>275</v>
      </c>
      <c r="Y425" t="s">
        <v>275</v>
      </c>
      <c r="Z425" t="s">
        <v>275</v>
      </c>
      <c r="AA425" t="s">
        <v>275</v>
      </c>
      <c r="AB425" t="s">
        <v>275</v>
      </c>
      <c r="AC425" t="s">
        <v>275</v>
      </c>
      <c r="AD425" t="s">
        <v>275</v>
      </c>
    </row>
    <row r="426" spans="1:30">
      <c r="A426">
        <v>424</v>
      </c>
      <c r="B426" t="s">
        <v>963</v>
      </c>
      <c r="C426" t="s">
        <v>964</v>
      </c>
      <c r="D426" t="str">
        <f>IF(VLOOKUP(C426,'Capabilities Overview'!$A$2:$A$587,1)=C426,"","Not in UCL")</f>
        <v>Not in UCL</v>
      </c>
      <c r="E426" t="s">
        <v>275</v>
      </c>
      <c r="F426" t="s">
        <v>1</v>
      </c>
      <c r="G426" t="s">
        <v>275</v>
      </c>
      <c r="H426" t="s">
        <v>275</v>
      </c>
      <c r="I426" t="s">
        <v>275</v>
      </c>
      <c r="J426" t="s">
        <v>275</v>
      </c>
      <c r="K426" t="s">
        <v>275</v>
      </c>
      <c r="L426" t="s">
        <v>275</v>
      </c>
      <c r="M426" t="s">
        <v>1</v>
      </c>
      <c r="N426" t="s">
        <v>1</v>
      </c>
      <c r="O426" t="s">
        <v>1</v>
      </c>
      <c r="P426" t="s">
        <v>275</v>
      </c>
      <c r="Q426" t="s">
        <v>1</v>
      </c>
      <c r="R426" t="s">
        <v>275</v>
      </c>
      <c r="S426" t="s">
        <v>275</v>
      </c>
      <c r="T426" t="s">
        <v>275</v>
      </c>
      <c r="U426" t="s">
        <v>275</v>
      </c>
      <c r="V426" t="s">
        <v>275</v>
      </c>
      <c r="W426" t="s">
        <v>275</v>
      </c>
      <c r="X426" t="s">
        <v>275</v>
      </c>
      <c r="Y426" t="s">
        <v>275</v>
      </c>
      <c r="Z426" t="s">
        <v>275</v>
      </c>
      <c r="AA426" t="s">
        <v>275</v>
      </c>
      <c r="AB426" t="s">
        <v>275</v>
      </c>
      <c r="AC426" t="s">
        <v>275</v>
      </c>
      <c r="AD426" t="s">
        <v>275</v>
      </c>
    </row>
    <row r="427" spans="1:30">
      <c r="A427">
        <v>425</v>
      </c>
      <c r="B427" t="s">
        <v>965</v>
      </c>
      <c r="C427" t="s">
        <v>966</v>
      </c>
      <c r="D427" t="str">
        <f>IF(VLOOKUP(C427,'Capabilities Overview'!$A$2:$A$587,1)=C427,"","Not in UCL")</f>
        <v/>
      </c>
      <c r="E427" t="s">
        <v>1</v>
      </c>
      <c r="F427" t="s">
        <v>1</v>
      </c>
      <c r="G427" t="s">
        <v>275</v>
      </c>
      <c r="H427" t="s">
        <v>275</v>
      </c>
      <c r="I427" t="s">
        <v>275</v>
      </c>
      <c r="J427" t="s">
        <v>275</v>
      </c>
      <c r="K427" t="s">
        <v>275</v>
      </c>
      <c r="L427" t="s">
        <v>275</v>
      </c>
      <c r="M427" t="s">
        <v>1</v>
      </c>
      <c r="N427" t="s">
        <v>1</v>
      </c>
      <c r="O427" t="s">
        <v>1</v>
      </c>
      <c r="P427" t="s">
        <v>275</v>
      </c>
      <c r="Q427" t="s">
        <v>1</v>
      </c>
      <c r="R427" t="s">
        <v>275</v>
      </c>
      <c r="S427" t="s">
        <v>275</v>
      </c>
      <c r="T427" t="s">
        <v>275</v>
      </c>
      <c r="U427" t="s">
        <v>275</v>
      </c>
      <c r="V427" t="s">
        <v>275</v>
      </c>
      <c r="W427" t="s">
        <v>275</v>
      </c>
      <c r="X427" t="s">
        <v>275</v>
      </c>
      <c r="Y427" t="s">
        <v>275</v>
      </c>
      <c r="Z427" t="s">
        <v>275</v>
      </c>
      <c r="AA427" t="s">
        <v>275</v>
      </c>
      <c r="AB427" t="s">
        <v>275</v>
      </c>
      <c r="AC427" t="s">
        <v>275</v>
      </c>
      <c r="AD427" t="s">
        <v>275</v>
      </c>
    </row>
    <row r="428" spans="1:30">
      <c r="A428">
        <v>426</v>
      </c>
      <c r="B428" t="s">
        <v>967</v>
      </c>
      <c r="C428" t="s">
        <v>968</v>
      </c>
      <c r="D428" t="str">
        <f>IF(VLOOKUP(C428,'Capabilities Overview'!$A$2:$A$587,1)=C428,"","Not in UCL")</f>
        <v/>
      </c>
      <c r="E428" t="s">
        <v>1</v>
      </c>
      <c r="F428" t="s">
        <v>1</v>
      </c>
      <c r="G428" t="s">
        <v>275</v>
      </c>
      <c r="H428" t="s">
        <v>275</v>
      </c>
      <c r="I428" t="s">
        <v>275</v>
      </c>
      <c r="J428" t="s">
        <v>275</v>
      </c>
      <c r="K428" t="s">
        <v>275</v>
      </c>
      <c r="L428" t="s">
        <v>275</v>
      </c>
      <c r="M428" t="s">
        <v>1</v>
      </c>
      <c r="N428" t="s">
        <v>1</v>
      </c>
      <c r="O428" t="s">
        <v>1</v>
      </c>
      <c r="P428" t="s">
        <v>275</v>
      </c>
      <c r="Q428" t="s">
        <v>1</v>
      </c>
      <c r="R428" t="s">
        <v>275</v>
      </c>
      <c r="S428" t="s">
        <v>275</v>
      </c>
      <c r="T428" t="s">
        <v>275</v>
      </c>
      <c r="U428" t="s">
        <v>275</v>
      </c>
      <c r="V428" t="s">
        <v>275</v>
      </c>
      <c r="W428" t="s">
        <v>275</v>
      </c>
      <c r="X428" t="s">
        <v>275</v>
      </c>
      <c r="Y428" t="s">
        <v>275</v>
      </c>
      <c r="Z428" t="s">
        <v>275</v>
      </c>
      <c r="AA428" t="s">
        <v>275</v>
      </c>
      <c r="AB428" t="s">
        <v>275</v>
      </c>
      <c r="AC428" t="s">
        <v>275</v>
      </c>
      <c r="AD428" t="s">
        <v>275</v>
      </c>
    </row>
    <row r="429" spans="1:30">
      <c r="A429">
        <v>427</v>
      </c>
      <c r="B429" t="s">
        <v>969</v>
      </c>
      <c r="C429" t="s">
        <v>970</v>
      </c>
      <c r="D429" t="str">
        <f>IF(VLOOKUP(C429,'Capabilities Overview'!$A$2:$A$587,1)=C429,"","Not in UCL")</f>
        <v/>
      </c>
      <c r="E429" t="s">
        <v>1</v>
      </c>
      <c r="F429" t="s">
        <v>1</v>
      </c>
      <c r="G429" t="s">
        <v>275</v>
      </c>
      <c r="H429" t="s">
        <v>275</v>
      </c>
      <c r="I429" t="s">
        <v>275</v>
      </c>
      <c r="J429" t="s">
        <v>275</v>
      </c>
      <c r="K429" t="s">
        <v>275</v>
      </c>
      <c r="L429" t="s">
        <v>275</v>
      </c>
      <c r="M429" t="s">
        <v>1</v>
      </c>
      <c r="N429" t="s">
        <v>1</v>
      </c>
      <c r="O429" t="s">
        <v>1</v>
      </c>
      <c r="P429" t="s">
        <v>275</v>
      </c>
      <c r="Q429" t="s">
        <v>1</v>
      </c>
      <c r="R429" t="s">
        <v>1</v>
      </c>
      <c r="S429" t="s">
        <v>275</v>
      </c>
      <c r="T429" t="s">
        <v>275</v>
      </c>
      <c r="U429" t="s">
        <v>275</v>
      </c>
      <c r="V429" t="s">
        <v>275</v>
      </c>
      <c r="W429" t="s">
        <v>275</v>
      </c>
      <c r="X429" t="s">
        <v>275</v>
      </c>
      <c r="Y429" t="s">
        <v>275</v>
      </c>
      <c r="Z429" t="s">
        <v>275</v>
      </c>
      <c r="AA429" t="s">
        <v>275</v>
      </c>
      <c r="AB429" t="s">
        <v>275</v>
      </c>
      <c r="AC429" t="s">
        <v>275</v>
      </c>
      <c r="AD429" t="s">
        <v>275</v>
      </c>
    </row>
    <row r="430" spans="1:30">
      <c r="A430">
        <v>428</v>
      </c>
      <c r="B430" t="s">
        <v>971</v>
      </c>
      <c r="C430" t="s">
        <v>972</v>
      </c>
      <c r="D430" t="str">
        <f>IF(VLOOKUP(C430,'Capabilities Overview'!$A$2:$A$587,1)=C430,"","Not in UCL")</f>
        <v/>
      </c>
      <c r="E430" t="s">
        <v>1</v>
      </c>
      <c r="F430" t="s">
        <v>1</v>
      </c>
      <c r="G430" t="s">
        <v>275</v>
      </c>
      <c r="H430" t="s">
        <v>275</v>
      </c>
      <c r="I430" t="s">
        <v>1</v>
      </c>
      <c r="J430" t="s">
        <v>275</v>
      </c>
      <c r="K430" t="s">
        <v>275</v>
      </c>
      <c r="L430" t="s">
        <v>275</v>
      </c>
      <c r="M430" t="s">
        <v>1</v>
      </c>
      <c r="N430" t="s">
        <v>1</v>
      </c>
      <c r="O430" t="s">
        <v>1</v>
      </c>
      <c r="P430" t="s">
        <v>275</v>
      </c>
      <c r="Q430" t="s">
        <v>1</v>
      </c>
      <c r="R430" t="s">
        <v>1</v>
      </c>
      <c r="S430" t="s">
        <v>275</v>
      </c>
      <c r="T430" t="s">
        <v>275</v>
      </c>
      <c r="U430" t="s">
        <v>275</v>
      </c>
      <c r="V430" t="s">
        <v>275</v>
      </c>
      <c r="W430" t="s">
        <v>10</v>
      </c>
      <c r="X430" t="s">
        <v>275</v>
      </c>
      <c r="Y430" t="s">
        <v>275</v>
      </c>
      <c r="Z430" t="s">
        <v>275</v>
      </c>
      <c r="AA430" t="s">
        <v>275</v>
      </c>
      <c r="AB430" t="s">
        <v>275</v>
      </c>
      <c r="AC430" t="s">
        <v>275</v>
      </c>
      <c r="AD430" t="s">
        <v>275</v>
      </c>
    </row>
    <row r="431" spans="1:30">
      <c r="A431">
        <v>429</v>
      </c>
      <c r="B431" t="s">
        <v>973</v>
      </c>
      <c r="C431" t="s">
        <v>974</v>
      </c>
      <c r="D431" t="str">
        <f>IF(VLOOKUP(C431,'Capabilities Overview'!$A$2:$A$587,1)=C431,"","Not in UCL")</f>
        <v/>
      </c>
      <c r="E431" t="s">
        <v>1</v>
      </c>
      <c r="F431" t="s">
        <v>1</v>
      </c>
      <c r="G431" t="s">
        <v>275</v>
      </c>
      <c r="H431" t="s">
        <v>275</v>
      </c>
      <c r="I431" t="s">
        <v>275</v>
      </c>
      <c r="J431" t="s">
        <v>275</v>
      </c>
      <c r="K431" t="s">
        <v>275</v>
      </c>
      <c r="L431" t="s">
        <v>275</v>
      </c>
      <c r="M431" t="s">
        <v>1</v>
      </c>
      <c r="N431" t="s">
        <v>1</v>
      </c>
      <c r="O431" t="s">
        <v>1</v>
      </c>
      <c r="P431" t="s">
        <v>275</v>
      </c>
      <c r="Q431" t="s">
        <v>1</v>
      </c>
      <c r="R431" t="s">
        <v>275</v>
      </c>
      <c r="S431" t="s">
        <v>275</v>
      </c>
      <c r="T431" t="s">
        <v>275</v>
      </c>
      <c r="U431" t="s">
        <v>275</v>
      </c>
      <c r="V431" t="s">
        <v>275</v>
      </c>
      <c r="W431" t="s">
        <v>10</v>
      </c>
      <c r="X431" t="s">
        <v>275</v>
      </c>
      <c r="Y431" t="s">
        <v>275</v>
      </c>
      <c r="Z431" t="s">
        <v>275</v>
      </c>
      <c r="AA431" t="s">
        <v>275</v>
      </c>
      <c r="AB431" t="s">
        <v>275</v>
      </c>
      <c r="AC431" t="s">
        <v>275</v>
      </c>
      <c r="AD431" t="s">
        <v>275</v>
      </c>
    </row>
    <row r="432" spans="1:30">
      <c r="A432">
        <v>430</v>
      </c>
      <c r="B432" t="s">
        <v>975</v>
      </c>
      <c r="C432" t="s">
        <v>976</v>
      </c>
      <c r="D432" t="str">
        <f>IF(VLOOKUP(C432,'Capabilities Overview'!$A$2:$A$587,1)=C432,"","Not in UCL")</f>
        <v/>
      </c>
      <c r="E432" t="s">
        <v>1</v>
      </c>
      <c r="F432" t="s">
        <v>1</v>
      </c>
      <c r="G432" t="s">
        <v>275</v>
      </c>
      <c r="H432" t="s">
        <v>275</v>
      </c>
      <c r="I432" t="s">
        <v>275</v>
      </c>
      <c r="J432" t="s">
        <v>275</v>
      </c>
      <c r="K432" t="s">
        <v>275</v>
      </c>
      <c r="L432" t="s">
        <v>275</v>
      </c>
      <c r="M432" t="s">
        <v>1</v>
      </c>
      <c r="N432" t="s">
        <v>1</v>
      </c>
      <c r="O432" t="s">
        <v>1</v>
      </c>
      <c r="P432" t="s">
        <v>275</v>
      </c>
      <c r="Q432" t="s">
        <v>1</v>
      </c>
      <c r="R432" t="s">
        <v>275</v>
      </c>
      <c r="S432" t="s">
        <v>275</v>
      </c>
      <c r="T432" t="s">
        <v>275</v>
      </c>
      <c r="U432" t="s">
        <v>275</v>
      </c>
      <c r="V432" t="s">
        <v>275</v>
      </c>
      <c r="W432" t="s">
        <v>10</v>
      </c>
      <c r="X432" t="s">
        <v>275</v>
      </c>
      <c r="Y432" t="s">
        <v>275</v>
      </c>
      <c r="Z432" t="s">
        <v>275</v>
      </c>
      <c r="AA432" t="s">
        <v>275</v>
      </c>
      <c r="AB432" t="s">
        <v>275</v>
      </c>
      <c r="AC432" t="s">
        <v>275</v>
      </c>
      <c r="AD432" t="s">
        <v>275</v>
      </c>
    </row>
    <row r="433" spans="1:30">
      <c r="A433">
        <v>431</v>
      </c>
      <c r="B433" t="s">
        <v>977</v>
      </c>
      <c r="C433" t="s">
        <v>978</v>
      </c>
      <c r="D433" t="str">
        <f>IF(VLOOKUP(C433,'Capabilities Overview'!$A$2:$A$587,1)=C433,"","Not in UCL")</f>
        <v/>
      </c>
      <c r="E433" t="s">
        <v>1</v>
      </c>
      <c r="F433" t="s">
        <v>1</v>
      </c>
      <c r="G433" t="s">
        <v>275</v>
      </c>
      <c r="H433" t="s">
        <v>275</v>
      </c>
      <c r="I433" t="s">
        <v>1</v>
      </c>
      <c r="J433" t="s">
        <v>275</v>
      </c>
      <c r="K433" t="s">
        <v>275</v>
      </c>
      <c r="L433" t="s">
        <v>275</v>
      </c>
      <c r="M433" t="s">
        <v>1</v>
      </c>
      <c r="N433" t="s">
        <v>1</v>
      </c>
      <c r="O433" t="s">
        <v>1</v>
      </c>
      <c r="P433" t="s">
        <v>275</v>
      </c>
      <c r="Q433" t="s">
        <v>1</v>
      </c>
      <c r="R433" t="s">
        <v>275</v>
      </c>
      <c r="S433" t="s">
        <v>275</v>
      </c>
      <c r="T433" t="s">
        <v>275</v>
      </c>
      <c r="U433" t="s">
        <v>275</v>
      </c>
      <c r="V433" t="s">
        <v>275</v>
      </c>
      <c r="W433" t="s">
        <v>10</v>
      </c>
      <c r="X433" t="s">
        <v>275</v>
      </c>
      <c r="Y433" t="s">
        <v>275</v>
      </c>
      <c r="Z433" t="s">
        <v>275</v>
      </c>
      <c r="AA433" t="s">
        <v>275</v>
      </c>
      <c r="AB433" t="s">
        <v>275</v>
      </c>
      <c r="AC433" t="s">
        <v>275</v>
      </c>
      <c r="AD433" t="s">
        <v>275</v>
      </c>
    </row>
    <row r="434" spans="1:30">
      <c r="A434">
        <v>432</v>
      </c>
      <c r="B434" t="s">
        <v>979</v>
      </c>
      <c r="C434" t="s">
        <v>980</v>
      </c>
      <c r="D434" t="str">
        <f>IF(VLOOKUP(C434,'Capabilities Overview'!$A$2:$A$587,1)=C434,"","Not in UCL")</f>
        <v/>
      </c>
      <c r="E434" t="s">
        <v>1</v>
      </c>
      <c r="F434" t="s">
        <v>1</v>
      </c>
      <c r="G434" t="s">
        <v>275</v>
      </c>
      <c r="H434" t="s">
        <v>275</v>
      </c>
      <c r="I434" t="s">
        <v>1</v>
      </c>
      <c r="J434" t="s">
        <v>275</v>
      </c>
      <c r="K434" t="s">
        <v>275</v>
      </c>
      <c r="L434" t="s">
        <v>275</v>
      </c>
      <c r="M434" t="s">
        <v>1</v>
      </c>
      <c r="N434" t="s">
        <v>1</v>
      </c>
      <c r="O434" t="s">
        <v>1</v>
      </c>
      <c r="P434" t="s">
        <v>275</v>
      </c>
      <c r="Q434" t="s">
        <v>1</v>
      </c>
      <c r="R434" t="s">
        <v>1</v>
      </c>
      <c r="S434" t="s">
        <v>275</v>
      </c>
      <c r="T434" t="s">
        <v>275</v>
      </c>
      <c r="U434" t="s">
        <v>275</v>
      </c>
      <c r="V434" t="s">
        <v>275</v>
      </c>
      <c r="W434" t="s">
        <v>10</v>
      </c>
      <c r="X434" t="s">
        <v>275</v>
      </c>
      <c r="Y434" t="s">
        <v>275</v>
      </c>
      <c r="Z434" t="s">
        <v>275</v>
      </c>
      <c r="AA434" t="s">
        <v>275</v>
      </c>
      <c r="AB434" t="s">
        <v>275</v>
      </c>
      <c r="AC434" t="s">
        <v>275</v>
      </c>
      <c r="AD434" t="s">
        <v>275</v>
      </c>
    </row>
    <row r="435" spans="1:30">
      <c r="A435">
        <v>433</v>
      </c>
      <c r="B435" t="s">
        <v>981</v>
      </c>
      <c r="C435" t="s">
        <v>982</v>
      </c>
      <c r="D435" t="str">
        <f>IF(VLOOKUP(C435,'Capabilities Overview'!$A$2:$A$587,1)=C435,"","Not in UCL")</f>
        <v>Not in UCL</v>
      </c>
      <c r="E435" t="s">
        <v>1</v>
      </c>
      <c r="F435" t="s">
        <v>275</v>
      </c>
      <c r="G435" t="s">
        <v>275</v>
      </c>
      <c r="H435" t="s">
        <v>275</v>
      </c>
      <c r="I435" t="s">
        <v>275</v>
      </c>
      <c r="J435" t="s">
        <v>275</v>
      </c>
      <c r="K435" t="s">
        <v>275</v>
      </c>
      <c r="L435" t="s">
        <v>275</v>
      </c>
      <c r="M435" t="s">
        <v>1</v>
      </c>
      <c r="N435" t="s">
        <v>1</v>
      </c>
      <c r="O435" t="s">
        <v>1</v>
      </c>
      <c r="P435" t="s">
        <v>275</v>
      </c>
      <c r="Q435" t="s">
        <v>275</v>
      </c>
      <c r="R435" t="s">
        <v>275</v>
      </c>
      <c r="S435" t="s">
        <v>275</v>
      </c>
      <c r="T435" t="s">
        <v>275</v>
      </c>
      <c r="U435" t="s">
        <v>275</v>
      </c>
      <c r="V435" t="s">
        <v>275</v>
      </c>
      <c r="W435" t="s">
        <v>275</v>
      </c>
      <c r="X435" t="s">
        <v>275</v>
      </c>
      <c r="Y435" t="s">
        <v>275</v>
      </c>
      <c r="Z435" t="s">
        <v>275</v>
      </c>
      <c r="AA435" t="s">
        <v>275</v>
      </c>
      <c r="AB435" t="s">
        <v>275</v>
      </c>
      <c r="AC435" t="s">
        <v>275</v>
      </c>
      <c r="AD435" t="s">
        <v>275</v>
      </c>
    </row>
    <row r="436" spans="1:30">
      <c r="A436">
        <v>434</v>
      </c>
      <c r="B436" t="s">
        <v>983</v>
      </c>
      <c r="C436" t="s">
        <v>984</v>
      </c>
      <c r="D436" t="str">
        <f>IF(VLOOKUP(C436,'Capabilities Overview'!$A$2:$A$587,1)=C436,"","Not in UCL")</f>
        <v>Not in UCL</v>
      </c>
      <c r="E436" t="s">
        <v>275</v>
      </c>
      <c r="F436" t="s">
        <v>275</v>
      </c>
      <c r="G436" t="s">
        <v>275</v>
      </c>
      <c r="H436" t="s">
        <v>275</v>
      </c>
      <c r="I436" t="s">
        <v>275</v>
      </c>
      <c r="J436" t="s">
        <v>275</v>
      </c>
      <c r="K436" t="s">
        <v>275</v>
      </c>
      <c r="L436" t="s">
        <v>275</v>
      </c>
      <c r="M436" t="s">
        <v>1</v>
      </c>
      <c r="N436" t="s">
        <v>1</v>
      </c>
      <c r="O436" t="s">
        <v>1</v>
      </c>
      <c r="P436" t="s">
        <v>275</v>
      </c>
      <c r="Q436" t="s">
        <v>1</v>
      </c>
      <c r="R436" t="s">
        <v>275</v>
      </c>
      <c r="S436" t="s">
        <v>275</v>
      </c>
      <c r="T436" t="s">
        <v>275</v>
      </c>
      <c r="U436" t="s">
        <v>275</v>
      </c>
      <c r="V436" t="s">
        <v>275</v>
      </c>
      <c r="W436" t="s">
        <v>275</v>
      </c>
      <c r="X436" t="s">
        <v>275</v>
      </c>
      <c r="Y436" t="s">
        <v>275</v>
      </c>
      <c r="Z436" t="s">
        <v>275</v>
      </c>
      <c r="AA436" t="s">
        <v>275</v>
      </c>
      <c r="AB436" t="s">
        <v>275</v>
      </c>
      <c r="AC436" t="s">
        <v>275</v>
      </c>
      <c r="AD436" t="s">
        <v>275</v>
      </c>
    </row>
    <row r="437" spans="1:30">
      <c r="A437">
        <v>435</v>
      </c>
      <c r="B437" t="s">
        <v>985</v>
      </c>
      <c r="C437" t="s">
        <v>986</v>
      </c>
      <c r="D437" t="str">
        <f>IF(VLOOKUP(C437,'Capabilities Overview'!$A$2:$A$587,1)=C437,"","Not in UCL")</f>
        <v>Not in UCL</v>
      </c>
      <c r="E437" t="s">
        <v>1</v>
      </c>
      <c r="F437" t="s">
        <v>275</v>
      </c>
      <c r="G437" t="s">
        <v>275</v>
      </c>
      <c r="H437" t="s">
        <v>275</v>
      </c>
      <c r="I437" t="s">
        <v>275</v>
      </c>
      <c r="J437" t="s">
        <v>275</v>
      </c>
      <c r="K437" t="s">
        <v>275</v>
      </c>
      <c r="L437" t="s">
        <v>275</v>
      </c>
      <c r="M437" t="s">
        <v>1</v>
      </c>
      <c r="N437" t="s">
        <v>1</v>
      </c>
      <c r="O437" t="s">
        <v>1</v>
      </c>
      <c r="P437" t="s">
        <v>275</v>
      </c>
      <c r="Q437" t="s">
        <v>1</v>
      </c>
      <c r="R437" t="s">
        <v>275</v>
      </c>
      <c r="S437" t="s">
        <v>275</v>
      </c>
      <c r="T437" t="s">
        <v>275</v>
      </c>
      <c r="U437" t="s">
        <v>275</v>
      </c>
      <c r="V437" t="s">
        <v>275</v>
      </c>
      <c r="W437" t="s">
        <v>275</v>
      </c>
      <c r="X437" t="s">
        <v>275</v>
      </c>
      <c r="Y437" t="s">
        <v>275</v>
      </c>
      <c r="Z437" t="s">
        <v>275</v>
      </c>
      <c r="AA437" t="s">
        <v>275</v>
      </c>
      <c r="AB437" t="s">
        <v>275</v>
      </c>
      <c r="AC437" t="s">
        <v>275</v>
      </c>
      <c r="AD437" t="s">
        <v>275</v>
      </c>
    </row>
    <row r="438" spans="1:30">
      <c r="A438">
        <v>436</v>
      </c>
      <c r="B438" t="s">
        <v>987</v>
      </c>
      <c r="C438" t="s">
        <v>988</v>
      </c>
      <c r="D438" t="str">
        <f>IF(VLOOKUP(C438,'Capabilities Overview'!$A$2:$A$587,1)=C438,"","Not in UCL")</f>
        <v>Not in UCL</v>
      </c>
      <c r="E438" t="s">
        <v>1</v>
      </c>
      <c r="F438" t="s">
        <v>275</v>
      </c>
      <c r="G438" t="s">
        <v>275</v>
      </c>
      <c r="H438" t="s">
        <v>275</v>
      </c>
      <c r="I438" t="s">
        <v>275</v>
      </c>
      <c r="J438" t="s">
        <v>275</v>
      </c>
      <c r="K438" t="s">
        <v>275</v>
      </c>
      <c r="L438" t="s">
        <v>275</v>
      </c>
      <c r="M438" t="s">
        <v>1</v>
      </c>
      <c r="N438" t="s">
        <v>1</v>
      </c>
      <c r="O438" t="s">
        <v>1</v>
      </c>
      <c r="P438" t="s">
        <v>275</v>
      </c>
      <c r="Q438" t="s">
        <v>275</v>
      </c>
      <c r="R438" t="s">
        <v>275</v>
      </c>
      <c r="S438" t="s">
        <v>275</v>
      </c>
      <c r="T438" t="s">
        <v>275</v>
      </c>
      <c r="U438" t="s">
        <v>275</v>
      </c>
      <c r="V438" t="s">
        <v>275</v>
      </c>
      <c r="W438" t="s">
        <v>275</v>
      </c>
      <c r="X438" t="s">
        <v>275</v>
      </c>
      <c r="Y438" t="s">
        <v>275</v>
      </c>
      <c r="Z438" t="s">
        <v>275</v>
      </c>
      <c r="AA438" t="s">
        <v>275</v>
      </c>
      <c r="AB438" t="s">
        <v>275</v>
      </c>
      <c r="AC438" t="s">
        <v>275</v>
      </c>
      <c r="AD438" t="s">
        <v>275</v>
      </c>
    </row>
    <row r="439" spans="1:30">
      <c r="A439">
        <v>437</v>
      </c>
      <c r="B439" t="s">
        <v>989</v>
      </c>
      <c r="C439" t="s">
        <v>990</v>
      </c>
      <c r="D439" t="str">
        <f>IF(VLOOKUP(C439,'Capabilities Overview'!$A$2:$A$587,1)=C439,"","Not in UCL")</f>
        <v>Not in UCL</v>
      </c>
      <c r="E439" t="s">
        <v>1</v>
      </c>
      <c r="F439" t="s">
        <v>275</v>
      </c>
      <c r="G439" t="s">
        <v>275</v>
      </c>
      <c r="H439" t="s">
        <v>275</v>
      </c>
      <c r="I439" t="s">
        <v>275</v>
      </c>
      <c r="J439" t="s">
        <v>275</v>
      </c>
      <c r="K439" t="s">
        <v>275</v>
      </c>
      <c r="L439" t="s">
        <v>275</v>
      </c>
      <c r="M439" t="s">
        <v>1</v>
      </c>
      <c r="N439" t="s">
        <v>1</v>
      </c>
      <c r="O439" t="s">
        <v>1</v>
      </c>
      <c r="P439" t="s">
        <v>275</v>
      </c>
      <c r="Q439" t="s">
        <v>1</v>
      </c>
      <c r="R439" t="s">
        <v>275</v>
      </c>
      <c r="S439" t="s">
        <v>275</v>
      </c>
      <c r="T439" t="s">
        <v>275</v>
      </c>
      <c r="U439" t="s">
        <v>275</v>
      </c>
      <c r="V439" t="s">
        <v>275</v>
      </c>
      <c r="W439" t="s">
        <v>275</v>
      </c>
      <c r="X439" t="s">
        <v>275</v>
      </c>
      <c r="Y439" t="s">
        <v>275</v>
      </c>
      <c r="Z439" t="s">
        <v>275</v>
      </c>
      <c r="AA439" t="s">
        <v>275</v>
      </c>
      <c r="AB439" t="s">
        <v>275</v>
      </c>
      <c r="AC439" t="s">
        <v>275</v>
      </c>
      <c r="AD439" t="s">
        <v>275</v>
      </c>
    </row>
    <row r="440" spans="1:30">
      <c r="A440">
        <v>438</v>
      </c>
      <c r="B440" t="s">
        <v>991</v>
      </c>
      <c r="C440" t="s">
        <v>992</v>
      </c>
      <c r="D440" t="str">
        <f>IF(VLOOKUP(C440,'Capabilities Overview'!$A$2:$A$587,1)=C440,"","Not in UCL")</f>
        <v>Not in UCL</v>
      </c>
      <c r="E440" t="s">
        <v>275</v>
      </c>
      <c r="F440" t="s">
        <v>275</v>
      </c>
      <c r="G440" t="s">
        <v>275</v>
      </c>
      <c r="H440" t="s">
        <v>275</v>
      </c>
      <c r="I440" t="s">
        <v>275</v>
      </c>
      <c r="J440" t="s">
        <v>275</v>
      </c>
      <c r="K440" t="s">
        <v>275</v>
      </c>
      <c r="L440" t="s">
        <v>275</v>
      </c>
      <c r="M440" t="s">
        <v>275</v>
      </c>
      <c r="N440" t="s">
        <v>275</v>
      </c>
      <c r="O440" t="s">
        <v>275</v>
      </c>
      <c r="P440" t="s">
        <v>275</v>
      </c>
      <c r="Q440" t="s">
        <v>275</v>
      </c>
      <c r="R440" t="s">
        <v>1</v>
      </c>
      <c r="S440" t="s">
        <v>275</v>
      </c>
      <c r="T440" t="s">
        <v>275</v>
      </c>
      <c r="U440" t="s">
        <v>275</v>
      </c>
      <c r="V440" t="s">
        <v>275</v>
      </c>
      <c r="W440" t="s">
        <v>275</v>
      </c>
      <c r="X440" t="s">
        <v>275</v>
      </c>
      <c r="Y440" t="s">
        <v>275</v>
      </c>
      <c r="Z440" t="s">
        <v>275</v>
      </c>
      <c r="AA440" t="s">
        <v>275</v>
      </c>
      <c r="AB440" t="s">
        <v>275</v>
      </c>
      <c r="AC440" t="s">
        <v>275</v>
      </c>
      <c r="AD440" t="s">
        <v>275</v>
      </c>
    </row>
    <row r="441" spans="1:30">
      <c r="A441">
        <v>439</v>
      </c>
      <c r="B441" t="s">
        <v>993</v>
      </c>
      <c r="C441" t="s">
        <v>994</v>
      </c>
      <c r="D441" t="str">
        <f>IF(VLOOKUP(C441,'Capabilities Overview'!$A$2:$A$587,1)=C441,"","Not in UCL")</f>
        <v>Not in UCL</v>
      </c>
      <c r="E441" t="s">
        <v>275</v>
      </c>
      <c r="F441" t="s">
        <v>275</v>
      </c>
      <c r="G441" t="s">
        <v>275</v>
      </c>
      <c r="H441" t="s">
        <v>275</v>
      </c>
      <c r="I441" t="s">
        <v>275</v>
      </c>
      <c r="J441" t="s">
        <v>275</v>
      </c>
      <c r="K441" t="s">
        <v>275</v>
      </c>
      <c r="L441" t="s">
        <v>275</v>
      </c>
      <c r="M441" t="s">
        <v>275</v>
      </c>
      <c r="N441" t="s">
        <v>275</v>
      </c>
      <c r="O441" t="s">
        <v>275</v>
      </c>
      <c r="P441" t="s">
        <v>275</v>
      </c>
      <c r="Q441" t="s">
        <v>275</v>
      </c>
      <c r="R441" t="s">
        <v>275</v>
      </c>
      <c r="S441" t="s">
        <v>275</v>
      </c>
      <c r="T441" t="s">
        <v>275</v>
      </c>
      <c r="U441" t="s">
        <v>275</v>
      </c>
      <c r="V441" t="s">
        <v>275</v>
      </c>
      <c r="W441" t="s">
        <v>275</v>
      </c>
      <c r="X441" t="s">
        <v>275</v>
      </c>
      <c r="Y441" t="s">
        <v>275</v>
      </c>
      <c r="Z441" t="s">
        <v>275</v>
      </c>
      <c r="AA441" t="s">
        <v>275</v>
      </c>
      <c r="AB441" t="s">
        <v>275</v>
      </c>
      <c r="AC441" t="s">
        <v>275</v>
      </c>
      <c r="AD441" t="s">
        <v>275</v>
      </c>
    </row>
    <row r="442" spans="1:30">
      <c r="A442">
        <v>440</v>
      </c>
      <c r="B442" t="s">
        <v>995</v>
      </c>
      <c r="C442" t="s">
        <v>996</v>
      </c>
      <c r="D442" t="str">
        <f>IF(VLOOKUP(C442,'Capabilities Overview'!$A$2:$A$587,1)=C442,"","Not in UCL")</f>
        <v>Not in UCL</v>
      </c>
      <c r="E442" t="s">
        <v>1</v>
      </c>
      <c r="F442" t="s">
        <v>275</v>
      </c>
      <c r="G442" t="s">
        <v>275</v>
      </c>
      <c r="H442" t="s">
        <v>275</v>
      </c>
      <c r="I442" t="s">
        <v>275</v>
      </c>
      <c r="J442" t="s">
        <v>275</v>
      </c>
      <c r="K442" t="s">
        <v>275</v>
      </c>
      <c r="L442" t="s">
        <v>275</v>
      </c>
      <c r="M442" t="s">
        <v>1</v>
      </c>
      <c r="N442" t="s">
        <v>1</v>
      </c>
      <c r="O442" t="s">
        <v>1</v>
      </c>
      <c r="P442" t="s">
        <v>275</v>
      </c>
      <c r="Q442" t="s">
        <v>1</v>
      </c>
      <c r="R442" t="s">
        <v>275</v>
      </c>
      <c r="S442" t="s">
        <v>275</v>
      </c>
      <c r="T442" t="s">
        <v>275</v>
      </c>
      <c r="U442" t="s">
        <v>275</v>
      </c>
      <c r="V442" t="s">
        <v>275</v>
      </c>
      <c r="W442" t="s">
        <v>275</v>
      </c>
      <c r="X442" t="s">
        <v>275</v>
      </c>
      <c r="Y442" t="s">
        <v>275</v>
      </c>
      <c r="Z442" t="s">
        <v>275</v>
      </c>
      <c r="AA442" t="s">
        <v>275</v>
      </c>
      <c r="AB442" t="s">
        <v>275</v>
      </c>
      <c r="AC442" t="s">
        <v>275</v>
      </c>
      <c r="AD442" t="s">
        <v>275</v>
      </c>
    </row>
    <row r="443" spans="1:30">
      <c r="A443">
        <v>441</v>
      </c>
      <c r="B443" t="s">
        <v>997</v>
      </c>
      <c r="C443" t="s">
        <v>998</v>
      </c>
      <c r="D443" t="str">
        <f>IF(VLOOKUP(C443,'Capabilities Overview'!$A$2:$A$587,1)=C443,"","Not in UCL")</f>
        <v/>
      </c>
      <c r="E443" t="s">
        <v>275</v>
      </c>
      <c r="F443" t="s">
        <v>275</v>
      </c>
      <c r="G443" t="s">
        <v>275</v>
      </c>
      <c r="H443" t="s">
        <v>275</v>
      </c>
      <c r="I443" t="s">
        <v>275</v>
      </c>
      <c r="J443" t="s">
        <v>275</v>
      </c>
      <c r="K443" t="s">
        <v>275</v>
      </c>
      <c r="L443" t="s">
        <v>275</v>
      </c>
      <c r="M443" t="s">
        <v>275</v>
      </c>
      <c r="N443" t="s">
        <v>275</v>
      </c>
      <c r="O443" t="s">
        <v>1</v>
      </c>
      <c r="P443" t="s">
        <v>275</v>
      </c>
      <c r="Q443" t="s">
        <v>1</v>
      </c>
      <c r="R443" t="s">
        <v>1</v>
      </c>
      <c r="S443" t="s">
        <v>275</v>
      </c>
      <c r="T443" t="s">
        <v>275</v>
      </c>
      <c r="U443" t="s">
        <v>275</v>
      </c>
      <c r="V443" t="s">
        <v>275</v>
      </c>
      <c r="W443" t="s">
        <v>10</v>
      </c>
      <c r="X443" t="s">
        <v>275</v>
      </c>
      <c r="Y443" t="s">
        <v>275</v>
      </c>
      <c r="Z443" t="s">
        <v>275</v>
      </c>
      <c r="AA443" t="s">
        <v>275</v>
      </c>
      <c r="AB443" t="s">
        <v>275</v>
      </c>
      <c r="AC443" t="s">
        <v>275</v>
      </c>
      <c r="AD443" t="s">
        <v>275</v>
      </c>
    </row>
    <row r="444" spans="1:30">
      <c r="A444">
        <v>442</v>
      </c>
      <c r="B444" t="s">
        <v>955</v>
      </c>
      <c r="C444" t="s">
        <v>999</v>
      </c>
      <c r="D444" t="str">
        <f>IF(VLOOKUP(C444,'Capabilities Overview'!$A$2:$A$587,1)=C444,"","Not in UCL")</f>
        <v/>
      </c>
      <c r="E444" t="s">
        <v>1</v>
      </c>
      <c r="F444" t="s">
        <v>1</v>
      </c>
      <c r="G444" t="s">
        <v>275</v>
      </c>
      <c r="H444" t="s">
        <v>275</v>
      </c>
      <c r="I444" t="s">
        <v>275</v>
      </c>
      <c r="J444" t="s">
        <v>275</v>
      </c>
      <c r="K444" t="s">
        <v>275</v>
      </c>
      <c r="L444" t="s">
        <v>275</v>
      </c>
      <c r="M444" t="s">
        <v>1</v>
      </c>
      <c r="N444" t="s">
        <v>1</v>
      </c>
      <c r="O444" t="s">
        <v>1</v>
      </c>
      <c r="P444" t="s">
        <v>275</v>
      </c>
      <c r="Q444" t="s">
        <v>1</v>
      </c>
      <c r="R444" t="s">
        <v>275</v>
      </c>
      <c r="S444" t="s">
        <v>275</v>
      </c>
      <c r="T444" t="s">
        <v>275</v>
      </c>
      <c r="U444" t="s">
        <v>275</v>
      </c>
      <c r="V444" t="s">
        <v>275</v>
      </c>
      <c r="W444" t="s">
        <v>10</v>
      </c>
      <c r="X444" t="s">
        <v>275</v>
      </c>
      <c r="Y444" t="s">
        <v>275</v>
      </c>
      <c r="Z444" t="s">
        <v>275</v>
      </c>
      <c r="AA444" t="s">
        <v>275</v>
      </c>
      <c r="AB444" t="s">
        <v>275</v>
      </c>
      <c r="AC444" t="s">
        <v>275</v>
      </c>
      <c r="AD444" t="s">
        <v>275</v>
      </c>
    </row>
    <row r="445" spans="1:30">
      <c r="A445">
        <v>443</v>
      </c>
      <c r="B445" t="s">
        <v>957</v>
      </c>
      <c r="C445" t="s">
        <v>1000</v>
      </c>
      <c r="D445" t="str">
        <f>IF(VLOOKUP(C445,'Capabilities Overview'!$A$2:$A$587,1)=C445,"","Not in UCL")</f>
        <v/>
      </c>
      <c r="E445" t="s">
        <v>1</v>
      </c>
      <c r="F445" t="s">
        <v>1</v>
      </c>
      <c r="G445" t="s">
        <v>275</v>
      </c>
      <c r="H445" t="s">
        <v>275</v>
      </c>
      <c r="I445" t="s">
        <v>275</v>
      </c>
      <c r="J445" t="s">
        <v>275</v>
      </c>
      <c r="K445" t="s">
        <v>275</v>
      </c>
      <c r="L445" t="s">
        <v>275</v>
      </c>
      <c r="M445" t="s">
        <v>1</v>
      </c>
      <c r="N445" t="s">
        <v>1</v>
      </c>
      <c r="O445" t="s">
        <v>1</v>
      </c>
      <c r="P445" t="s">
        <v>275</v>
      </c>
      <c r="Q445" t="s">
        <v>1</v>
      </c>
      <c r="R445" t="s">
        <v>275</v>
      </c>
      <c r="S445" t="s">
        <v>275</v>
      </c>
      <c r="T445" t="s">
        <v>275</v>
      </c>
      <c r="U445" t="s">
        <v>275</v>
      </c>
      <c r="V445" t="s">
        <v>275</v>
      </c>
      <c r="W445" t="s">
        <v>10</v>
      </c>
      <c r="X445" t="s">
        <v>275</v>
      </c>
      <c r="Y445" t="s">
        <v>275</v>
      </c>
      <c r="Z445" t="s">
        <v>275</v>
      </c>
      <c r="AA445" t="s">
        <v>275</v>
      </c>
      <c r="AB445" t="s">
        <v>275</v>
      </c>
      <c r="AC445" t="s">
        <v>275</v>
      </c>
      <c r="AD445" t="s">
        <v>275</v>
      </c>
    </row>
    <row r="446" spans="1:30">
      <c r="A446">
        <v>444</v>
      </c>
      <c r="B446" t="s">
        <v>959</v>
      </c>
      <c r="C446" t="s">
        <v>1001</v>
      </c>
      <c r="D446" t="str">
        <f>IF(VLOOKUP(C446,'Capabilities Overview'!$A$2:$A$587,1)=C446,"","Not in UCL")</f>
        <v/>
      </c>
      <c r="E446" t="s">
        <v>1</v>
      </c>
      <c r="F446" t="s">
        <v>1</v>
      </c>
      <c r="G446" t="s">
        <v>275</v>
      </c>
      <c r="H446" t="s">
        <v>275</v>
      </c>
      <c r="I446" t="s">
        <v>1</v>
      </c>
      <c r="J446" t="s">
        <v>275</v>
      </c>
      <c r="K446" t="s">
        <v>275</v>
      </c>
      <c r="L446" t="s">
        <v>1</v>
      </c>
      <c r="M446" t="s">
        <v>1</v>
      </c>
      <c r="N446" t="s">
        <v>1</v>
      </c>
      <c r="O446" t="s">
        <v>1</v>
      </c>
      <c r="P446" t="s">
        <v>275</v>
      </c>
      <c r="Q446" t="s">
        <v>1</v>
      </c>
      <c r="R446" t="s">
        <v>275</v>
      </c>
      <c r="S446" t="s">
        <v>275</v>
      </c>
      <c r="T446" t="s">
        <v>275</v>
      </c>
      <c r="U446" t="s">
        <v>275</v>
      </c>
      <c r="V446" t="s">
        <v>275</v>
      </c>
      <c r="W446" t="s">
        <v>10</v>
      </c>
      <c r="X446" t="s">
        <v>275</v>
      </c>
      <c r="Y446" t="s">
        <v>275</v>
      </c>
      <c r="Z446" t="s">
        <v>275</v>
      </c>
      <c r="AA446" t="s">
        <v>275</v>
      </c>
      <c r="AB446" t="s">
        <v>275</v>
      </c>
      <c r="AC446" t="s">
        <v>275</v>
      </c>
      <c r="AD446" t="s">
        <v>275</v>
      </c>
    </row>
    <row r="447" spans="1:30">
      <c r="A447">
        <v>445</v>
      </c>
      <c r="B447" t="s">
        <v>1002</v>
      </c>
      <c r="C447" t="s">
        <v>1003</v>
      </c>
      <c r="D447" t="str">
        <f>IF(VLOOKUP(C447,'Capabilities Overview'!$A$2:$A$587,1)=C447,"","Not in UCL")</f>
        <v/>
      </c>
      <c r="E447" t="s">
        <v>1</v>
      </c>
      <c r="F447" t="s">
        <v>1</v>
      </c>
      <c r="G447" t="s">
        <v>275</v>
      </c>
      <c r="H447" t="s">
        <v>275</v>
      </c>
      <c r="I447" t="s">
        <v>275</v>
      </c>
      <c r="J447" t="s">
        <v>275</v>
      </c>
      <c r="K447" t="s">
        <v>275</v>
      </c>
      <c r="L447" t="s">
        <v>275</v>
      </c>
      <c r="M447" t="s">
        <v>1</v>
      </c>
      <c r="N447" t="s">
        <v>1</v>
      </c>
      <c r="O447" t="s">
        <v>1</v>
      </c>
      <c r="P447" t="s">
        <v>275</v>
      </c>
      <c r="Q447" t="s">
        <v>1</v>
      </c>
      <c r="R447" t="s">
        <v>275</v>
      </c>
      <c r="S447" t="s">
        <v>275</v>
      </c>
      <c r="T447" t="s">
        <v>275</v>
      </c>
      <c r="U447" t="s">
        <v>275</v>
      </c>
      <c r="V447" t="s">
        <v>275</v>
      </c>
      <c r="W447" t="s">
        <v>10</v>
      </c>
      <c r="X447" t="s">
        <v>275</v>
      </c>
      <c r="Y447" t="s">
        <v>275</v>
      </c>
      <c r="Z447" t="s">
        <v>275</v>
      </c>
      <c r="AA447" t="s">
        <v>275</v>
      </c>
      <c r="AB447" t="s">
        <v>275</v>
      </c>
      <c r="AC447" t="s">
        <v>275</v>
      </c>
      <c r="AD447" t="s">
        <v>275</v>
      </c>
    </row>
    <row r="448" spans="1:30">
      <c r="A448">
        <v>446</v>
      </c>
      <c r="B448" t="s">
        <v>997</v>
      </c>
      <c r="C448" t="s">
        <v>1004</v>
      </c>
      <c r="D448" t="str">
        <f>IF(VLOOKUP(C448,'Capabilities Overview'!$A$2:$A$587,1)=C448,"","Not in UCL")</f>
        <v/>
      </c>
      <c r="E448" t="s">
        <v>275</v>
      </c>
      <c r="F448" t="s">
        <v>275</v>
      </c>
      <c r="G448" t="s">
        <v>275</v>
      </c>
      <c r="H448" t="s">
        <v>275</v>
      </c>
      <c r="I448" t="s">
        <v>275</v>
      </c>
      <c r="J448" t="s">
        <v>275</v>
      </c>
      <c r="K448" t="s">
        <v>275</v>
      </c>
      <c r="L448" t="s">
        <v>275</v>
      </c>
      <c r="M448" t="s">
        <v>1</v>
      </c>
      <c r="N448" t="s">
        <v>1</v>
      </c>
      <c r="O448" t="s">
        <v>1</v>
      </c>
      <c r="P448" t="s">
        <v>275</v>
      </c>
      <c r="Q448" t="s">
        <v>1</v>
      </c>
      <c r="R448" t="s">
        <v>1</v>
      </c>
      <c r="S448" t="s">
        <v>275</v>
      </c>
      <c r="T448" t="s">
        <v>275</v>
      </c>
      <c r="U448" t="s">
        <v>275</v>
      </c>
      <c r="V448" t="s">
        <v>275</v>
      </c>
      <c r="W448" t="s">
        <v>10</v>
      </c>
      <c r="X448" t="s">
        <v>275</v>
      </c>
      <c r="Y448" t="s">
        <v>275</v>
      </c>
      <c r="Z448" t="s">
        <v>275</v>
      </c>
      <c r="AA448" t="s">
        <v>275</v>
      </c>
      <c r="AB448" t="s">
        <v>275</v>
      </c>
      <c r="AC448" t="s">
        <v>275</v>
      </c>
      <c r="AD448" t="s">
        <v>275</v>
      </c>
    </row>
    <row r="449" spans="1:30">
      <c r="A449">
        <v>447</v>
      </c>
      <c r="B449" t="s">
        <v>955</v>
      </c>
      <c r="C449" t="s">
        <v>1005</v>
      </c>
      <c r="D449" t="str">
        <f>IF(VLOOKUP(C449,'Capabilities Overview'!$A$2:$A$587,1)=C449,"","Not in UCL")</f>
        <v/>
      </c>
      <c r="E449" t="s">
        <v>1</v>
      </c>
      <c r="F449" t="s">
        <v>1</v>
      </c>
      <c r="G449" t="s">
        <v>275</v>
      </c>
      <c r="H449" t="s">
        <v>275</v>
      </c>
      <c r="I449" t="s">
        <v>275</v>
      </c>
      <c r="J449" t="s">
        <v>275</v>
      </c>
      <c r="K449" t="s">
        <v>275</v>
      </c>
      <c r="L449" t="s">
        <v>275</v>
      </c>
      <c r="M449" t="s">
        <v>1</v>
      </c>
      <c r="N449" t="s">
        <v>1</v>
      </c>
      <c r="O449" t="s">
        <v>1</v>
      </c>
      <c r="P449" t="s">
        <v>275</v>
      </c>
      <c r="Q449" t="s">
        <v>1</v>
      </c>
      <c r="R449" t="s">
        <v>275</v>
      </c>
      <c r="S449" t="s">
        <v>275</v>
      </c>
      <c r="T449" t="s">
        <v>275</v>
      </c>
      <c r="U449" t="s">
        <v>275</v>
      </c>
      <c r="V449" t="s">
        <v>275</v>
      </c>
      <c r="W449" t="s">
        <v>10</v>
      </c>
      <c r="X449" t="s">
        <v>275</v>
      </c>
      <c r="Y449" t="s">
        <v>275</v>
      </c>
      <c r="Z449" t="s">
        <v>275</v>
      </c>
      <c r="AA449" t="s">
        <v>275</v>
      </c>
      <c r="AB449" t="s">
        <v>275</v>
      </c>
      <c r="AC449" t="s">
        <v>275</v>
      </c>
      <c r="AD449" t="s">
        <v>275</v>
      </c>
    </row>
    <row r="450" spans="1:30">
      <c r="A450">
        <v>448</v>
      </c>
      <c r="B450" t="s">
        <v>957</v>
      </c>
      <c r="C450" t="s">
        <v>1006</v>
      </c>
      <c r="D450" t="str">
        <f>IF(VLOOKUP(C450,'Capabilities Overview'!$A$2:$A$587,1)=C450,"","Not in UCL")</f>
        <v/>
      </c>
      <c r="E450" t="s">
        <v>1</v>
      </c>
      <c r="F450" t="s">
        <v>1</v>
      </c>
      <c r="G450" t="s">
        <v>275</v>
      </c>
      <c r="H450" t="s">
        <v>275</v>
      </c>
      <c r="I450" t="s">
        <v>275</v>
      </c>
      <c r="J450" t="s">
        <v>275</v>
      </c>
      <c r="K450" t="s">
        <v>275</v>
      </c>
      <c r="L450" t="s">
        <v>275</v>
      </c>
      <c r="M450" t="s">
        <v>1</v>
      </c>
      <c r="N450" t="s">
        <v>1</v>
      </c>
      <c r="O450" t="s">
        <v>1</v>
      </c>
      <c r="P450" t="s">
        <v>275</v>
      </c>
      <c r="Q450" t="s">
        <v>1</v>
      </c>
      <c r="R450" t="s">
        <v>275</v>
      </c>
      <c r="S450" t="s">
        <v>275</v>
      </c>
      <c r="T450" t="s">
        <v>275</v>
      </c>
      <c r="U450" t="s">
        <v>275</v>
      </c>
      <c r="V450" t="s">
        <v>275</v>
      </c>
      <c r="W450" t="s">
        <v>10</v>
      </c>
      <c r="X450" t="s">
        <v>275</v>
      </c>
      <c r="Y450" t="s">
        <v>275</v>
      </c>
      <c r="Z450" t="s">
        <v>275</v>
      </c>
      <c r="AA450" t="s">
        <v>275</v>
      </c>
      <c r="AB450" t="s">
        <v>275</v>
      </c>
      <c r="AC450" t="s">
        <v>275</v>
      </c>
      <c r="AD450" t="s">
        <v>275</v>
      </c>
    </row>
    <row r="451" spans="1:30">
      <c r="A451">
        <v>449</v>
      </c>
      <c r="B451" t="s">
        <v>959</v>
      </c>
      <c r="C451" t="s">
        <v>1007</v>
      </c>
      <c r="D451" t="str">
        <f>IF(VLOOKUP(C451,'Capabilities Overview'!$A$2:$A$587,1)=C451,"","Not in UCL")</f>
        <v/>
      </c>
      <c r="E451" t="s">
        <v>1</v>
      </c>
      <c r="F451" t="s">
        <v>1</v>
      </c>
      <c r="G451" t="s">
        <v>275</v>
      </c>
      <c r="H451" t="s">
        <v>275</v>
      </c>
      <c r="I451" t="s">
        <v>275</v>
      </c>
      <c r="J451" t="s">
        <v>275</v>
      </c>
      <c r="K451" t="s">
        <v>275</v>
      </c>
      <c r="L451" t="s">
        <v>275</v>
      </c>
      <c r="M451" t="s">
        <v>1</v>
      </c>
      <c r="N451" t="s">
        <v>1</v>
      </c>
      <c r="O451" t="s">
        <v>1</v>
      </c>
      <c r="P451" t="s">
        <v>275</v>
      </c>
      <c r="Q451" t="s">
        <v>1</v>
      </c>
      <c r="R451" t="s">
        <v>275</v>
      </c>
      <c r="S451" t="s">
        <v>275</v>
      </c>
      <c r="T451" t="s">
        <v>275</v>
      </c>
      <c r="U451" t="s">
        <v>275</v>
      </c>
      <c r="V451" t="s">
        <v>275</v>
      </c>
      <c r="W451" t="s">
        <v>10</v>
      </c>
      <c r="X451" t="s">
        <v>275</v>
      </c>
      <c r="Y451" t="s">
        <v>275</v>
      </c>
      <c r="Z451" t="s">
        <v>275</v>
      </c>
      <c r="AA451" t="s">
        <v>275</v>
      </c>
      <c r="AB451" t="s">
        <v>275</v>
      </c>
      <c r="AC451" t="s">
        <v>275</v>
      </c>
      <c r="AD451" t="s">
        <v>275</v>
      </c>
    </row>
    <row r="452" spans="1:30">
      <c r="A452">
        <v>450</v>
      </c>
      <c r="B452" t="s">
        <v>1008</v>
      </c>
      <c r="C452" t="s">
        <v>1009</v>
      </c>
      <c r="D452" t="str">
        <f>IF(VLOOKUP(C452,'Capabilities Overview'!$A$2:$A$587,1)=C452,"","Not in UCL")</f>
        <v>Not in UCL</v>
      </c>
      <c r="E452" t="s">
        <v>1</v>
      </c>
      <c r="F452" t="s">
        <v>1</v>
      </c>
      <c r="G452" t="s">
        <v>275</v>
      </c>
      <c r="H452" t="s">
        <v>275</v>
      </c>
      <c r="I452" t="s">
        <v>275</v>
      </c>
      <c r="J452" t="s">
        <v>275</v>
      </c>
      <c r="K452" t="s">
        <v>275</v>
      </c>
      <c r="L452" t="s">
        <v>275</v>
      </c>
      <c r="M452" t="s">
        <v>1</v>
      </c>
      <c r="N452" t="s">
        <v>1</v>
      </c>
      <c r="O452" t="s">
        <v>1</v>
      </c>
      <c r="P452" t="s">
        <v>275</v>
      </c>
      <c r="Q452" t="s">
        <v>1</v>
      </c>
      <c r="R452" t="s">
        <v>275</v>
      </c>
      <c r="S452" t="s">
        <v>275</v>
      </c>
      <c r="T452" t="s">
        <v>275</v>
      </c>
      <c r="U452" t="s">
        <v>275</v>
      </c>
      <c r="V452" t="s">
        <v>275</v>
      </c>
      <c r="W452" t="s">
        <v>275</v>
      </c>
      <c r="X452" t="s">
        <v>275</v>
      </c>
      <c r="Y452" t="s">
        <v>275</v>
      </c>
      <c r="Z452" t="s">
        <v>275</v>
      </c>
      <c r="AA452" t="s">
        <v>275</v>
      </c>
      <c r="AB452" t="s">
        <v>275</v>
      </c>
      <c r="AC452" t="s">
        <v>275</v>
      </c>
      <c r="AD452" t="s">
        <v>275</v>
      </c>
    </row>
    <row r="453" spans="1:30">
      <c r="A453">
        <v>451</v>
      </c>
      <c r="B453" t="s">
        <v>1010</v>
      </c>
      <c r="C453" t="s">
        <v>1011</v>
      </c>
      <c r="D453" t="str">
        <f>IF(VLOOKUP(C453,'Capabilities Overview'!$A$2:$A$587,1)=C453,"","Not in UCL")</f>
        <v>Not in UCL</v>
      </c>
      <c r="E453" t="s">
        <v>1</v>
      </c>
      <c r="F453" t="s">
        <v>1</v>
      </c>
      <c r="G453" t="s">
        <v>275</v>
      </c>
      <c r="H453" t="s">
        <v>275</v>
      </c>
      <c r="I453" t="s">
        <v>275</v>
      </c>
      <c r="J453" t="s">
        <v>275</v>
      </c>
      <c r="K453" t="s">
        <v>275</v>
      </c>
      <c r="L453" t="s">
        <v>275</v>
      </c>
      <c r="M453" t="s">
        <v>1</v>
      </c>
      <c r="N453" t="s">
        <v>1</v>
      </c>
      <c r="O453" t="s">
        <v>1</v>
      </c>
      <c r="P453" t="s">
        <v>275</v>
      </c>
      <c r="Q453" t="s">
        <v>1</v>
      </c>
      <c r="R453" t="s">
        <v>275</v>
      </c>
      <c r="S453" t="s">
        <v>275</v>
      </c>
      <c r="T453" t="s">
        <v>275</v>
      </c>
      <c r="U453" t="s">
        <v>275</v>
      </c>
      <c r="V453" t="s">
        <v>275</v>
      </c>
      <c r="W453" t="s">
        <v>275</v>
      </c>
      <c r="X453" t="s">
        <v>275</v>
      </c>
      <c r="Y453" t="s">
        <v>275</v>
      </c>
      <c r="Z453" t="s">
        <v>275</v>
      </c>
      <c r="AA453" t="s">
        <v>275</v>
      </c>
      <c r="AB453" t="s">
        <v>275</v>
      </c>
      <c r="AC453" t="s">
        <v>275</v>
      </c>
      <c r="AD453" t="s">
        <v>275</v>
      </c>
    </row>
    <row r="454" spans="1:30">
      <c r="A454">
        <v>452</v>
      </c>
      <c r="B454" t="s">
        <v>1012</v>
      </c>
      <c r="C454" t="s">
        <v>1013</v>
      </c>
      <c r="D454" t="str">
        <f>IF(VLOOKUP(C454,'Capabilities Overview'!$A$2:$A$587,1)=C454,"","Not in UCL")</f>
        <v>Not in UCL</v>
      </c>
      <c r="E454" t="s">
        <v>1</v>
      </c>
      <c r="F454" t="s">
        <v>1</v>
      </c>
      <c r="G454" t="s">
        <v>275</v>
      </c>
      <c r="H454" t="s">
        <v>275</v>
      </c>
      <c r="I454" t="s">
        <v>275</v>
      </c>
      <c r="J454" t="s">
        <v>275</v>
      </c>
      <c r="K454" t="s">
        <v>275</v>
      </c>
      <c r="L454" t="s">
        <v>275</v>
      </c>
      <c r="M454" t="s">
        <v>1</v>
      </c>
      <c r="N454" t="s">
        <v>1</v>
      </c>
      <c r="O454" t="s">
        <v>1</v>
      </c>
      <c r="P454" t="s">
        <v>275</v>
      </c>
      <c r="Q454" t="s">
        <v>1</v>
      </c>
      <c r="R454" t="s">
        <v>275</v>
      </c>
      <c r="S454" t="s">
        <v>275</v>
      </c>
      <c r="T454" t="s">
        <v>275</v>
      </c>
      <c r="U454" t="s">
        <v>275</v>
      </c>
      <c r="V454" t="s">
        <v>275</v>
      </c>
      <c r="W454" t="s">
        <v>275</v>
      </c>
      <c r="X454" t="s">
        <v>275</v>
      </c>
      <c r="Y454" t="s">
        <v>275</v>
      </c>
      <c r="Z454" t="s">
        <v>275</v>
      </c>
      <c r="AA454" t="s">
        <v>275</v>
      </c>
      <c r="AB454" t="s">
        <v>275</v>
      </c>
      <c r="AC454" t="s">
        <v>275</v>
      </c>
      <c r="AD454" t="s">
        <v>275</v>
      </c>
    </row>
    <row r="455" spans="1:30">
      <c r="A455">
        <v>453</v>
      </c>
      <c r="B455" t="s">
        <v>1014</v>
      </c>
      <c r="C455" t="s">
        <v>1015</v>
      </c>
      <c r="D455" t="str">
        <f>IF(VLOOKUP(C455,'Capabilities Overview'!$A$2:$A$587,1)=C455,"","Not in UCL")</f>
        <v>Not in UCL</v>
      </c>
      <c r="E455" t="s">
        <v>1</v>
      </c>
      <c r="F455" t="s">
        <v>1</v>
      </c>
      <c r="G455" t="s">
        <v>275</v>
      </c>
      <c r="H455" t="s">
        <v>275</v>
      </c>
      <c r="I455" t="s">
        <v>275</v>
      </c>
      <c r="J455" t="s">
        <v>275</v>
      </c>
      <c r="K455" t="s">
        <v>275</v>
      </c>
      <c r="L455" t="s">
        <v>275</v>
      </c>
      <c r="M455" t="s">
        <v>1</v>
      </c>
      <c r="N455" t="s">
        <v>1</v>
      </c>
      <c r="O455" t="s">
        <v>1</v>
      </c>
      <c r="P455" t="s">
        <v>275</v>
      </c>
      <c r="Q455" t="s">
        <v>1</v>
      </c>
      <c r="R455" t="s">
        <v>275</v>
      </c>
      <c r="S455" t="s">
        <v>275</v>
      </c>
      <c r="T455" t="s">
        <v>275</v>
      </c>
      <c r="U455" t="s">
        <v>275</v>
      </c>
      <c r="V455" t="s">
        <v>275</v>
      </c>
      <c r="W455" t="s">
        <v>275</v>
      </c>
      <c r="X455" t="s">
        <v>275</v>
      </c>
      <c r="Y455" t="s">
        <v>275</v>
      </c>
      <c r="Z455" t="s">
        <v>275</v>
      </c>
      <c r="AA455" t="s">
        <v>275</v>
      </c>
      <c r="AB455" t="s">
        <v>275</v>
      </c>
      <c r="AC455" t="s">
        <v>275</v>
      </c>
      <c r="AD455" t="s">
        <v>275</v>
      </c>
    </row>
    <row r="456" spans="1:30">
      <c r="A456">
        <v>454</v>
      </c>
      <c r="B456" t="s">
        <v>1016</v>
      </c>
      <c r="C456" t="s">
        <v>1017</v>
      </c>
      <c r="D456" t="str">
        <f>IF(VLOOKUP(C456,'Capabilities Overview'!$A$2:$A$587,1)=C456,"","Not in UCL")</f>
        <v>Not in UCL</v>
      </c>
      <c r="E456" t="s">
        <v>1</v>
      </c>
      <c r="F456" t="s">
        <v>1</v>
      </c>
      <c r="G456" t="s">
        <v>275</v>
      </c>
      <c r="H456" t="s">
        <v>275</v>
      </c>
      <c r="I456" t="s">
        <v>275</v>
      </c>
      <c r="J456" t="s">
        <v>275</v>
      </c>
      <c r="K456" t="s">
        <v>275</v>
      </c>
      <c r="L456" t="s">
        <v>275</v>
      </c>
      <c r="M456" t="s">
        <v>1</v>
      </c>
      <c r="N456" t="s">
        <v>1</v>
      </c>
      <c r="O456" t="s">
        <v>1</v>
      </c>
      <c r="P456" t="s">
        <v>275</v>
      </c>
      <c r="Q456" t="s">
        <v>1</v>
      </c>
      <c r="R456" t="s">
        <v>275</v>
      </c>
      <c r="S456" t="s">
        <v>275</v>
      </c>
      <c r="T456" t="s">
        <v>275</v>
      </c>
      <c r="U456" t="s">
        <v>275</v>
      </c>
      <c r="V456" t="s">
        <v>275</v>
      </c>
      <c r="W456" t="s">
        <v>275</v>
      </c>
      <c r="X456" t="s">
        <v>275</v>
      </c>
      <c r="Y456" t="s">
        <v>275</v>
      </c>
      <c r="Z456" t="s">
        <v>275</v>
      </c>
      <c r="AA456" t="s">
        <v>275</v>
      </c>
      <c r="AB456" t="s">
        <v>275</v>
      </c>
      <c r="AC456" t="s">
        <v>275</v>
      </c>
      <c r="AD456" t="s">
        <v>275</v>
      </c>
    </row>
    <row r="457" spans="1:30">
      <c r="A457">
        <v>455</v>
      </c>
      <c r="B457" t="s">
        <v>1018</v>
      </c>
      <c r="C457" t="s">
        <v>1019</v>
      </c>
      <c r="D457" t="str">
        <f>IF(VLOOKUP(C457,'Capabilities Overview'!$A$2:$A$587,1)=C457,"","Not in UCL")</f>
        <v/>
      </c>
      <c r="E457" t="s">
        <v>1</v>
      </c>
      <c r="F457" t="s">
        <v>1</v>
      </c>
      <c r="G457" t="s">
        <v>275</v>
      </c>
      <c r="H457" t="s">
        <v>275</v>
      </c>
      <c r="I457" t="s">
        <v>275</v>
      </c>
      <c r="J457" t="s">
        <v>275</v>
      </c>
      <c r="K457" t="s">
        <v>275</v>
      </c>
      <c r="L457" t="s">
        <v>275</v>
      </c>
      <c r="M457" t="s">
        <v>1</v>
      </c>
      <c r="N457" t="s">
        <v>1</v>
      </c>
      <c r="O457" t="s">
        <v>1</v>
      </c>
      <c r="P457" t="s">
        <v>275</v>
      </c>
      <c r="Q457" t="s">
        <v>1</v>
      </c>
      <c r="R457" t="s">
        <v>275</v>
      </c>
      <c r="S457" t="s">
        <v>275</v>
      </c>
      <c r="T457" t="s">
        <v>275</v>
      </c>
      <c r="U457" t="s">
        <v>275</v>
      </c>
      <c r="V457" t="s">
        <v>275</v>
      </c>
      <c r="W457" t="s">
        <v>10</v>
      </c>
      <c r="X457" t="s">
        <v>275</v>
      </c>
      <c r="Y457" t="s">
        <v>275</v>
      </c>
      <c r="Z457" t="s">
        <v>275</v>
      </c>
      <c r="AA457" t="s">
        <v>275</v>
      </c>
      <c r="AB457" t="s">
        <v>275</v>
      </c>
      <c r="AC457" t="s">
        <v>275</v>
      </c>
      <c r="AD457" t="s">
        <v>275</v>
      </c>
    </row>
    <row r="458" spans="1:30">
      <c r="A458">
        <v>456</v>
      </c>
      <c r="B458" t="s">
        <v>1020</v>
      </c>
      <c r="C458" t="s">
        <v>1021</v>
      </c>
      <c r="D458" t="str">
        <f>IF(VLOOKUP(C458,'Capabilities Overview'!$A$2:$A$587,1)=C458,"","Not in UCL")</f>
        <v/>
      </c>
      <c r="E458" t="s">
        <v>1</v>
      </c>
      <c r="F458" t="s">
        <v>275</v>
      </c>
      <c r="G458" t="s">
        <v>275</v>
      </c>
      <c r="H458" t="s">
        <v>275</v>
      </c>
      <c r="I458" t="s">
        <v>275</v>
      </c>
      <c r="J458" t="s">
        <v>275</v>
      </c>
      <c r="K458" t="s">
        <v>275</v>
      </c>
      <c r="L458" t="s">
        <v>275</v>
      </c>
      <c r="M458" t="s">
        <v>1</v>
      </c>
      <c r="N458" t="s">
        <v>1</v>
      </c>
      <c r="O458" t="s">
        <v>1</v>
      </c>
      <c r="P458" t="s">
        <v>275</v>
      </c>
      <c r="Q458" t="s">
        <v>1</v>
      </c>
      <c r="R458" t="s">
        <v>1</v>
      </c>
      <c r="S458" t="s">
        <v>275</v>
      </c>
      <c r="T458" t="s">
        <v>275</v>
      </c>
      <c r="U458" t="s">
        <v>275</v>
      </c>
      <c r="V458" t="s">
        <v>275</v>
      </c>
      <c r="W458" t="s">
        <v>10</v>
      </c>
      <c r="X458" t="s">
        <v>275</v>
      </c>
      <c r="Y458" t="s">
        <v>275</v>
      </c>
      <c r="Z458" t="s">
        <v>275</v>
      </c>
      <c r="AA458" t="s">
        <v>275</v>
      </c>
      <c r="AB458" t="s">
        <v>275</v>
      </c>
      <c r="AC458" t="s">
        <v>275</v>
      </c>
      <c r="AD458" t="s">
        <v>275</v>
      </c>
    </row>
    <row r="459" spans="1:30">
      <c r="A459">
        <v>457</v>
      </c>
      <c r="B459" t="s">
        <v>1022</v>
      </c>
      <c r="C459" t="s">
        <v>1023</v>
      </c>
      <c r="D459" t="str">
        <f>IF(VLOOKUP(C459,'Capabilities Overview'!$A$2:$A$587,1)=C459,"","Not in UCL")</f>
        <v/>
      </c>
      <c r="E459" t="s">
        <v>1</v>
      </c>
      <c r="F459" t="s">
        <v>1</v>
      </c>
      <c r="G459" t="s">
        <v>275</v>
      </c>
      <c r="H459" t="s">
        <v>275</v>
      </c>
      <c r="I459" t="s">
        <v>275</v>
      </c>
      <c r="J459" t="s">
        <v>275</v>
      </c>
      <c r="K459" t="s">
        <v>275</v>
      </c>
      <c r="L459" t="s">
        <v>275</v>
      </c>
      <c r="M459" t="s">
        <v>1</v>
      </c>
      <c r="N459" t="s">
        <v>1</v>
      </c>
      <c r="O459" t="s">
        <v>1</v>
      </c>
      <c r="P459" t="s">
        <v>275</v>
      </c>
      <c r="Q459" t="s">
        <v>1</v>
      </c>
      <c r="R459" t="s">
        <v>275</v>
      </c>
      <c r="S459" t="s">
        <v>275</v>
      </c>
      <c r="T459" t="s">
        <v>275</v>
      </c>
      <c r="U459" t="s">
        <v>275</v>
      </c>
      <c r="V459" t="s">
        <v>275</v>
      </c>
      <c r="W459" t="s">
        <v>10</v>
      </c>
      <c r="X459" t="s">
        <v>275</v>
      </c>
      <c r="Y459" t="s">
        <v>275</v>
      </c>
      <c r="Z459" t="s">
        <v>275</v>
      </c>
      <c r="AA459" t="s">
        <v>275</v>
      </c>
      <c r="AB459" t="s">
        <v>275</v>
      </c>
      <c r="AC459" t="s">
        <v>275</v>
      </c>
      <c r="AD459" t="s">
        <v>275</v>
      </c>
    </row>
    <row r="460" spans="1:30">
      <c r="A460">
        <v>458</v>
      </c>
      <c r="B460" t="s">
        <v>1024</v>
      </c>
      <c r="C460" t="s">
        <v>1025</v>
      </c>
      <c r="D460" t="str">
        <f>IF(VLOOKUP(C460,'Capabilities Overview'!$A$2:$A$587,1)=C460,"","Not in UCL")</f>
        <v/>
      </c>
      <c r="E460" t="s">
        <v>1</v>
      </c>
      <c r="F460" t="s">
        <v>1</v>
      </c>
      <c r="G460" t="s">
        <v>275</v>
      </c>
      <c r="H460" t="s">
        <v>275</v>
      </c>
      <c r="I460" t="s">
        <v>275</v>
      </c>
      <c r="J460" t="s">
        <v>275</v>
      </c>
      <c r="K460" t="s">
        <v>275</v>
      </c>
      <c r="L460" t="s">
        <v>275</v>
      </c>
      <c r="M460" t="s">
        <v>1</v>
      </c>
      <c r="N460" t="s">
        <v>1</v>
      </c>
      <c r="O460" t="s">
        <v>1</v>
      </c>
      <c r="P460" t="s">
        <v>275</v>
      </c>
      <c r="Q460" t="s">
        <v>1</v>
      </c>
      <c r="R460" t="s">
        <v>275</v>
      </c>
      <c r="S460" t="s">
        <v>275</v>
      </c>
      <c r="T460" t="s">
        <v>275</v>
      </c>
      <c r="U460" t="s">
        <v>275</v>
      </c>
      <c r="V460" t="s">
        <v>275</v>
      </c>
      <c r="W460" t="s">
        <v>10</v>
      </c>
      <c r="X460" t="s">
        <v>275</v>
      </c>
      <c r="Y460" t="s">
        <v>275</v>
      </c>
      <c r="Z460" t="s">
        <v>275</v>
      </c>
      <c r="AA460" t="s">
        <v>275</v>
      </c>
      <c r="AB460" t="s">
        <v>275</v>
      </c>
      <c r="AC460" t="s">
        <v>275</v>
      </c>
      <c r="AD460" t="s">
        <v>275</v>
      </c>
    </row>
    <row r="461" spans="1:30">
      <c r="A461">
        <v>459</v>
      </c>
      <c r="B461" t="s">
        <v>1026</v>
      </c>
      <c r="C461" t="s">
        <v>1027</v>
      </c>
      <c r="D461" t="str">
        <f>IF(VLOOKUP(C461,'Capabilities Overview'!$A$2:$A$587,1)=C461,"","Not in UCL")</f>
        <v/>
      </c>
      <c r="E461" t="s">
        <v>1</v>
      </c>
      <c r="F461" t="s">
        <v>1</v>
      </c>
      <c r="G461" t="s">
        <v>275</v>
      </c>
      <c r="H461" t="s">
        <v>275</v>
      </c>
      <c r="I461" t="s">
        <v>275</v>
      </c>
      <c r="J461" t="s">
        <v>275</v>
      </c>
      <c r="K461" t="s">
        <v>275</v>
      </c>
      <c r="L461" t="s">
        <v>275</v>
      </c>
      <c r="M461" t="s">
        <v>1</v>
      </c>
      <c r="N461" t="s">
        <v>1</v>
      </c>
      <c r="O461" t="s">
        <v>1</v>
      </c>
      <c r="P461" t="s">
        <v>275</v>
      </c>
      <c r="Q461" t="s">
        <v>1</v>
      </c>
      <c r="R461" t="s">
        <v>1</v>
      </c>
      <c r="S461" t="s">
        <v>275</v>
      </c>
      <c r="T461" t="s">
        <v>275</v>
      </c>
      <c r="U461" t="s">
        <v>275</v>
      </c>
      <c r="V461" t="s">
        <v>275</v>
      </c>
      <c r="W461" t="s">
        <v>10</v>
      </c>
      <c r="X461" t="s">
        <v>275</v>
      </c>
      <c r="Y461" t="s">
        <v>275</v>
      </c>
      <c r="Z461" t="s">
        <v>275</v>
      </c>
      <c r="AA461" t="s">
        <v>275</v>
      </c>
      <c r="AB461" t="s">
        <v>275</v>
      </c>
      <c r="AC461" t="s">
        <v>275</v>
      </c>
      <c r="AD461" t="s">
        <v>275</v>
      </c>
    </row>
    <row r="462" spans="1:30">
      <c r="A462">
        <v>460</v>
      </c>
      <c r="B462" t="s">
        <v>1028</v>
      </c>
      <c r="C462" t="s">
        <v>1029</v>
      </c>
      <c r="D462" t="str">
        <f>IF(VLOOKUP(C462,'Capabilities Overview'!$A$2:$A$587,1)=C462,"","Not in UCL")</f>
        <v/>
      </c>
      <c r="E462" t="s">
        <v>1</v>
      </c>
      <c r="F462" t="s">
        <v>275</v>
      </c>
      <c r="G462" t="s">
        <v>275</v>
      </c>
      <c r="H462" t="s">
        <v>275</v>
      </c>
      <c r="I462" t="s">
        <v>275</v>
      </c>
      <c r="J462" t="s">
        <v>275</v>
      </c>
      <c r="K462" t="s">
        <v>275</v>
      </c>
      <c r="L462" t="s">
        <v>275</v>
      </c>
      <c r="M462" t="s">
        <v>1</v>
      </c>
      <c r="N462" t="s">
        <v>1</v>
      </c>
      <c r="O462" t="s">
        <v>1</v>
      </c>
      <c r="P462" t="s">
        <v>275</v>
      </c>
      <c r="Q462" t="s">
        <v>1</v>
      </c>
      <c r="R462" t="s">
        <v>275</v>
      </c>
      <c r="S462" t="s">
        <v>275</v>
      </c>
      <c r="T462" t="s">
        <v>275</v>
      </c>
      <c r="U462" t="s">
        <v>275</v>
      </c>
      <c r="V462" t="s">
        <v>275</v>
      </c>
      <c r="W462" t="s">
        <v>275</v>
      </c>
      <c r="X462" t="s">
        <v>275</v>
      </c>
      <c r="Y462" t="s">
        <v>275</v>
      </c>
      <c r="Z462" t="s">
        <v>275</v>
      </c>
      <c r="AA462" t="s">
        <v>275</v>
      </c>
      <c r="AB462" t="s">
        <v>275</v>
      </c>
      <c r="AC462" t="s">
        <v>275</v>
      </c>
      <c r="AD462" t="s">
        <v>275</v>
      </c>
    </row>
    <row r="463" spans="1:30">
      <c r="A463">
        <v>461</v>
      </c>
      <c r="B463" t="s">
        <v>1030</v>
      </c>
      <c r="C463" t="s">
        <v>1031</v>
      </c>
      <c r="D463" t="str">
        <f>IF(VLOOKUP(C463,'Capabilities Overview'!$A$2:$A$587,1)=C463,"","Not in UCL")</f>
        <v/>
      </c>
      <c r="E463" t="s">
        <v>1</v>
      </c>
      <c r="F463" t="s">
        <v>1</v>
      </c>
      <c r="G463" t="s">
        <v>275</v>
      </c>
      <c r="H463" t="s">
        <v>275</v>
      </c>
      <c r="I463" t="s">
        <v>275</v>
      </c>
      <c r="J463" t="s">
        <v>275</v>
      </c>
      <c r="K463" t="s">
        <v>275</v>
      </c>
      <c r="L463" t="s">
        <v>275</v>
      </c>
      <c r="M463" t="s">
        <v>1</v>
      </c>
      <c r="N463" t="s">
        <v>1</v>
      </c>
      <c r="O463" t="s">
        <v>1</v>
      </c>
      <c r="P463" t="s">
        <v>275</v>
      </c>
      <c r="Q463" t="s">
        <v>1</v>
      </c>
      <c r="R463" t="s">
        <v>275</v>
      </c>
      <c r="S463" t="s">
        <v>275</v>
      </c>
      <c r="T463" t="s">
        <v>275</v>
      </c>
      <c r="U463" t="s">
        <v>275</v>
      </c>
      <c r="V463" t="s">
        <v>275</v>
      </c>
      <c r="W463" t="s">
        <v>10</v>
      </c>
      <c r="X463" t="s">
        <v>275</v>
      </c>
      <c r="Y463" t="s">
        <v>275</v>
      </c>
      <c r="Z463" t="s">
        <v>275</v>
      </c>
      <c r="AA463" t="s">
        <v>275</v>
      </c>
      <c r="AB463" t="s">
        <v>275</v>
      </c>
      <c r="AC463" t="s">
        <v>275</v>
      </c>
      <c r="AD463" t="s">
        <v>275</v>
      </c>
    </row>
    <row r="464" spans="1:30">
      <c r="A464">
        <v>462</v>
      </c>
      <c r="B464" t="s">
        <v>1032</v>
      </c>
      <c r="C464" t="s">
        <v>1033</v>
      </c>
      <c r="D464" t="str">
        <f>IF(VLOOKUP(C464,'Capabilities Overview'!$A$2:$A$587,1)=C464,"","Not in UCL")</f>
        <v/>
      </c>
      <c r="E464" t="s">
        <v>1</v>
      </c>
      <c r="F464" t="s">
        <v>1</v>
      </c>
      <c r="G464" t="s">
        <v>275</v>
      </c>
      <c r="H464" t="s">
        <v>275</v>
      </c>
      <c r="I464" t="s">
        <v>275</v>
      </c>
      <c r="J464" t="s">
        <v>275</v>
      </c>
      <c r="K464" t="s">
        <v>275</v>
      </c>
      <c r="L464" t="s">
        <v>275</v>
      </c>
      <c r="M464" t="s">
        <v>1</v>
      </c>
      <c r="N464" t="s">
        <v>1</v>
      </c>
      <c r="O464" t="s">
        <v>1</v>
      </c>
      <c r="P464" t="s">
        <v>275</v>
      </c>
      <c r="Q464" t="s">
        <v>1</v>
      </c>
      <c r="R464" t="s">
        <v>275</v>
      </c>
      <c r="S464" t="s">
        <v>275</v>
      </c>
      <c r="T464" t="s">
        <v>275</v>
      </c>
      <c r="U464" t="s">
        <v>275</v>
      </c>
      <c r="V464" t="s">
        <v>275</v>
      </c>
      <c r="W464" t="s">
        <v>10</v>
      </c>
      <c r="X464" t="s">
        <v>275</v>
      </c>
      <c r="Y464" t="s">
        <v>275</v>
      </c>
      <c r="Z464" t="s">
        <v>275</v>
      </c>
      <c r="AA464" t="s">
        <v>275</v>
      </c>
      <c r="AB464" t="s">
        <v>275</v>
      </c>
      <c r="AC464" t="s">
        <v>275</v>
      </c>
      <c r="AD464" t="s">
        <v>275</v>
      </c>
    </row>
    <row r="465" spans="1:30">
      <c r="A465">
        <v>463</v>
      </c>
      <c r="B465" t="s">
        <v>1034</v>
      </c>
      <c r="C465" t="s">
        <v>1035</v>
      </c>
      <c r="D465" t="str">
        <f>IF(VLOOKUP(C465,'Capabilities Overview'!$A$2:$A$587,1)=C465,"","Not in UCL")</f>
        <v/>
      </c>
      <c r="E465" t="s">
        <v>1</v>
      </c>
      <c r="F465" t="s">
        <v>1</v>
      </c>
      <c r="G465" t="s">
        <v>275</v>
      </c>
      <c r="H465" t="s">
        <v>275</v>
      </c>
      <c r="I465" t="s">
        <v>275</v>
      </c>
      <c r="J465" t="s">
        <v>275</v>
      </c>
      <c r="K465" t="s">
        <v>275</v>
      </c>
      <c r="L465" t="s">
        <v>275</v>
      </c>
      <c r="M465" t="s">
        <v>1</v>
      </c>
      <c r="N465" t="s">
        <v>1</v>
      </c>
      <c r="O465" t="s">
        <v>1</v>
      </c>
      <c r="P465" t="s">
        <v>275</v>
      </c>
      <c r="Q465" t="s">
        <v>275</v>
      </c>
      <c r="R465" t="s">
        <v>275</v>
      </c>
      <c r="S465" t="s">
        <v>275</v>
      </c>
      <c r="T465" t="s">
        <v>275</v>
      </c>
      <c r="U465" t="s">
        <v>275</v>
      </c>
      <c r="V465" t="s">
        <v>275</v>
      </c>
      <c r="W465" t="s">
        <v>10</v>
      </c>
      <c r="X465" t="s">
        <v>275</v>
      </c>
      <c r="Y465" t="s">
        <v>275</v>
      </c>
      <c r="Z465" t="s">
        <v>275</v>
      </c>
      <c r="AA465" t="s">
        <v>275</v>
      </c>
      <c r="AB465" t="s">
        <v>275</v>
      </c>
      <c r="AC465" t="s">
        <v>275</v>
      </c>
      <c r="AD465" t="s">
        <v>275</v>
      </c>
    </row>
    <row r="466" spans="1:30">
      <c r="A466">
        <v>464</v>
      </c>
      <c r="B466" t="s">
        <v>1036</v>
      </c>
      <c r="C466" t="s">
        <v>1037</v>
      </c>
      <c r="D466" t="str">
        <f>IF(VLOOKUP(C466,'Capabilities Overview'!$A$2:$A$587,1)=C466,"","Not in UCL")</f>
        <v/>
      </c>
      <c r="E466" t="s">
        <v>1</v>
      </c>
      <c r="F466" t="s">
        <v>1</v>
      </c>
      <c r="G466" t="s">
        <v>275</v>
      </c>
      <c r="H466" t="s">
        <v>275</v>
      </c>
      <c r="I466" t="s">
        <v>275</v>
      </c>
      <c r="J466" t="s">
        <v>275</v>
      </c>
      <c r="K466" t="s">
        <v>275</v>
      </c>
      <c r="L466" t="s">
        <v>275</v>
      </c>
      <c r="M466" t="s">
        <v>1</v>
      </c>
      <c r="N466" t="s">
        <v>1</v>
      </c>
      <c r="O466" t="s">
        <v>275</v>
      </c>
      <c r="P466" t="s">
        <v>275</v>
      </c>
      <c r="Q466" t="s">
        <v>275</v>
      </c>
      <c r="R466" t="s">
        <v>275</v>
      </c>
      <c r="S466" t="s">
        <v>275</v>
      </c>
      <c r="T466" t="s">
        <v>275</v>
      </c>
      <c r="U466" t="s">
        <v>275</v>
      </c>
      <c r="V466" t="s">
        <v>275</v>
      </c>
      <c r="W466" t="s">
        <v>10</v>
      </c>
      <c r="X466" t="s">
        <v>275</v>
      </c>
      <c r="Y466" t="s">
        <v>275</v>
      </c>
      <c r="Z466" t="s">
        <v>275</v>
      </c>
      <c r="AA466" t="s">
        <v>275</v>
      </c>
      <c r="AB466" t="s">
        <v>275</v>
      </c>
      <c r="AC466" t="s">
        <v>275</v>
      </c>
      <c r="AD466" t="s">
        <v>275</v>
      </c>
    </row>
    <row r="467" spans="1:30">
      <c r="A467">
        <v>465</v>
      </c>
      <c r="B467" t="s">
        <v>1038</v>
      </c>
      <c r="C467" t="s">
        <v>1039</v>
      </c>
      <c r="D467" t="str">
        <f>IF(VLOOKUP(C467,'Capabilities Overview'!$A$2:$A$587,1)=C467,"","Not in UCL")</f>
        <v/>
      </c>
      <c r="E467" t="s">
        <v>1</v>
      </c>
      <c r="F467" t="s">
        <v>1</v>
      </c>
      <c r="G467" t="s">
        <v>275</v>
      </c>
      <c r="H467" t="s">
        <v>275</v>
      </c>
      <c r="I467" t="s">
        <v>275</v>
      </c>
      <c r="J467" t="s">
        <v>275</v>
      </c>
      <c r="K467" t="s">
        <v>275</v>
      </c>
      <c r="L467" t="s">
        <v>275</v>
      </c>
      <c r="M467" t="s">
        <v>1</v>
      </c>
      <c r="N467" t="s">
        <v>1</v>
      </c>
      <c r="O467" t="s">
        <v>1</v>
      </c>
      <c r="P467" t="s">
        <v>275</v>
      </c>
      <c r="Q467" t="s">
        <v>1</v>
      </c>
      <c r="R467" t="s">
        <v>275</v>
      </c>
      <c r="S467" t="s">
        <v>275</v>
      </c>
      <c r="T467" t="s">
        <v>275</v>
      </c>
      <c r="U467" t="s">
        <v>275</v>
      </c>
      <c r="V467" t="s">
        <v>275</v>
      </c>
      <c r="W467" t="s">
        <v>10</v>
      </c>
      <c r="X467" t="s">
        <v>275</v>
      </c>
      <c r="Y467" t="s">
        <v>275</v>
      </c>
      <c r="Z467" t="s">
        <v>275</v>
      </c>
      <c r="AA467" t="s">
        <v>275</v>
      </c>
      <c r="AB467" t="s">
        <v>275</v>
      </c>
      <c r="AC467" t="s">
        <v>275</v>
      </c>
      <c r="AD467" t="s">
        <v>275</v>
      </c>
    </row>
    <row r="468" spans="1:30">
      <c r="A468">
        <v>466</v>
      </c>
      <c r="B468" t="s">
        <v>144</v>
      </c>
      <c r="C468" t="s">
        <v>1040</v>
      </c>
      <c r="D468" t="str">
        <f>IF(VLOOKUP(C468,'Capabilities Overview'!$A$2:$A$587,1)=C468,"","Not in UCL")</f>
        <v/>
      </c>
      <c r="E468" t="s">
        <v>1</v>
      </c>
      <c r="F468" t="s">
        <v>1</v>
      </c>
      <c r="G468" t="s">
        <v>275</v>
      </c>
      <c r="H468" t="s">
        <v>275</v>
      </c>
      <c r="I468" t="s">
        <v>1</v>
      </c>
      <c r="J468" t="s">
        <v>275</v>
      </c>
      <c r="K468" t="s">
        <v>275</v>
      </c>
      <c r="L468" t="s">
        <v>275</v>
      </c>
      <c r="M468" t="s">
        <v>1</v>
      </c>
      <c r="N468" t="s">
        <v>1</v>
      </c>
      <c r="O468" t="s">
        <v>1</v>
      </c>
      <c r="P468" t="s">
        <v>275</v>
      </c>
      <c r="Q468" t="s">
        <v>1</v>
      </c>
      <c r="R468" t="s">
        <v>275</v>
      </c>
      <c r="S468" t="s">
        <v>275</v>
      </c>
      <c r="T468" t="s">
        <v>275</v>
      </c>
      <c r="U468" t="s">
        <v>275</v>
      </c>
      <c r="V468" t="s">
        <v>275</v>
      </c>
      <c r="W468" t="s">
        <v>10</v>
      </c>
      <c r="X468" t="s">
        <v>275</v>
      </c>
      <c r="Y468" t="s">
        <v>275</v>
      </c>
      <c r="Z468" t="s">
        <v>275</v>
      </c>
      <c r="AA468" t="s">
        <v>275</v>
      </c>
      <c r="AB468" t="s">
        <v>275</v>
      </c>
      <c r="AC468" t="s">
        <v>275</v>
      </c>
      <c r="AD468" t="s">
        <v>275</v>
      </c>
    </row>
    <row r="469" spans="1:30">
      <c r="A469">
        <v>467</v>
      </c>
      <c r="B469" t="s">
        <v>1041</v>
      </c>
      <c r="C469" t="s">
        <v>1042</v>
      </c>
      <c r="D469" t="str">
        <f>IF(VLOOKUP(C469,'Capabilities Overview'!$A$2:$A$587,1)=C469,"","Not in UCL")</f>
        <v/>
      </c>
      <c r="E469" t="s">
        <v>1</v>
      </c>
      <c r="F469" t="s">
        <v>1</v>
      </c>
      <c r="G469" t="s">
        <v>275</v>
      </c>
      <c r="H469" t="s">
        <v>275</v>
      </c>
      <c r="I469" t="s">
        <v>1</v>
      </c>
      <c r="J469" t="s">
        <v>275</v>
      </c>
      <c r="K469" t="s">
        <v>275</v>
      </c>
      <c r="L469" t="s">
        <v>275</v>
      </c>
      <c r="M469" t="s">
        <v>1</v>
      </c>
      <c r="N469" t="s">
        <v>1</v>
      </c>
      <c r="O469" t="s">
        <v>1</v>
      </c>
      <c r="P469" t="s">
        <v>275</v>
      </c>
      <c r="Q469" t="s">
        <v>1</v>
      </c>
      <c r="R469" t="s">
        <v>275</v>
      </c>
      <c r="S469" t="s">
        <v>275</v>
      </c>
      <c r="T469" t="s">
        <v>275</v>
      </c>
      <c r="U469" t="s">
        <v>275</v>
      </c>
      <c r="V469" t="s">
        <v>275</v>
      </c>
      <c r="W469" t="s">
        <v>275</v>
      </c>
      <c r="X469" t="s">
        <v>275</v>
      </c>
      <c r="Y469" t="s">
        <v>275</v>
      </c>
      <c r="Z469" t="s">
        <v>275</v>
      </c>
      <c r="AA469" t="s">
        <v>275</v>
      </c>
      <c r="AB469" t="s">
        <v>275</v>
      </c>
      <c r="AC469" t="s">
        <v>275</v>
      </c>
      <c r="AD469" t="s">
        <v>275</v>
      </c>
    </row>
    <row r="470" spans="1:30">
      <c r="A470">
        <v>468</v>
      </c>
      <c r="B470" t="s">
        <v>146</v>
      </c>
      <c r="C470" t="s">
        <v>1043</v>
      </c>
      <c r="D470" t="str">
        <f>IF(VLOOKUP(C470,'Capabilities Overview'!$A$2:$A$587,1)=C470,"","Not in UCL")</f>
        <v/>
      </c>
      <c r="E470" t="s">
        <v>1</v>
      </c>
      <c r="F470" t="s">
        <v>1</v>
      </c>
      <c r="G470" t="s">
        <v>275</v>
      </c>
      <c r="H470" t="s">
        <v>275</v>
      </c>
      <c r="I470" t="s">
        <v>1</v>
      </c>
      <c r="J470" t="s">
        <v>275</v>
      </c>
      <c r="K470" t="s">
        <v>275</v>
      </c>
      <c r="L470" t="s">
        <v>1</v>
      </c>
      <c r="M470" t="s">
        <v>1</v>
      </c>
      <c r="N470" t="s">
        <v>1</v>
      </c>
      <c r="O470" t="s">
        <v>1</v>
      </c>
      <c r="P470" t="s">
        <v>275</v>
      </c>
      <c r="Q470" t="s">
        <v>1</v>
      </c>
      <c r="R470" t="s">
        <v>275</v>
      </c>
      <c r="S470" t="s">
        <v>275</v>
      </c>
      <c r="T470" t="s">
        <v>275</v>
      </c>
      <c r="U470" t="s">
        <v>275</v>
      </c>
      <c r="V470" t="s">
        <v>275</v>
      </c>
      <c r="W470" t="s">
        <v>275</v>
      </c>
      <c r="X470" t="s">
        <v>275</v>
      </c>
      <c r="Y470" t="s">
        <v>275</v>
      </c>
      <c r="Z470" t="s">
        <v>275</v>
      </c>
      <c r="AA470" t="s">
        <v>275</v>
      </c>
      <c r="AB470" t="s">
        <v>275</v>
      </c>
      <c r="AC470" t="s">
        <v>275</v>
      </c>
      <c r="AD470" t="s">
        <v>275</v>
      </c>
    </row>
    <row r="471" spans="1:30">
      <c r="A471">
        <v>469</v>
      </c>
      <c r="B471" t="s">
        <v>1044</v>
      </c>
      <c r="C471" t="s">
        <v>1045</v>
      </c>
      <c r="D471" t="str">
        <f>IF(VLOOKUP(C471,'Capabilities Overview'!$A$2:$A$587,1)=C471,"","Not in UCL")</f>
        <v/>
      </c>
      <c r="E471" t="s">
        <v>1</v>
      </c>
      <c r="F471" t="s">
        <v>1</v>
      </c>
      <c r="G471" t="s">
        <v>275</v>
      </c>
      <c r="H471" t="s">
        <v>275</v>
      </c>
      <c r="I471" t="s">
        <v>1</v>
      </c>
      <c r="J471" t="s">
        <v>275</v>
      </c>
      <c r="K471" t="s">
        <v>275</v>
      </c>
      <c r="L471" t="s">
        <v>1</v>
      </c>
      <c r="M471" t="s">
        <v>1</v>
      </c>
      <c r="N471" t="s">
        <v>1</v>
      </c>
      <c r="O471" t="s">
        <v>1</v>
      </c>
      <c r="P471" t="s">
        <v>275</v>
      </c>
      <c r="Q471" t="s">
        <v>1</v>
      </c>
      <c r="R471" t="s">
        <v>1</v>
      </c>
      <c r="S471" t="s">
        <v>1</v>
      </c>
      <c r="T471" t="s">
        <v>275</v>
      </c>
      <c r="U471" t="s">
        <v>1</v>
      </c>
      <c r="V471" t="s">
        <v>275</v>
      </c>
      <c r="W471" t="s">
        <v>1</v>
      </c>
      <c r="X471" t="s">
        <v>275</v>
      </c>
      <c r="Y471" t="s">
        <v>275</v>
      </c>
      <c r="Z471" t="s">
        <v>275</v>
      </c>
      <c r="AA471" t="s">
        <v>275</v>
      </c>
      <c r="AB471" t="s">
        <v>275</v>
      </c>
      <c r="AC471" t="s">
        <v>275</v>
      </c>
      <c r="AD471" t="s">
        <v>275</v>
      </c>
    </row>
    <row r="472" spans="1:30">
      <c r="A472">
        <v>470</v>
      </c>
      <c r="B472" t="s">
        <v>142</v>
      </c>
      <c r="C472" t="s">
        <v>1046</v>
      </c>
      <c r="D472" t="str">
        <f>IF(VLOOKUP(C472,'Capabilities Overview'!$A$2:$A$587,1)=C472,"","Not in UCL")</f>
        <v/>
      </c>
      <c r="E472" t="s">
        <v>1</v>
      </c>
      <c r="F472" t="s">
        <v>275</v>
      </c>
      <c r="G472" t="s">
        <v>275</v>
      </c>
      <c r="H472" t="s">
        <v>275</v>
      </c>
      <c r="I472" t="s">
        <v>1</v>
      </c>
      <c r="J472" t="s">
        <v>275</v>
      </c>
      <c r="K472" t="s">
        <v>275</v>
      </c>
      <c r="L472" t="s">
        <v>1</v>
      </c>
      <c r="M472" t="s">
        <v>275</v>
      </c>
      <c r="N472" t="s">
        <v>275</v>
      </c>
      <c r="O472" t="s">
        <v>1</v>
      </c>
      <c r="P472" t="s">
        <v>275</v>
      </c>
      <c r="Q472" t="s">
        <v>1</v>
      </c>
      <c r="R472" t="s">
        <v>275</v>
      </c>
      <c r="S472" t="s">
        <v>275</v>
      </c>
      <c r="T472" t="s">
        <v>275</v>
      </c>
      <c r="U472" t="s">
        <v>275</v>
      </c>
      <c r="V472" t="s">
        <v>275</v>
      </c>
      <c r="W472" t="s">
        <v>275</v>
      </c>
      <c r="X472" t="s">
        <v>275</v>
      </c>
      <c r="Y472" t="s">
        <v>275</v>
      </c>
      <c r="Z472" t="s">
        <v>275</v>
      </c>
      <c r="AA472" t="s">
        <v>275</v>
      </c>
      <c r="AB472" t="s">
        <v>275</v>
      </c>
      <c r="AC472" t="s">
        <v>275</v>
      </c>
      <c r="AD472" t="s">
        <v>275</v>
      </c>
    </row>
    <row r="473" spans="1:30">
      <c r="A473">
        <v>471</v>
      </c>
      <c r="B473" t="s">
        <v>1047</v>
      </c>
      <c r="C473" t="s">
        <v>1048</v>
      </c>
      <c r="D473" t="str">
        <f>IF(VLOOKUP(C473,'Capabilities Overview'!$A$2:$A$587,1)=C473,"","Not in UCL")</f>
        <v/>
      </c>
      <c r="E473" t="s">
        <v>1</v>
      </c>
      <c r="F473" t="s">
        <v>1</v>
      </c>
      <c r="G473" t="s">
        <v>275</v>
      </c>
      <c r="H473" t="s">
        <v>275</v>
      </c>
      <c r="I473" t="s">
        <v>275</v>
      </c>
      <c r="J473" t="s">
        <v>275</v>
      </c>
      <c r="K473" t="s">
        <v>275</v>
      </c>
      <c r="L473" t="s">
        <v>275</v>
      </c>
      <c r="M473" t="s">
        <v>1</v>
      </c>
      <c r="N473" t="s">
        <v>1</v>
      </c>
      <c r="O473" t="s">
        <v>1</v>
      </c>
      <c r="P473" t="s">
        <v>275</v>
      </c>
      <c r="Q473" t="s">
        <v>1</v>
      </c>
      <c r="R473" t="s">
        <v>1</v>
      </c>
      <c r="S473" t="s">
        <v>275</v>
      </c>
      <c r="T473" t="s">
        <v>275</v>
      </c>
      <c r="U473" t="s">
        <v>275</v>
      </c>
      <c r="V473" t="s">
        <v>275</v>
      </c>
      <c r="W473" t="s">
        <v>10</v>
      </c>
      <c r="X473" t="s">
        <v>275</v>
      </c>
      <c r="Y473" t="s">
        <v>275</v>
      </c>
      <c r="Z473" t="s">
        <v>275</v>
      </c>
      <c r="AA473" t="s">
        <v>275</v>
      </c>
      <c r="AB473" t="s">
        <v>275</v>
      </c>
      <c r="AC473" t="s">
        <v>275</v>
      </c>
      <c r="AD473" t="s">
        <v>275</v>
      </c>
    </row>
    <row r="474" spans="1:30">
      <c r="A474">
        <v>472</v>
      </c>
      <c r="B474" t="s">
        <v>1049</v>
      </c>
      <c r="C474" t="s">
        <v>1050</v>
      </c>
      <c r="D474" t="str">
        <f>IF(VLOOKUP(C474,'Capabilities Overview'!$A$2:$A$587,1)=C474,"","Not in UCL")</f>
        <v>Not in UCL</v>
      </c>
      <c r="E474" t="s">
        <v>1</v>
      </c>
      <c r="F474" t="s">
        <v>1</v>
      </c>
      <c r="G474" t="s">
        <v>275</v>
      </c>
      <c r="H474" t="s">
        <v>275</v>
      </c>
      <c r="I474" t="s">
        <v>275</v>
      </c>
      <c r="J474" t="s">
        <v>275</v>
      </c>
      <c r="K474" t="s">
        <v>275</v>
      </c>
      <c r="L474" t="s">
        <v>275</v>
      </c>
      <c r="M474" t="s">
        <v>1</v>
      </c>
      <c r="N474" t="s">
        <v>1</v>
      </c>
      <c r="O474" t="s">
        <v>1</v>
      </c>
      <c r="P474" t="s">
        <v>275</v>
      </c>
      <c r="Q474" t="s">
        <v>275</v>
      </c>
      <c r="R474" t="s">
        <v>275</v>
      </c>
      <c r="S474" t="s">
        <v>275</v>
      </c>
      <c r="T474" t="s">
        <v>275</v>
      </c>
      <c r="U474" t="s">
        <v>275</v>
      </c>
      <c r="V474" t="s">
        <v>275</v>
      </c>
      <c r="W474" t="s">
        <v>275</v>
      </c>
      <c r="X474" t="s">
        <v>275</v>
      </c>
      <c r="Y474" t="s">
        <v>275</v>
      </c>
      <c r="Z474" t="s">
        <v>275</v>
      </c>
      <c r="AA474" t="s">
        <v>275</v>
      </c>
      <c r="AB474" t="s">
        <v>275</v>
      </c>
      <c r="AC474" t="s">
        <v>275</v>
      </c>
      <c r="AD474" t="s">
        <v>275</v>
      </c>
    </row>
    <row r="475" spans="1:30">
      <c r="A475">
        <v>473</v>
      </c>
      <c r="B475" t="s">
        <v>1051</v>
      </c>
      <c r="C475" t="s">
        <v>1052</v>
      </c>
      <c r="D475" t="str">
        <f>IF(VLOOKUP(C475,'Capabilities Overview'!$A$2:$A$587,1)=C475,"","Not in UCL")</f>
        <v>Not in UCL</v>
      </c>
      <c r="E475" t="s">
        <v>1</v>
      </c>
      <c r="F475" t="s">
        <v>1</v>
      </c>
      <c r="G475" t="s">
        <v>275</v>
      </c>
      <c r="H475" t="s">
        <v>275</v>
      </c>
      <c r="I475" t="s">
        <v>275</v>
      </c>
      <c r="J475" t="s">
        <v>275</v>
      </c>
      <c r="K475" t="s">
        <v>275</v>
      </c>
      <c r="L475" t="s">
        <v>275</v>
      </c>
      <c r="M475" t="s">
        <v>1</v>
      </c>
      <c r="N475" t="s">
        <v>1</v>
      </c>
      <c r="O475" t="s">
        <v>1</v>
      </c>
      <c r="P475" t="s">
        <v>275</v>
      </c>
      <c r="Q475" t="s">
        <v>275</v>
      </c>
      <c r="R475" t="s">
        <v>275</v>
      </c>
      <c r="S475" t="s">
        <v>275</v>
      </c>
      <c r="T475" t="s">
        <v>275</v>
      </c>
      <c r="U475" t="s">
        <v>275</v>
      </c>
      <c r="V475" t="s">
        <v>275</v>
      </c>
      <c r="W475" t="s">
        <v>275</v>
      </c>
      <c r="X475" t="s">
        <v>275</v>
      </c>
      <c r="Y475" t="s">
        <v>275</v>
      </c>
      <c r="Z475" t="s">
        <v>275</v>
      </c>
      <c r="AA475" t="s">
        <v>275</v>
      </c>
      <c r="AB475" t="s">
        <v>275</v>
      </c>
      <c r="AC475" t="s">
        <v>275</v>
      </c>
      <c r="AD475" t="s">
        <v>275</v>
      </c>
    </row>
    <row r="476" spans="1:30">
      <c r="A476">
        <v>474</v>
      </c>
      <c r="B476" t="s">
        <v>1053</v>
      </c>
      <c r="C476" t="s">
        <v>1054</v>
      </c>
      <c r="D476" t="str">
        <f>IF(VLOOKUP(C476,'Capabilities Overview'!$A$2:$A$587,1)=C476,"","Not in UCL")</f>
        <v>Not in UCL</v>
      </c>
      <c r="E476" t="s">
        <v>1</v>
      </c>
      <c r="F476" t="s">
        <v>275</v>
      </c>
      <c r="G476" t="s">
        <v>275</v>
      </c>
      <c r="H476" t="s">
        <v>275</v>
      </c>
      <c r="I476" t="s">
        <v>275</v>
      </c>
      <c r="J476" t="s">
        <v>275</v>
      </c>
      <c r="K476" t="s">
        <v>275</v>
      </c>
      <c r="L476" t="s">
        <v>275</v>
      </c>
      <c r="M476" t="s">
        <v>275</v>
      </c>
      <c r="N476" t="s">
        <v>275</v>
      </c>
      <c r="O476" t="s">
        <v>275</v>
      </c>
      <c r="P476" t="s">
        <v>275</v>
      </c>
      <c r="Q476" t="s">
        <v>275</v>
      </c>
      <c r="R476" t="s">
        <v>275</v>
      </c>
      <c r="S476" t="s">
        <v>275</v>
      </c>
      <c r="T476" t="s">
        <v>275</v>
      </c>
      <c r="U476" t="s">
        <v>275</v>
      </c>
      <c r="V476" t="s">
        <v>275</v>
      </c>
      <c r="W476" t="s">
        <v>10</v>
      </c>
      <c r="X476" t="s">
        <v>275</v>
      </c>
      <c r="Y476" t="s">
        <v>275</v>
      </c>
      <c r="Z476" t="s">
        <v>275</v>
      </c>
      <c r="AA476" t="s">
        <v>275</v>
      </c>
      <c r="AB476" t="s">
        <v>275</v>
      </c>
      <c r="AC476" t="s">
        <v>275</v>
      </c>
      <c r="AD476" t="s">
        <v>275</v>
      </c>
    </row>
    <row r="477" spans="1:30">
      <c r="A477">
        <v>475</v>
      </c>
      <c r="B477" t="s">
        <v>1055</v>
      </c>
      <c r="C477" t="s">
        <v>1056</v>
      </c>
      <c r="D477" t="str">
        <f>IF(VLOOKUP(C477,'Capabilities Overview'!$A$2:$A$587,1)=C477,"","Not in UCL")</f>
        <v>Not in UCL</v>
      </c>
      <c r="E477" t="s">
        <v>1</v>
      </c>
      <c r="F477" t="s">
        <v>1</v>
      </c>
      <c r="G477" t="s">
        <v>275</v>
      </c>
      <c r="H477" t="s">
        <v>275</v>
      </c>
      <c r="I477" t="s">
        <v>275</v>
      </c>
      <c r="J477" t="s">
        <v>275</v>
      </c>
      <c r="K477" t="s">
        <v>275</v>
      </c>
      <c r="L477" t="s">
        <v>275</v>
      </c>
      <c r="M477" t="s">
        <v>1</v>
      </c>
      <c r="N477" t="s">
        <v>1</v>
      </c>
      <c r="O477" t="s">
        <v>1</v>
      </c>
      <c r="P477" t="s">
        <v>275</v>
      </c>
      <c r="Q477" t="s">
        <v>275</v>
      </c>
      <c r="R477" t="s">
        <v>275</v>
      </c>
      <c r="S477" t="s">
        <v>275</v>
      </c>
      <c r="T477" t="s">
        <v>275</v>
      </c>
      <c r="U477" t="s">
        <v>275</v>
      </c>
      <c r="V477" t="s">
        <v>275</v>
      </c>
      <c r="W477" t="s">
        <v>10</v>
      </c>
      <c r="X477" t="s">
        <v>275</v>
      </c>
      <c r="Y477" t="s">
        <v>275</v>
      </c>
      <c r="Z477" t="s">
        <v>275</v>
      </c>
      <c r="AA477" t="s">
        <v>275</v>
      </c>
      <c r="AB477" t="s">
        <v>275</v>
      </c>
      <c r="AC477" t="s">
        <v>275</v>
      </c>
      <c r="AD477" t="s">
        <v>275</v>
      </c>
    </row>
    <row r="478" spans="1:30">
      <c r="A478">
        <v>476</v>
      </c>
      <c r="B478" t="s">
        <v>1057</v>
      </c>
      <c r="C478" t="s">
        <v>1058</v>
      </c>
      <c r="D478" t="str">
        <f>IF(VLOOKUP(C478,'Capabilities Overview'!$A$2:$A$587,1)=C478,"","Not in UCL")</f>
        <v>Not in UCL</v>
      </c>
      <c r="E478" t="s">
        <v>1</v>
      </c>
      <c r="F478" t="s">
        <v>1</v>
      </c>
      <c r="G478" t="s">
        <v>275</v>
      </c>
      <c r="H478" t="s">
        <v>275</v>
      </c>
      <c r="I478" t="s">
        <v>275</v>
      </c>
      <c r="J478" t="s">
        <v>275</v>
      </c>
      <c r="K478" t="s">
        <v>275</v>
      </c>
      <c r="L478" t="s">
        <v>275</v>
      </c>
      <c r="M478" t="s">
        <v>1</v>
      </c>
      <c r="N478" t="s">
        <v>1</v>
      </c>
      <c r="O478" t="s">
        <v>1</v>
      </c>
      <c r="P478" t="s">
        <v>275</v>
      </c>
      <c r="Q478" t="s">
        <v>275</v>
      </c>
      <c r="R478" t="s">
        <v>275</v>
      </c>
      <c r="S478" t="s">
        <v>275</v>
      </c>
      <c r="T478" t="s">
        <v>275</v>
      </c>
      <c r="U478" t="s">
        <v>275</v>
      </c>
      <c r="V478" t="s">
        <v>275</v>
      </c>
      <c r="W478" t="s">
        <v>10</v>
      </c>
      <c r="X478" t="s">
        <v>275</v>
      </c>
      <c r="Y478" t="s">
        <v>275</v>
      </c>
      <c r="Z478" t="s">
        <v>275</v>
      </c>
      <c r="AA478" t="s">
        <v>275</v>
      </c>
      <c r="AB478" t="s">
        <v>275</v>
      </c>
      <c r="AC478" t="s">
        <v>275</v>
      </c>
      <c r="AD478" t="s">
        <v>275</v>
      </c>
    </row>
    <row r="479" spans="1:30">
      <c r="A479">
        <v>477</v>
      </c>
      <c r="B479" t="s">
        <v>1059</v>
      </c>
      <c r="C479" t="s">
        <v>1060</v>
      </c>
      <c r="D479" t="str">
        <f>IF(VLOOKUP(C479,'Capabilities Overview'!$A$2:$A$587,1)=C479,"","Not in UCL")</f>
        <v>Not in UCL</v>
      </c>
      <c r="E479" t="s">
        <v>1</v>
      </c>
      <c r="F479" t="s">
        <v>1</v>
      </c>
      <c r="G479" t="s">
        <v>275</v>
      </c>
      <c r="H479" t="s">
        <v>275</v>
      </c>
      <c r="I479" t="s">
        <v>275</v>
      </c>
      <c r="J479" t="s">
        <v>275</v>
      </c>
      <c r="K479" t="s">
        <v>275</v>
      </c>
      <c r="L479" t="s">
        <v>275</v>
      </c>
      <c r="M479" t="s">
        <v>1</v>
      </c>
      <c r="N479" t="s">
        <v>1</v>
      </c>
      <c r="O479" t="s">
        <v>1</v>
      </c>
      <c r="P479" t="s">
        <v>275</v>
      </c>
      <c r="Q479" t="s">
        <v>275</v>
      </c>
      <c r="R479" t="s">
        <v>275</v>
      </c>
      <c r="S479" t="s">
        <v>275</v>
      </c>
      <c r="T479" t="s">
        <v>275</v>
      </c>
      <c r="U479" t="s">
        <v>275</v>
      </c>
      <c r="V479" t="s">
        <v>275</v>
      </c>
      <c r="W479" t="s">
        <v>10</v>
      </c>
      <c r="X479" t="s">
        <v>275</v>
      </c>
      <c r="Y479" t="s">
        <v>275</v>
      </c>
      <c r="Z479" t="s">
        <v>275</v>
      </c>
      <c r="AA479" t="s">
        <v>275</v>
      </c>
      <c r="AB479" t="s">
        <v>275</v>
      </c>
      <c r="AC479" t="s">
        <v>275</v>
      </c>
      <c r="AD479" t="s">
        <v>275</v>
      </c>
    </row>
    <row r="480" spans="1:30">
      <c r="A480">
        <v>478</v>
      </c>
      <c r="B480" t="s">
        <v>1061</v>
      </c>
      <c r="C480" t="s">
        <v>1062</v>
      </c>
      <c r="D480" t="str">
        <f>IF(VLOOKUP(C480,'Capabilities Overview'!$A$2:$A$587,1)=C480,"","Not in UCL")</f>
        <v>Not in UCL</v>
      </c>
      <c r="E480" t="s">
        <v>1</v>
      </c>
      <c r="F480" t="s">
        <v>1</v>
      </c>
      <c r="G480" t="s">
        <v>275</v>
      </c>
      <c r="H480" t="s">
        <v>275</v>
      </c>
      <c r="I480" t="s">
        <v>1</v>
      </c>
      <c r="J480" t="s">
        <v>275</v>
      </c>
      <c r="K480" t="s">
        <v>275</v>
      </c>
      <c r="L480" t="s">
        <v>275</v>
      </c>
      <c r="M480" t="s">
        <v>1</v>
      </c>
      <c r="N480" t="s">
        <v>1</v>
      </c>
      <c r="O480" t="s">
        <v>1</v>
      </c>
      <c r="P480" t="s">
        <v>275</v>
      </c>
      <c r="Q480" t="s">
        <v>275</v>
      </c>
      <c r="R480" t="s">
        <v>275</v>
      </c>
      <c r="S480" t="s">
        <v>275</v>
      </c>
      <c r="T480" t="s">
        <v>275</v>
      </c>
      <c r="U480" t="s">
        <v>275</v>
      </c>
      <c r="V480" t="s">
        <v>275</v>
      </c>
      <c r="W480" t="s">
        <v>10</v>
      </c>
      <c r="X480" t="s">
        <v>275</v>
      </c>
      <c r="Y480" t="s">
        <v>275</v>
      </c>
      <c r="Z480" t="s">
        <v>275</v>
      </c>
      <c r="AA480" t="s">
        <v>275</v>
      </c>
      <c r="AB480" t="s">
        <v>275</v>
      </c>
      <c r="AC480" t="s">
        <v>275</v>
      </c>
      <c r="AD480" t="s">
        <v>275</v>
      </c>
    </row>
    <row r="481" spans="1:30">
      <c r="A481">
        <v>479</v>
      </c>
      <c r="B481" t="s">
        <v>150</v>
      </c>
      <c r="C481" t="s">
        <v>151</v>
      </c>
      <c r="D481" t="str">
        <f>IF(VLOOKUP(C481,'Capabilities Overview'!$A$2:$A$587,1)=C481,"","Not in UCL")</f>
        <v>Not in UCL</v>
      </c>
      <c r="E481" t="s">
        <v>1</v>
      </c>
      <c r="F481" t="s">
        <v>1</v>
      </c>
      <c r="G481" t="s">
        <v>1</v>
      </c>
      <c r="H481" t="s">
        <v>275</v>
      </c>
      <c r="I481" t="s">
        <v>1</v>
      </c>
      <c r="J481" t="s">
        <v>275</v>
      </c>
      <c r="K481" t="s">
        <v>275</v>
      </c>
      <c r="L481" t="s">
        <v>275</v>
      </c>
      <c r="M481" t="s">
        <v>1</v>
      </c>
      <c r="N481" t="s">
        <v>1</v>
      </c>
      <c r="O481" t="s">
        <v>1</v>
      </c>
      <c r="P481" t="s">
        <v>275</v>
      </c>
      <c r="Q481" t="s">
        <v>1</v>
      </c>
      <c r="R481" t="s">
        <v>1</v>
      </c>
      <c r="S481" t="s">
        <v>275</v>
      </c>
      <c r="T481" t="s">
        <v>1</v>
      </c>
      <c r="U481" t="s">
        <v>275</v>
      </c>
      <c r="V481" t="s">
        <v>275</v>
      </c>
      <c r="W481" t="s">
        <v>10</v>
      </c>
      <c r="X481" t="s">
        <v>275</v>
      </c>
      <c r="Y481" t="s">
        <v>275</v>
      </c>
      <c r="Z481" t="s">
        <v>275</v>
      </c>
      <c r="AA481" t="s">
        <v>275</v>
      </c>
      <c r="AB481" t="s">
        <v>275</v>
      </c>
      <c r="AC481" t="s">
        <v>275</v>
      </c>
      <c r="AD481" t="s">
        <v>1</v>
      </c>
    </row>
    <row r="482" spans="1:30">
      <c r="A482">
        <v>480</v>
      </c>
      <c r="B482" t="s">
        <v>1063</v>
      </c>
      <c r="C482" t="s">
        <v>1064</v>
      </c>
      <c r="D482" t="str">
        <f>IF(VLOOKUP(C482,'Capabilities Overview'!$A$2:$A$587,1)=C482,"","Not in UCL")</f>
        <v>Not in UCL</v>
      </c>
      <c r="E482" t="s">
        <v>1</v>
      </c>
      <c r="F482" t="s">
        <v>1</v>
      </c>
      <c r="G482" t="s">
        <v>275</v>
      </c>
      <c r="H482" t="s">
        <v>275</v>
      </c>
      <c r="I482" t="s">
        <v>275</v>
      </c>
      <c r="J482" t="s">
        <v>275</v>
      </c>
      <c r="K482" t="s">
        <v>275</v>
      </c>
      <c r="L482" t="s">
        <v>275</v>
      </c>
      <c r="M482" t="s">
        <v>1</v>
      </c>
      <c r="N482" t="s">
        <v>1</v>
      </c>
      <c r="O482" t="s">
        <v>1</v>
      </c>
      <c r="P482" t="s">
        <v>275</v>
      </c>
      <c r="Q482" t="s">
        <v>1</v>
      </c>
      <c r="R482" t="s">
        <v>275</v>
      </c>
      <c r="S482" t="s">
        <v>275</v>
      </c>
      <c r="T482" t="s">
        <v>275</v>
      </c>
      <c r="U482" t="s">
        <v>275</v>
      </c>
      <c r="V482" t="s">
        <v>275</v>
      </c>
      <c r="W482" t="s">
        <v>10</v>
      </c>
      <c r="X482" t="s">
        <v>275</v>
      </c>
      <c r="Y482" t="s">
        <v>275</v>
      </c>
      <c r="Z482" t="s">
        <v>275</v>
      </c>
      <c r="AA482" t="s">
        <v>275</v>
      </c>
      <c r="AB482" t="s">
        <v>275</v>
      </c>
      <c r="AC482" t="s">
        <v>275</v>
      </c>
      <c r="AD482" t="s">
        <v>275</v>
      </c>
    </row>
    <row r="483" spans="1:30">
      <c r="A483">
        <v>481</v>
      </c>
      <c r="B483" t="s">
        <v>1065</v>
      </c>
      <c r="C483" t="s">
        <v>1066</v>
      </c>
      <c r="D483" t="str">
        <f>IF(VLOOKUP(C483,'Capabilities Overview'!$A$2:$A$587,1)=C483,"","Not in UCL")</f>
        <v>Not in UCL</v>
      </c>
      <c r="E483" t="s">
        <v>1</v>
      </c>
      <c r="F483" t="s">
        <v>1</v>
      </c>
      <c r="G483" t="s">
        <v>275</v>
      </c>
      <c r="H483" t="s">
        <v>275</v>
      </c>
      <c r="I483" t="s">
        <v>275</v>
      </c>
      <c r="J483" t="s">
        <v>275</v>
      </c>
      <c r="K483" t="s">
        <v>275</v>
      </c>
      <c r="L483" t="s">
        <v>275</v>
      </c>
      <c r="M483" t="s">
        <v>275</v>
      </c>
      <c r="N483" t="s">
        <v>275</v>
      </c>
      <c r="O483" t="s">
        <v>275</v>
      </c>
      <c r="P483" t="s">
        <v>275</v>
      </c>
      <c r="Q483" t="s">
        <v>275</v>
      </c>
      <c r="R483" t="s">
        <v>275</v>
      </c>
      <c r="S483" t="s">
        <v>275</v>
      </c>
      <c r="T483" t="s">
        <v>275</v>
      </c>
      <c r="U483" t="s">
        <v>275</v>
      </c>
      <c r="V483" t="s">
        <v>275</v>
      </c>
      <c r="W483" t="s">
        <v>10</v>
      </c>
      <c r="X483" t="s">
        <v>275</v>
      </c>
      <c r="Y483" t="s">
        <v>275</v>
      </c>
      <c r="Z483" t="s">
        <v>275</v>
      </c>
      <c r="AA483" t="s">
        <v>275</v>
      </c>
      <c r="AB483" t="s">
        <v>275</v>
      </c>
      <c r="AC483" t="s">
        <v>275</v>
      </c>
      <c r="AD483" t="s">
        <v>275</v>
      </c>
    </row>
    <row r="484" spans="1:30">
      <c r="A484">
        <v>482</v>
      </c>
      <c r="B484" t="s">
        <v>1067</v>
      </c>
      <c r="C484" t="s">
        <v>1068</v>
      </c>
      <c r="D484" t="str">
        <f>IF(VLOOKUP(C484,'Capabilities Overview'!$A$2:$A$587,1)=C484,"","Not in UCL")</f>
        <v>Not in UCL</v>
      </c>
      <c r="E484" t="s">
        <v>1</v>
      </c>
      <c r="F484" t="s">
        <v>1</v>
      </c>
      <c r="G484" t="s">
        <v>275</v>
      </c>
      <c r="H484" t="s">
        <v>275</v>
      </c>
      <c r="I484" t="s">
        <v>275</v>
      </c>
      <c r="J484" t="s">
        <v>275</v>
      </c>
      <c r="K484" t="s">
        <v>275</v>
      </c>
      <c r="L484" t="s">
        <v>275</v>
      </c>
      <c r="M484" t="s">
        <v>1</v>
      </c>
      <c r="N484" t="s">
        <v>1</v>
      </c>
      <c r="O484" t="s">
        <v>1</v>
      </c>
      <c r="P484" t="s">
        <v>275</v>
      </c>
      <c r="Q484" t="s">
        <v>1</v>
      </c>
      <c r="R484" t="s">
        <v>275</v>
      </c>
      <c r="S484" t="s">
        <v>275</v>
      </c>
      <c r="T484" t="s">
        <v>275</v>
      </c>
      <c r="U484" t="s">
        <v>275</v>
      </c>
      <c r="V484" t="s">
        <v>275</v>
      </c>
      <c r="W484" t="s">
        <v>10</v>
      </c>
      <c r="X484" t="s">
        <v>275</v>
      </c>
      <c r="Y484" t="s">
        <v>275</v>
      </c>
      <c r="Z484" t="s">
        <v>275</v>
      </c>
      <c r="AA484" t="s">
        <v>275</v>
      </c>
      <c r="AB484" t="s">
        <v>275</v>
      </c>
      <c r="AC484" t="s">
        <v>275</v>
      </c>
      <c r="AD484" t="s">
        <v>275</v>
      </c>
    </row>
    <row r="485" spans="1:30">
      <c r="A485">
        <v>483</v>
      </c>
      <c r="B485" t="s">
        <v>1069</v>
      </c>
      <c r="C485" t="s">
        <v>1070</v>
      </c>
      <c r="D485" t="str">
        <f>IF(VLOOKUP(C485,'Capabilities Overview'!$A$2:$A$587,1)=C485,"","Not in UCL")</f>
        <v>Not in UCL</v>
      </c>
      <c r="E485" t="s">
        <v>1</v>
      </c>
      <c r="F485" t="s">
        <v>1</v>
      </c>
      <c r="G485" t="s">
        <v>275</v>
      </c>
      <c r="H485" t="s">
        <v>275</v>
      </c>
      <c r="I485" t="s">
        <v>275</v>
      </c>
      <c r="J485" t="s">
        <v>275</v>
      </c>
      <c r="K485" t="s">
        <v>275</v>
      </c>
      <c r="L485" t="s">
        <v>275</v>
      </c>
      <c r="M485" t="s">
        <v>1</v>
      </c>
      <c r="N485" t="s">
        <v>1</v>
      </c>
      <c r="O485" t="s">
        <v>1</v>
      </c>
      <c r="P485" t="s">
        <v>275</v>
      </c>
      <c r="Q485" t="s">
        <v>275</v>
      </c>
      <c r="R485" t="s">
        <v>275</v>
      </c>
      <c r="S485" t="s">
        <v>275</v>
      </c>
      <c r="T485" t="s">
        <v>275</v>
      </c>
      <c r="U485" t="s">
        <v>275</v>
      </c>
      <c r="V485" t="s">
        <v>275</v>
      </c>
      <c r="W485" t="s">
        <v>10</v>
      </c>
      <c r="X485" t="s">
        <v>275</v>
      </c>
      <c r="Y485" t="s">
        <v>275</v>
      </c>
      <c r="Z485" t="s">
        <v>275</v>
      </c>
      <c r="AA485" t="s">
        <v>275</v>
      </c>
      <c r="AB485" t="s">
        <v>275</v>
      </c>
      <c r="AC485" t="s">
        <v>275</v>
      </c>
      <c r="AD485" t="s">
        <v>275</v>
      </c>
    </row>
    <row r="486" spans="1:30">
      <c r="A486">
        <v>484</v>
      </c>
      <c r="B486" t="s">
        <v>1071</v>
      </c>
      <c r="C486" t="s">
        <v>1072</v>
      </c>
      <c r="D486" t="str">
        <f>IF(VLOOKUP(C486,'Capabilities Overview'!$A$2:$A$587,1)=C486,"","Not in UCL")</f>
        <v>Not in UCL</v>
      </c>
      <c r="E486" t="s">
        <v>1</v>
      </c>
      <c r="F486" t="s">
        <v>1</v>
      </c>
      <c r="G486" t="s">
        <v>275</v>
      </c>
      <c r="H486" t="s">
        <v>275</v>
      </c>
      <c r="I486" t="s">
        <v>275</v>
      </c>
      <c r="J486" t="s">
        <v>275</v>
      </c>
      <c r="K486" t="s">
        <v>275</v>
      </c>
      <c r="L486" t="s">
        <v>275</v>
      </c>
      <c r="M486" t="s">
        <v>1</v>
      </c>
      <c r="N486" t="s">
        <v>1</v>
      </c>
      <c r="O486" t="s">
        <v>1</v>
      </c>
      <c r="P486" t="s">
        <v>275</v>
      </c>
      <c r="Q486" t="s">
        <v>275</v>
      </c>
      <c r="R486" t="s">
        <v>275</v>
      </c>
      <c r="S486" t="s">
        <v>275</v>
      </c>
      <c r="T486" t="s">
        <v>275</v>
      </c>
      <c r="U486" t="s">
        <v>275</v>
      </c>
      <c r="V486" t="s">
        <v>275</v>
      </c>
      <c r="W486" t="s">
        <v>10</v>
      </c>
      <c r="X486" t="s">
        <v>275</v>
      </c>
      <c r="Y486" t="s">
        <v>275</v>
      </c>
      <c r="Z486" t="s">
        <v>275</v>
      </c>
      <c r="AA486" t="s">
        <v>275</v>
      </c>
      <c r="AB486" t="s">
        <v>275</v>
      </c>
      <c r="AC486" t="s">
        <v>275</v>
      </c>
      <c r="AD486" t="s">
        <v>275</v>
      </c>
    </row>
    <row r="487" spans="1:30">
      <c r="A487">
        <v>485</v>
      </c>
      <c r="B487" t="s">
        <v>1073</v>
      </c>
      <c r="C487" t="s">
        <v>1074</v>
      </c>
      <c r="D487" t="str">
        <f>IF(VLOOKUP(C487,'Capabilities Overview'!$A$2:$A$587,1)=C487,"","Not in UCL")</f>
        <v>Not in UCL</v>
      </c>
      <c r="E487" t="s">
        <v>1</v>
      </c>
      <c r="F487" t="s">
        <v>1</v>
      </c>
      <c r="G487" t="s">
        <v>275</v>
      </c>
      <c r="H487" t="s">
        <v>275</v>
      </c>
      <c r="I487" t="s">
        <v>275</v>
      </c>
      <c r="J487" t="s">
        <v>275</v>
      </c>
      <c r="K487" t="s">
        <v>275</v>
      </c>
      <c r="L487" t="s">
        <v>275</v>
      </c>
      <c r="M487" t="s">
        <v>1</v>
      </c>
      <c r="N487" t="s">
        <v>1</v>
      </c>
      <c r="O487" t="s">
        <v>1</v>
      </c>
      <c r="P487" t="s">
        <v>275</v>
      </c>
      <c r="Q487" t="s">
        <v>275</v>
      </c>
      <c r="R487" t="s">
        <v>275</v>
      </c>
      <c r="S487" t="s">
        <v>275</v>
      </c>
      <c r="T487" t="s">
        <v>275</v>
      </c>
      <c r="U487" t="s">
        <v>275</v>
      </c>
      <c r="V487" t="s">
        <v>275</v>
      </c>
      <c r="W487" t="s">
        <v>10</v>
      </c>
      <c r="X487" t="s">
        <v>275</v>
      </c>
      <c r="Y487" t="s">
        <v>275</v>
      </c>
      <c r="Z487" t="s">
        <v>275</v>
      </c>
      <c r="AA487" t="s">
        <v>275</v>
      </c>
      <c r="AB487" t="s">
        <v>275</v>
      </c>
      <c r="AC487" t="s">
        <v>275</v>
      </c>
      <c r="AD487" t="s">
        <v>275</v>
      </c>
    </row>
    <row r="488" spans="1:30">
      <c r="A488">
        <v>486</v>
      </c>
      <c r="B488" t="s">
        <v>1075</v>
      </c>
      <c r="C488" t="s">
        <v>1076</v>
      </c>
      <c r="D488" t="str">
        <f>IF(VLOOKUP(C488,'Capabilities Overview'!$A$2:$A$587,1)=C488,"","Not in UCL")</f>
        <v>Not in UCL</v>
      </c>
      <c r="E488" t="s">
        <v>1</v>
      </c>
      <c r="F488" t="s">
        <v>1</v>
      </c>
      <c r="G488" t="s">
        <v>275</v>
      </c>
      <c r="H488" t="s">
        <v>275</v>
      </c>
      <c r="I488" t="s">
        <v>1</v>
      </c>
      <c r="J488" t="s">
        <v>275</v>
      </c>
      <c r="K488" t="s">
        <v>275</v>
      </c>
      <c r="L488" t="s">
        <v>275</v>
      </c>
      <c r="M488" t="s">
        <v>1</v>
      </c>
      <c r="N488" t="s">
        <v>1</v>
      </c>
      <c r="O488" t="s">
        <v>1</v>
      </c>
      <c r="P488" t="s">
        <v>275</v>
      </c>
      <c r="Q488" t="s">
        <v>275</v>
      </c>
      <c r="R488" t="s">
        <v>275</v>
      </c>
      <c r="S488" t="s">
        <v>275</v>
      </c>
      <c r="T488" t="s">
        <v>275</v>
      </c>
      <c r="U488" t="s">
        <v>275</v>
      </c>
      <c r="V488" t="s">
        <v>275</v>
      </c>
      <c r="W488" t="s">
        <v>10</v>
      </c>
      <c r="X488" t="s">
        <v>275</v>
      </c>
      <c r="Y488" t="s">
        <v>275</v>
      </c>
      <c r="Z488" t="s">
        <v>275</v>
      </c>
      <c r="AA488" t="s">
        <v>275</v>
      </c>
      <c r="AB488" t="s">
        <v>275</v>
      </c>
      <c r="AC488" t="s">
        <v>275</v>
      </c>
      <c r="AD488" t="s">
        <v>275</v>
      </c>
    </row>
    <row r="489" spans="1:30">
      <c r="A489">
        <v>487</v>
      </c>
      <c r="B489" t="s">
        <v>1077</v>
      </c>
      <c r="C489" t="s">
        <v>1078</v>
      </c>
      <c r="D489" t="str">
        <f>IF(VLOOKUP(C489,'Capabilities Overview'!$A$2:$A$587,1)=C489,"","Not in UCL")</f>
        <v>Not in UCL</v>
      </c>
      <c r="E489" t="s">
        <v>1</v>
      </c>
      <c r="F489" t="s">
        <v>1</v>
      </c>
      <c r="G489" t="s">
        <v>275</v>
      </c>
      <c r="H489" t="s">
        <v>275</v>
      </c>
      <c r="I489" t="s">
        <v>275</v>
      </c>
      <c r="J489" t="s">
        <v>275</v>
      </c>
      <c r="K489" t="s">
        <v>275</v>
      </c>
      <c r="L489" t="s">
        <v>275</v>
      </c>
      <c r="M489" t="s">
        <v>1</v>
      </c>
      <c r="N489" t="s">
        <v>1</v>
      </c>
      <c r="O489" t="s">
        <v>1</v>
      </c>
      <c r="P489" t="s">
        <v>275</v>
      </c>
      <c r="Q489" t="s">
        <v>275</v>
      </c>
      <c r="R489" t="s">
        <v>275</v>
      </c>
      <c r="S489" t="s">
        <v>275</v>
      </c>
      <c r="T489" t="s">
        <v>275</v>
      </c>
      <c r="U489" t="s">
        <v>275</v>
      </c>
      <c r="V489" t="s">
        <v>275</v>
      </c>
      <c r="W489" t="s">
        <v>10</v>
      </c>
      <c r="X489" t="s">
        <v>275</v>
      </c>
      <c r="Y489" t="s">
        <v>275</v>
      </c>
      <c r="Z489" t="s">
        <v>275</v>
      </c>
      <c r="AA489" t="s">
        <v>275</v>
      </c>
      <c r="AB489" t="s">
        <v>275</v>
      </c>
      <c r="AC489" t="s">
        <v>275</v>
      </c>
      <c r="AD489" t="s">
        <v>275</v>
      </c>
    </row>
    <row r="490" spans="1:30">
      <c r="A490">
        <v>488</v>
      </c>
      <c r="B490" t="s">
        <v>152</v>
      </c>
      <c r="C490" t="s">
        <v>153</v>
      </c>
      <c r="D490" t="str">
        <f>IF(VLOOKUP(C490,'Capabilities Overview'!$A$2:$A$587,1)=C490,"","Not in UCL")</f>
        <v>Not in UCL</v>
      </c>
      <c r="E490" t="s">
        <v>1</v>
      </c>
      <c r="F490" t="s">
        <v>1</v>
      </c>
      <c r="G490" t="s">
        <v>1</v>
      </c>
      <c r="H490" t="s">
        <v>275</v>
      </c>
      <c r="I490" t="s">
        <v>1</v>
      </c>
      <c r="J490" t="s">
        <v>275</v>
      </c>
      <c r="K490" t="s">
        <v>275</v>
      </c>
      <c r="L490" t="s">
        <v>275</v>
      </c>
      <c r="M490" t="s">
        <v>1</v>
      </c>
      <c r="N490" t="s">
        <v>1</v>
      </c>
      <c r="O490" t="s">
        <v>1</v>
      </c>
      <c r="P490" t="s">
        <v>275</v>
      </c>
      <c r="Q490" t="s">
        <v>1</v>
      </c>
      <c r="R490" t="s">
        <v>1</v>
      </c>
      <c r="S490" t="s">
        <v>1</v>
      </c>
      <c r="T490" t="s">
        <v>1</v>
      </c>
      <c r="U490" t="s">
        <v>275</v>
      </c>
      <c r="V490" t="s">
        <v>275</v>
      </c>
      <c r="W490" t="s">
        <v>10</v>
      </c>
      <c r="X490" t="s">
        <v>275</v>
      </c>
      <c r="Y490" t="s">
        <v>275</v>
      </c>
      <c r="Z490" t="s">
        <v>275</v>
      </c>
      <c r="AA490" t="s">
        <v>275</v>
      </c>
      <c r="AB490" t="s">
        <v>275</v>
      </c>
      <c r="AC490" t="s">
        <v>275</v>
      </c>
      <c r="AD490" t="s">
        <v>1</v>
      </c>
    </row>
    <row r="491" spans="1:30">
      <c r="A491">
        <v>489</v>
      </c>
      <c r="B491" t="s">
        <v>1079</v>
      </c>
      <c r="C491" t="s">
        <v>1080</v>
      </c>
      <c r="D491" t="str">
        <f>IF(VLOOKUP(C491,'Capabilities Overview'!$A$2:$A$587,1)=C491,"","Not in UCL")</f>
        <v>Not in UCL</v>
      </c>
      <c r="E491" t="s">
        <v>1</v>
      </c>
      <c r="F491" t="s">
        <v>1</v>
      </c>
      <c r="G491" t="s">
        <v>275</v>
      </c>
      <c r="H491" t="s">
        <v>275</v>
      </c>
      <c r="I491" t="s">
        <v>1</v>
      </c>
      <c r="J491" t="s">
        <v>275</v>
      </c>
      <c r="K491" t="s">
        <v>275</v>
      </c>
      <c r="L491" t="s">
        <v>275</v>
      </c>
      <c r="M491" t="s">
        <v>1</v>
      </c>
      <c r="N491" t="s">
        <v>1</v>
      </c>
      <c r="O491" t="s">
        <v>1</v>
      </c>
      <c r="P491" t="s">
        <v>275</v>
      </c>
      <c r="Q491" t="s">
        <v>1</v>
      </c>
      <c r="R491" t="s">
        <v>275</v>
      </c>
      <c r="S491" t="s">
        <v>275</v>
      </c>
      <c r="T491" t="s">
        <v>275</v>
      </c>
      <c r="U491" t="s">
        <v>275</v>
      </c>
      <c r="V491" t="s">
        <v>275</v>
      </c>
      <c r="W491" t="s">
        <v>10</v>
      </c>
      <c r="X491" t="s">
        <v>275</v>
      </c>
      <c r="Y491" t="s">
        <v>275</v>
      </c>
      <c r="Z491" t="s">
        <v>275</v>
      </c>
      <c r="AA491" t="s">
        <v>275</v>
      </c>
      <c r="AB491" t="s">
        <v>275</v>
      </c>
      <c r="AC491" t="s">
        <v>275</v>
      </c>
      <c r="AD491" t="s">
        <v>275</v>
      </c>
    </row>
    <row r="492" spans="1:30">
      <c r="A492">
        <v>490</v>
      </c>
      <c r="B492" t="s">
        <v>1081</v>
      </c>
      <c r="C492" t="s">
        <v>1082</v>
      </c>
      <c r="D492" t="str">
        <f>IF(VLOOKUP(C492,'Capabilities Overview'!$A$2:$A$587,1)=C492,"","Not in UCL")</f>
        <v>Not in UCL</v>
      </c>
      <c r="E492" t="s">
        <v>1</v>
      </c>
      <c r="F492" t="s">
        <v>1</v>
      </c>
      <c r="G492" t="s">
        <v>275</v>
      </c>
      <c r="H492" t="s">
        <v>275</v>
      </c>
      <c r="I492" t="s">
        <v>1</v>
      </c>
      <c r="J492" t="s">
        <v>275</v>
      </c>
      <c r="K492" t="s">
        <v>275</v>
      </c>
      <c r="L492" t="s">
        <v>275</v>
      </c>
      <c r="M492" t="s">
        <v>1</v>
      </c>
      <c r="N492" t="s">
        <v>1</v>
      </c>
      <c r="O492" t="s">
        <v>1</v>
      </c>
      <c r="P492" t="s">
        <v>275</v>
      </c>
      <c r="Q492" t="s">
        <v>275</v>
      </c>
      <c r="R492" t="s">
        <v>275</v>
      </c>
      <c r="S492" t="s">
        <v>275</v>
      </c>
      <c r="T492" t="s">
        <v>275</v>
      </c>
      <c r="U492" t="s">
        <v>275</v>
      </c>
      <c r="V492" t="s">
        <v>275</v>
      </c>
      <c r="W492" t="s">
        <v>10</v>
      </c>
      <c r="X492" t="s">
        <v>275</v>
      </c>
      <c r="Y492" t="s">
        <v>275</v>
      </c>
      <c r="Z492" t="s">
        <v>275</v>
      </c>
      <c r="AA492" t="s">
        <v>275</v>
      </c>
      <c r="AB492" t="s">
        <v>275</v>
      </c>
      <c r="AC492" t="s">
        <v>275</v>
      </c>
      <c r="AD492" t="s">
        <v>275</v>
      </c>
    </row>
    <row r="493" spans="1:30">
      <c r="A493">
        <v>491</v>
      </c>
      <c r="B493" t="s">
        <v>154</v>
      </c>
      <c r="C493" t="s">
        <v>155</v>
      </c>
      <c r="D493" t="str">
        <f>IF(VLOOKUP(C493,'Capabilities Overview'!$A$2:$A$587,1)=C493,"","Not in UCL")</f>
        <v>Not in UCL</v>
      </c>
      <c r="E493" t="s">
        <v>1</v>
      </c>
      <c r="F493" t="s">
        <v>1</v>
      </c>
      <c r="G493" t="s">
        <v>275</v>
      </c>
      <c r="H493" t="s">
        <v>275</v>
      </c>
      <c r="I493" t="s">
        <v>1</v>
      </c>
      <c r="J493" t="s">
        <v>275</v>
      </c>
      <c r="K493" t="s">
        <v>275</v>
      </c>
      <c r="L493" t="s">
        <v>275</v>
      </c>
      <c r="M493" t="s">
        <v>1</v>
      </c>
      <c r="N493" t="s">
        <v>1</v>
      </c>
      <c r="O493" t="s">
        <v>1</v>
      </c>
      <c r="P493" t="s">
        <v>275</v>
      </c>
      <c r="Q493" t="s">
        <v>1</v>
      </c>
      <c r="R493" t="s">
        <v>1</v>
      </c>
      <c r="S493" t="s">
        <v>275</v>
      </c>
      <c r="T493" t="s">
        <v>1</v>
      </c>
      <c r="U493" t="s">
        <v>275</v>
      </c>
      <c r="V493" t="s">
        <v>275</v>
      </c>
      <c r="W493" t="s">
        <v>10</v>
      </c>
      <c r="X493" t="s">
        <v>275</v>
      </c>
      <c r="Y493" t="s">
        <v>275</v>
      </c>
      <c r="Z493" t="s">
        <v>275</v>
      </c>
      <c r="AA493" t="s">
        <v>275</v>
      </c>
      <c r="AB493" t="s">
        <v>275</v>
      </c>
      <c r="AC493" t="s">
        <v>275</v>
      </c>
      <c r="AD493" t="s">
        <v>1</v>
      </c>
    </row>
    <row r="494" spans="1:30">
      <c r="A494">
        <v>492</v>
      </c>
      <c r="B494" t="s">
        <v>1083</v>
      </c>
      <c r="C494" t="s">
        <v>1084</v>
      </c>
      <c r="D494" t="str">
        <f>IF(VLOOKUP(C494,'Capabilities Overview'!$A$2:$A$587,1)=C494,"","Not in UCL")</f>
        <v>Not in UCL</v>
      </c>
      <c r="E494" t="s">
        <v>1</v>
      </c>
      <c r="F494" t="s">
        <v>275</v>
      </c>
      <c r="G494" t="s">
        <v>275</v>
      </c>
      <c r="H494" t="s">
        <v>275</v>
      </c>
      <c r="I494" t="s">
        <v>275</v>
      </c>
      <c r="J494" t="s">
        <v>275</v>
      </c>
      <c r="K494" t="s">
        <v>275</v>
      </c>
      <c r="L494" t="s">
        <v>275</v>
      </c>
      <c r="M494" t="s">
        <v>1</v>
      </c>
      <c r="N494" t="s">
        <v>1</v>
      </c>
      <c r="O494" t="s">
        <v>1</v>
      </c>
      <c r="P494" t="s">
        <v>275</v>
      </c>
      <c r="Q494" t="s">
        <v>1</v>
      </c>
      <c r="R494" t="s">
        <v>275</v>
      </c>
      <c r="S494" t="s">
        <v>275</v>
      </c>
      <c r="T494" t="s">
        <v>275</v>
      </c>
      <c r="U494" t="s">
        <v>275</v>
      </c>
      <c r="V494" t="s">
        <v>275</v>
      </c>
      <c r="W494" t="s">
        <v>275</v>
      </c>
      <c r="X494" t="s">
        <v>275</v>
      </c>
      <c r="Y494" t="s">
        <v>275</v>
      </c>
      <c r="Z494" t="s">
        <v>275</v>
      </c>
      <c r="AA494" t="s">
        <v>275</v>
      </c>
      <c r="AB494" t="s">
        <v>275</v>
      </c>
      <c r="AC494" t="s">
        <v>275</v>
      </c>
      <c r="AD494" t="s">
        <v>275</v>
      </c>
    </row>
    <row r="495" spans="1:30">
      <c r="A495">
        <v>493</v>
      </c>
      <c r="B495" t="s">
        <v>156</v>
      </c>
      <c r="C495" t="s">
        <v>157</v>
      </c>
      <c r="D495" t="str">
        <f>IF(VLOOKUP(C495,'Capabilities Overview'!$A$2:$A$587,1)=C495,"","Not in UCL")</f>
        <v>Not in UCL</v>
      </c>
      <c r="E495" t="s">
        <v>275</v>
      </c>
      <c r="F495" t="s">
        <v>275</v>
      </c>
      <c r="G495" t="s">
        <v>275</v>
      </c>
      <c r="H495" t="s">
        <v>275</v>
      </c>
      <c r="I495" t="s">
        <v>275</v>
      </c>
      <c r="J495" t="s">
        <v>275</v>
      </c>
      <c r="K495" t="s">
        <v>275</v>
      </c>
      <c r="L495" t="s">
        <v>275</v>
      </c>
      <c r="M495" t="s">
        <v>275</v>
      </c>
      <c r="N495" t="s">
        <v>275</v>
      </c>
      <c r="O495" t="s">
        <v>275</v>
      </c>
      <c r="P495" t="s">
        <v>275</v>
      </c>
      <c r="Q495" t="s">
        <v>275</v>
      </c>
      <c r="R495" t="s">
        <v>275</v>
      </c>
      <c r="S495" t="s">
        <v>1</v>
      </c>
      <c r="T495" t="s">
        <v>1</v>
      </c>
      <c r="U495" t="s">
        <v>275</v>
      </c>
      <c r="V495" t="s">
        <v>275</v>
      </c>
      <c r="W495" t="s">
        <v>1</v>
      </c>
      <c r="X495" t="s">
        <v>275</v>
      </c>
      <c r="Y495" t="s">
        <v>275</v>
      </c>
      <c r="Z495" t="s">
        <v>275</v>
      </c>
      <c r="AA495" t="s">
        <v>275</v>
      </c>
      <c r="AB495" t="s">
        <v>275</v>
      </c>
      <c r="AC495" t="s">
        <v>275</v>
      </c>
      <c r="AD495" t="s">
        <v>1</v>
      </c>
    </row>
    <row r="496" spans="1:30">
      <c r="A496">
        <v>494</v>
      </c>
      <c r="B496" t="s">
        <v>1085</v>
      </c>
      <c r="C496" t="s">
        <v>1086</v>
      </c>
      <c r="D496" t="str">
        <f>IF(VLOOKUP(C496,'Capabilities Overview'!$A$2:$A$587,1)=C496,"","Not in UCL")</f>
        <v>Not in UCL</v>
      </c>
      <c r="E496" t="s">
        <v>1</v>
      </c>
      <c r="F496" t="s">
        <v>1</v>
      </c>
      <c r="G496" t="s">
        <v>1</v>
      </c>
      <c r="H496" t="s">
        <v>275</v>
      </c>
      <c r="I496" t="s">
        <v>275</v>
      </c>
      <c r="J496" t="s">
        <v>275</v>
      </c>
      <c r="K496" t="s">
        <v>275</v>
      </c>
      <c r="L496" t="s">
        <v>275</v>
      </c>
      <c r="M496" t="s">
        <v>1</v>
      </c>
      <c r="N496" t="s">
        <v>1</v>
      </c>
      <c r="O496" t="s">
        <v>1</v>
      </c>
      <c r="P496" t="s">
        <v>275</v>
      </c>
      <c r="Q496" t="s">
        <v>1</v>
      </c>
      <c r="R496" t="s">
        <v>1</v>
      </c>
      <c r="S496" t="s">
        <v>1</v>
      </c>
      <c r="T496" t="s">
        <v>275</v>
      </c>
      <c r="U496" t="s">
        <v>275</v>
      </c>
      <c r="V496" t="s">
        <v>275</v>
      </c>
      <c r="W496" t="s">
        <v>10</v>
      </c>
      <c r="X496" t="s">
        <v>275</v>
      </c>
      <c r="Y496" t="s">
        <v>275</v>
      </c>
      <c r="Z496" t="s">
        <v>275</v>
      </c>
      <c r="AA496" t="s">
        <v>275</v>
      </c>
      <c r="AB496" t="s">
        <v>275</v>
      </c>
      <c r="AC496" t="s">
        <v>275</v>
      </c>
      <c r="AD496" t="s">
        <v>275</v>
      </c>
    </row>
    <row r="497" spans="1:30">
      <c r="A497">
        <v>495</v>
      </c>
      <c r="B497" t="s">
        <v>1087</v>
      </c>
      <c r="C497" t="s">
        <v>1088</v>
      </c>
      <c r="D497" t="str">
        <f>IF(VLOOKUP(C497,'Capabilities Overview'!$A$2:$A$587,1)=C497,"","Not in UCL")</f>
        <v>Not in UCL</v>
      </c>
      <c r="E497" t="s">
        <v>1</v>
      </c>
      <c r="F497" t="s">
        <v>1</v>
      </c>
      <c r="G497" t="s">
        <v>1</v>
      </c>
      <c r="H497" t="s">
        <v>275</v>
      </c>
      <c r="I497" t="s">
        <v>275</v>
      </c>
      <c r="J497" t="s">
        <v>275</v>
      </c>
      <c r="K497" t="s">
        <v>275</v>
      </c>
      <c r="L497" t="s">
        <v>275</v>
      </c>
      <c r="M497" t="s">
        <v>1</v>
      </c>
      <c r="N497" t="s">
        <v>1</v>
      </c>
      <c r="O497" t="s">
        <v>1</v>
      </c>
      <c r="P497" t="s">
        <v>275</v>
      </c>
      <c r="Q497" t="s">
        <v>275</v>
      </c>
      <c r="R497" t="s">
        <v>275</v>
      </c>
      <c r="S497" t="s">
        <v>275</v>
      </c>
      <c r="T497" t="s">
        <v>275</v>
      </c>
      <c r="U497" t="s">
        <v>275</v>
      </c>
      <c r="V497" t="s">
        <v>275</v>
      </c>
      <c r="W497" t="s">
        <v>10</v>
      </c>
      <c r="X497" t="s">
        <v>275</v>
      </c>
      <c r="Y497" t="s">
        <v>275</v>
      </c>
      <c r="Z497" t="s">
        <v>275</v>
      </c>
      <c r="AA497" t="s">
        <v>275</v>
      </c>
      <c r="AB497" t="s">
        <v>275</v>
      </c>
      <c r="AC497" t="s">
        <v>275</v>
      </c>
      <c r="AD497" t="s">
        <v>275</v>
      </c>
    </row>
    <row r="498" spans="1:30">
      <c r="A498">
        <v>496</v>
      </c>
      <c r="B498" t="s">
        <v>1089</v>
      </c>
      <c r="C498" t="s">
        <v>1090</v>
      </c>
      <c r="D498" t="str">
        <f>IF(VLOOKUP(C498,'Capabilities Overview'!$A$2:$A$587,1)=C498,"","Not in UCL")</f>
        <v/>
      </c>
      <c r="E498" t="s">
        <v>275</v>
      </c>
      <c r="F498" t="s">
        <v>275</v>
      </c>
      <c r="G498" t="s">
        <v>275</v>
      </c>
      <c r="H498" t="s">
        <v>275</v>
      </c>
      <c r="I498" t="s">
        <v>275</v>
      </c>
      <c r="J498" t="s">
        <v>275</v>
      </c>
      <c r="K498" t="s">
        <v>275</v>
      </c>
      <c r="L498" t="s">
        <v>275</v>
      </c>
      <c r="M498" t="s">
        <v>275</v>
      </c>
      <c r="N498" t="s">
        <v>275</v>
      </c>
      <c r="O498" t="s">
        <v>275</v>
      </c>
      <c r="P498" t="s">
        <v>275</v>
      </c>
      <c r="Q498" t="s">
        <v>275</v>
      </c>
      <c r="R498" t="s">
        <v>1</v>
      </c>
      <c r="S498" t="s">
        <v>275</v>
      </c>
      <c r="T498" t="s">
        <v>275</v>
      </c>
      <c r="U498" t="s">
        <v>275</v>
      </c>
      <c r="V498" t="s">
        <v>275</v>
      </c>
      <c r="W498" t="s">
        <v>10</v>
      </c>
      <c r="X498" t="s">
        <v>275</v>
      </c>
      <c r="Y498" t="s">
        <v>275</v>
      </c>
      <c r="Z498" t="s">
        <v>275</v>
      </c>
      <c r="AA498" t="s">
        <v>275</v>
      </c>
      <c r="AB498" t="s">
        <v>275</v>
      </c>
      <c r="AC498" t="s">
        <v>275</v>
      </c>
      <c r="AD498" t="s">
        <v>275</v>
      </c>
    </row>
    <row r="499" spans="1:30">
      <c r="A499">
        <v>497</v>
      </c>
      <c r="B499" t="s">
        <v>1091</v>
      </c>
      <c r="C499" t="s">
        <v>1092</v>
      </c>
      <c r="D499" t="str">
        <f>IF(VLOOKUP(C499,'Capabilities Overview'!$A$2:$A$587,1)=C499,"","Not in UCL")</f>
        <v/>
      </c>
      <c r="E499" t="s">
        <v>1</v>
      </c>
      <c r="F499" t="s">
        <v>1</v>
      </c>
      <c r="G499" t="s">
        <v>275</v>
      </c>
      <c r="H499" t="s">
        <v>275</v>
      </c>
      <c r="I499" t="s">
        <v>275</v>
      </c>
      <c r="J499" t="s">
        <v>275</v>
      </c>
      <c r="K499" t="s">
        <v>275</v>
      </c>
      <c r="L499" t="s">
        <v>275</v>
      </c>
      <c r="M499" t="s">
        <v>1</v>
      </c>
      <c r="N499" t="s">
        <v>1</v>
      </c>
      <c r="O499" t="s">
        <v>1</v>
      </c>
      <c r="P499" t="s">
        <v>275</v>
      </c>
      <c r="Q499" t="s">
        <v>275</v>
      </c>
      <c r="R499" t="s">
        <v>275</v>
      </c>
      <c r="S499" t="s">
        <v>275</v>
      </c>
      <c r="T499" t="s">
        <v>275</v>
      </c>
      <c r="U499" t="s">
        <v>275</v>
      </c>
      <c r="V499" t="s">
        <v>275</v>
      </c>
      <c r="W499" t="s">
        <v>10</v>
      </c>
      <c r="X499" t="s">
        <v>275</v>
      </c>
      <c r="Y499" t="s">
        <v>275</v>
      </c>
      <c r="Z499" t="s">
        <v>275</v>
      </c>
      <c r="AA499" t="s">
        <v>275</v>
      </c>
      <c r="AB499" t="s">
        <v>275</v>
      </c>
      <c r="AC499" t="s">
        <v>275</v>
      </c>
      <c r="AD499" t="s">
        <v>275</v>
      </c>
    </row>
    <row r="500" spans="1:30">
      <c r="A500">
        <v>498</v>
      </c>
      <c r="B500" t="s">
        <v>1093</v>
      </c>
      <c r="C500" t="s">
        <v>1094</v>
      </c>
      <c r="D500" t="str">
        <f>IF(VLOOKUP(C500,'Capabilities Overview'!$A$2:$A$587,1)=C500,"","Not in UCL")</f>
        <v/>
      </c>
      <c r="E500" t="s">
        <v>1</v>
      </c>
      <c r="F500" t="s">
        <v>1</v>
      </c>
      <c r="G500" t="s">
        <v>275</v>
      </c>
      <c r="H500" t="s">
        <v>275</v>
      </c>
      <c r="I500" t="s">
        <v>275</v>
      </c>
      <c r="J500" t="s">
        <v>275</v>
      </c>
      <c r="K500" t="s">
        <v>275</v>
      </c>
      <c r="L500" t="s">
        <v>275</v>
      </c>
      <c r="M500" t="s">
        <v>1</v>
      </c>
      <c r="N500" t="s">
        <v>1</v>
      </c>
      <c r="O500" t="s">
        <v>1</v>
      </c>
      <c r="P500" t="s">
        <v>275</v>
      </c>
      <c r="Q500" t="s">
        <v>275</v>
      </c>
      <c r="R500" t="s">
        <v>275</v>
      </c>
      <c r="S500" t="s">
        <v>275</v>
      </c>
      <c r="T500" t="s">
        <v>275</v>
      </c>
      <c r="U500" t="s">
        <v>275</v>
      </c>
      <c r="V500" t="s">
        <v>275</v>
      </c>
      <c r="W500" t="s">
        <v>10</v>
      </c>
      <c r="X500" t="s">
        <v>275</v>
      </c>
      <c r="Y500" t="s">
        <v>275</v>
      </c>
      <c r="Z500" t="s">
        <v>275</v>
      </c>
      <c r="AA500" t="s">
        <v>275</v>
      </c>
      <c r="AB500" t="s">
        <v>275</v>
      </c>
      <c r="AC500" t="s">
        <v>275</v>
      </c>
      <c r="AD500" t="s">
        <v>275</v>
      </c>
    </row>
    <row r="501" spans="1:30">
      <c r="A501">
        <v>499</v>
      </c>
      <c r="B501" t="s">
        <v>1095</v>
      </c>
      <c r="C501" t="s">
        <v>1096</v>
      </c>
      <c r="D501" t="str">
        <f>IF(VLOOKUP(C501,'Capabilities Overview'!$A$2:$A$587,1)=C501,"","Not in UCL")</f>
        <v/>
      </c>
      <c r="E501" t="s">
        <v>1</v>
      </c>
      <c r="F501" t="s">
        <v>1</v>
      </c>
      <c r="G501" t="s">
        <v>275</v>
      </c>
      <c r="H501" t="s">
        <v>275</v>
      </c>
      <c r="I501" t="s">
        <v>275</v>
      </c>
      <c r="J501" t="s">
        <v>275</v>
      </c>
      <c r="K501" t="s">
        <v>275</v>
      </c>
      <c r="L501" t="s">
        <v>275</v>
      </c>
      <c r="M501" t="s">
        <v>1</v>
      </c>
      <c r="N501" t="s">
        <v>1</v>
      </c>
      <c r="O501" t="s">
        <v>1</v>
      </c>
      <c r="P501" t="s">
        <v>275</v>
      </c>
      <c r="Q501" t="s">
        <v>275</v>
      </c>
      <c r="R501" t="s">
        <v>275</v>
      </c>
      <c r="S501" t="s">
        <v>275</v>
      </c>
      <c r="T501" t="s">
        <v>275</v>
      </c>
      <c r="U501" t="s">
        <v>275</v>
      </c>
      <c r="V501" t="s">
        <v>275</v>
      </c>
      <c r="W501" t="s">
        <v>10</v>
      </c>
      <c r="X501" t="s">
        <v>275</v>
      </c>
      <c r="Y501" t="s">
        <v>275</v>
      </c>
      <c r="Z501" t="s">
        <v>275</v>
      </c>
      <c r="AA501" t="s">
        <v>275</v>
      </c>
      <c r="AB501" t="s">
        <v>275</v>
      </c>
      <c r="AC501" t="s">
        <v>275</v>
      </c>
      <c r="AD501" t="s">
        <v>275</v>
      </c>
    </row>
    <row r="502" spans="1:30">
      <c r="A502">
        <v>500</v>
      </c>
      <c r="B502" t="s">
        <v>1097</v>
      </c>
      <c r="C502" t="s">
        <v>1098</v>
      </c>
      <c r="D502" t="str">
        <f>IF(VLOOKUP(C502,'Capabilities Overview'!$A$2:$A$587,1)=C502,"","Not in UCL")</f>
        <v/>
      </c>
      <c r="E502" t="s">
        <v>1</v>
      </c>
      <c r="F502" t="s">
        <v>1</v>
      </c>
      <c r="G502" t="s">
        <v>275</v>
      </c>
      <c r="H502" t="s">
        <v>275</v>
      </c>
      <c r="I502" t="s">
        <v>275</v>
      </c>
      <c r="J502" t="s">
        <v>275</v>
      </c>
      <c r="K502" t="s">
        <v>275</v>
      </c>
      <c r="L502" t="s">
        <v>275</v>
      </c>
      <c r="M502" t="s">
        <v>1</v>
      </c>
      <c r="N502" t="s">
        <v>1</v>
      </c>
      <c r="O502" t="s">
        <v>1</v>
      </c>
      <c r="P502" t="s">
        <v>275</v>
      </c>
      <c r="Q502" t="s">
        <v>275</v>
      </c>
      <c r="R502" t="s">
        <v>275</v>
      </c>
      <c r="S502" t="s">
        <v>275</v>
      </c>
      <c r="T502" t="s">
        <v>275</v>
      </c>
      <c r="U502" t="s">
        <v>275</v>
      </c>
      <c r="V502" t="s">
        <v>275</v>
      </c>
      <c r="W502" t="s">
        <v>10</v>
      </c>
      <c r="X502" t="s">
        <v>275</v>
      </c>
      <c r="Y502" t="s">
        <v>275</v>
      </c>
      <c r="Z502" t="s">
        <v>275</v>
      </c>
      <c r="AA502" t="s">
        <v>275</v>
      </c>
      <c r="AB502" t="s">
        <v>275</v>
      </c>
      <c r="AC502" t="s">
        <v>275</v>
      </c>
      <c r="AD502" t="s">
        <v>275</v>
      </c>
    </row>
    <row r="503" spans="1:30">
      <c r="A503">
        <v>501</v>
      </c>
      <c r="B503" t="s">
        <v>1099</v>
      </c>
      <c r="C503" t="s">
        <v>1100</v>
      </c>
      <c r="D503" t="str">
        <f>IF(VLOOKUP(C503,'Capabilities Overview'!$A$2:$A$587,1)=C503,"","Not in UCL")</f>
        <v/>
      </c>
      <c r="E503" t="s">
        <v>1</v>
      </c>
      <c r="F503" t="s">
        <v>1</v>
      </c>
      <c r="G503" t="s">
        <v>275</v>
      </c>
      <c r="H503" t="s">
        <v>275</v>
      </c>
      <c r="I503" t="s">
        <v>275</v>
      </c>
      <c r="J503" t="s">
        <v>275</v>
      </c>
      <c r="K503" t="s">
        <v>275</v>
      </c>
      <c r="L503" t="s">
        <v>275</v>
      </c>
      <c r="M503" t="s">
        <v>1</v>
      </c>
      <c r="N503" t="s">
        <v>1</v>
      </c>
      <c r="O503" t="s">
        <v>1</v>
      </c>
      <c r="P503" t="s">
        <v>275</v>
      </c>
      <c r="Q503" t="s">
        <v>275</v>
      </c>
      <c r="R503" t="s">
        <v>275</v>
      </c>
      <c r="S503" t="s">
        <v>275</v>
      </c>
      <c r="T503" t="s">
        <v>275</v>
      </c>
      <c r="U503" t="s">
        <v>275</v>
      </c>
      <c r="V503" t="s">
        <v>275</v>
      </c>
      <c r="W503" t="s">
        <v>10</v>
      </c>
      <c r="X503" t="s">
        <v>275</v>
      </c>
      <c r="Y503" t="s">
        <v>275</v>
      </c>
      <c r="Z503" t="s">
        <v>275</v>
      </c>
      <c r="AA503" t="s">
        <v>275</v>
      </c>
      <c r="AB503" t="s">
        <v>275</v>
      </c>
      <c r="AC503" t="s">
        <v>275</v>
      </c>
      <c r="AD503" t="s">
        <v>275</v>
      </c>
    </row>
    <row r="504" spans="1:30">
      <c r="A504">
        <v>502</v>
      </c>
      <c r="B504" t="s">
        <v>1101</v>
      </c>
      <c r="C504" t="s">
        <v>1102</v>
      </c>
      <c r="D504" t="str">
        <f>IF(VLOOKUP(C504,'Capabilities Overview'!$A$2:$A$587,1)=C504,"","Not in UCL")</f>
        <v/>
      </c>
      <c r="E504" t="s">
        <v>1</v>
      </c>
      <c r="F504" t="s">
        <v>1</v>
      </c>
      <c r="G504" t="s">
        <v>275</v>
      </c>
      <c r="H504" t="s">
        <v>275</v>
      </c>
      <c r="I504" t="s">
        <v>275</v>
      </c>
      <c r="J504" t="s">
        <v>275</v>
      </c>
      <c r="K504" t="s">
        <v>275</v>
      </c>
      <c r="L504" t="s">
        <v>275</v>
      </c>
      <c r="M504" t="s">
        <v>1</v>
      </c>
      <c r="N504" t="s">
        <v>1</v>
      </c>
      <c r="O504" t="s">
        <v>275</v>
      </c>
      <c r="P504" t="s">
        <v>275</v>
      </c>
      <c r="Q504" t="s">
        <v>275</v>
      </c>
      <c r="R504" t="s">
        <v>275</v>
      </c>
      <c r="S504" t="s">
        <v>275</v>
      </c>
      <c r="T504" t="s">
        <v>275</v>
      </c>
      <c r="U504" t="s">
        <v>275</v>
      </c>
      <c r="V504" t="s">
        <v>275</v>
      </c>
      <c r="W504" t="s">
        <v>10</v>
      </c>
      <c r="X504" t="s">
        <v>275</v>
      </c>
      <c r="Y504" t="s">
        <v>275</v>
      </c>
      <c r="Z504" t="s">
        <v>275</v>
      </c>
      <c r="AA504" t="s">
        <v>275</v>
      </c>
      <c r="AB504" t="s">
        <v>275</v>
      </c>
      <c r="AC504" t="s">
        <v>275</v>
      </c>
      <c r="AD504" t="s">
        <v>275</v>
      </c>
    </row>
    <row r="505" spans="1:30">
      <c r="A505">
        <v>503</v>
      </c>
      <c r="B505" t="s">
        <v>1103</v>
      </c>
      <c r="C505" t="s">
        <v>1104</v>
      </c>
      <c r="D505" t="str">
        <f>IF(VLOOKUP(C505,'Capabilities Overview'!$A$2:$A$587,1)=C505,"","Not in UCL")</f>
        <v/>
      </c>
      <c r="E505" t="s">
        <v>275</v>
      </c>
      <c r="F505" t="s">
        <v>275</v>
      </c>
      <c r="G505" t="s">
        <v>275</v>
      </c>
      <c r="H505" t="s">
        <v>275</v>
      </c>
      <c r="I505" t="s">
        <v>275</v>
      </c>
      <c r="J505" t="s">
        <v>275</v>
      </c>
      <c r="K505" t="s">
        <v>275</v>
      </c>
      <c r="L505" t="s">
        <v>275</v>
      </c>
      <c r="M505" t="s">
        <v>275</v>
      </c>
      <c r="N505" t="s">
        <v>41</v>
      </c>
      <c r="O505" t="s">
        <v>1</v>
      </c>
      <c r="P505" t="s">
        <v>275</v>
      </c>
      <c r="Q505" t="s">
        <v>1</v>
      </c>
      <c r="R505" t="s">
        <v>275</v>
      </c>
      <c r="S505" t="s">
        <v>275</v>
      </c>
      <c r="T505" t="s">
        <v>275</v>
      </c>
      <c r="U505" t="s">
        <v>275</v>
      </c>
      <c r="V505" t="s">
        <v>275</v>
      </c>
      <c r="W505" t="s">
        <v>10</v>
      </c>
      <c r="X505" t="s">
        <v>275</v>
      </c>
      <c r="Y505" t="s">
        <v>275</v>
      </c>
      <c r="Z505" t="s">
        <v>275</v>
      </c>
      <c r="AA505" t="s">
        <v>275</v>
      </c>
      <c r="AB505" t="s">
        <v>275</v>
      </c>
      <c r="AC505" t="s">
        <v>275</v>
      </c>
      <c r="AD505" t="s">
        <v>275</v>
      </c>
    </row>
    <row r="506" spans="1:30">
      <c r="A506">
        <v>504</v>
      </c>
      <c r="B506" t="s">
        <v>1105</v>
      </c>
      <c r="C506" t="s">
        <v>1106</v>
      </c>
      <c r="D506" t="str">
        <f>IF(VLOOKUP(C506,'Capabilities Overview'!$A$2:$A$587,1)=C506,"","Not in UCL")</f>
        <v/>
      </c>
      <c r="E506" t="s">
        <v>1</v>
      </c>
      <c r="F506" t="s">
        <v>1</v>
      </c>
      <c r="G506" t="s">
        <v>275</v>
      </c>
      <c r="H506" t="s">
        <v>275</v>
      </c>
      <c r="I506" t="s">
        <v>1</v>
      </c>
      <c r="J506" t="s">
        <v>275</v>
      </c>
      <c r="K506" t="s">
        <v>275</v>
      </c>
      <c r="L506" t="s">
        <v>1</v>
      </c>
      <c r="M506" t="s">
        <v>1</v>
      </c>
      <c r="N506" t="s">
        <v>1</v>
      </c>
      <c r="O506" t="s">
        <v>1</v>
      </c>
      <c r="P506" t="s">
        <v>275</v>
      </c>
      <c r="Q506" t="s">
        <v>1</v>
      </c>
      <c r="R506" t="s">
        <v>1</v>
      </c>
      <c r="S506" t="s">
        <v>1</v>
      </c>
      <c r="T506" t="s">
        <v>275</v>
      </c>
      <c r="U506" t="s">
        <v>275</v>
      </c>
      <c r="V506" t="s">
        <v>275</v>
      </c>
      <c r="W506" t="s">
        <v>10</v>
      </c>
      <c r="X506" t="s">
        <v>275</v>
      </c>
      <c r="Y506" t="s">
        <v>275</v>
      </c>
      <c r="Z506" t="s">
        <v>275</v>
      </c>
      <c r="AA506" t="s">
        <v>275</v>
      </c>
      <c r="AB506" t="s">
        <v>275</v>
      </c>
      <c r="AC506" t="s">
        <v>275</v>
      </c>
      <c r="AD506" t="s">
        <v>275</v>
      </c>
    </row>
    <row r="507" spans="1:30">
      <c r="A507">
        <v>505</v>
      </c>
      <c r="B507" t="s">
        <v>1107</v>
      </c>
      <c r="C507" t="s">
        <v>1108</v>
      </c>
      <c r="D507" t="str">
        <f>IF(VLOOKUP(C507,'Capabilities Overview'!$A$2:$A$587,1)=C507,"","Not in UCL")</f>
        <v/>
      </c>
      <c r="E507" t="s">
        <v>1</v>
      </c>
      <c r="F507" t="s">
        <v>1</v>
      </c>
      <c r="G507" t="s">
        <v>275</v>
      </c>
      <c r="H507" t="s">
        <v>275</v>
      </c>
      <c r="I507" t="s">
        <v>1</v>
      </c>
      <c r="J507" t="s">
        <v>275</v>
      </c>
      <c r="K507" t="s">
        <v>275</v>
      </c>
      <c r="L507" t="s">
        <v>275</v>
      </c>
      <c r="M507" t="s">
        <v>1</v>
      </c>
      <c r="N507" t="s">
        <v>1</v>
      </c>
      <c r="O507" t="s">
        <v>1</v>
      </c>
      <c r="P507" t="s">
        <v>275</v>
      </c>
      <c r="Q507" t="s">
        <v>275</v>
      </c>
      <c r="R507" t="s">
        <v>1</v>
      </c>
      <c r="S507" t="s">
        <v>275</v>
      </c>
      <c r="T507" t="s">
        <v>275</v>
      </c>
      <c r="U507" t="s">
        <v>275</v>
      </c>
      <c r="V507" t="s">
        <v>275</v>
      </c>
      <c r="W507" t="s">
        <v>10</v>
      </c>
      <c r="X507" t="s">
        <v>275</v>
      </c>
      <c r="Y507" t="s">
        <v>275</v>
      </c>
      <c r="Z507" t="s">
        <v>275</v>
      </c>
      <c r="AA507" t="s">
        <v>275</v>
      </c>
      <c r="AB507" t="s">
        <v>275</v>
      </c>
      <c r="AC507" t="s">
        <v>275</v>
      </c>
      <c r="AD507" t="s">
        <v>275</v>
      </c>
    </row>
    <row r="508" spans="1:30">
      <c r="A508">
        <v>506</v>
      </c>
      <c r="B508" t="s">
        <v>839</v>
      </c>
      <c r="C508" t="s">
        <v>1109</v>
      </c>
      <c r="D508" t="str">
        <f>IF(VLOOKUP(C508,'Capabilities Overview'!$A$2:$A$587,1)=C508,"","Not in UCL")</f>
        <v/>
      </c>
      <c r="E508" t="s">
        <v>1</v>
      </c>
      <c r="F508" t="s">
        <v>1</v>
      </c>
      <c r="G508" t="s">
        <v>275</v>
      </c>
      <c r="H508" t="s">
        <v>275</v>
      </c>
      <c r="I508" t="s">
        <v>1</v>
      </c>
      <c r="J508" t="s">
        <v>275</v>
      </c>
      <c r="K508" t="s">
        <v>275</v>
      </c>
      <c r="L508" t="s">
        <v>1</v>
      </c>
      <c r="M508" t="s">
        <v>1</v>
      </c>
      <c r="N508" t="s">
        <v>1</v>
      </c>
      <c r="O508" t="s">
        <v>1</v>
      </c>
      <c r="P508" t="s">
        <v>275</v>
      </c>
      <c r="Q508" t="s">
        <v>1</v>
      </c>
      <c r="R508" t="s">
        <v>275</v>
      </c>
      <c r="S508" t="s">
        <v>275</v>
      </c>
      <c r="T508" t="s">
        <v>275</v>
      </c>
      <c r="U508" t="s">
        <v>275</v>
      </c>
      <c r="V508" t="s">
        <v>275</v>
      </c>
      <c r="W508" t="s">
        <v>10</v>
      </c>
      <c r="X508" t="s">
        <v>275</v>
      </c>
      <c r="Y508" t="s">
        <v>275</v>
      </c>
      <c r="Z508" t="s">
        <v>275</v>
      </c>
      <c r="AA508" t="s">
        <v>275</v>
      </c>
      <c r="AB508" t="s">
        <v>275</v>
      </c>
      <c r="AC508" t="s">
        <v>275</v>
      </c>
      <c r="AD508" t="s">
        <v>275</v>
      </c>
    </row>
    <row r="509" spans="1:30">
      <c r="A509">
        <v>507</v>
      </c>
      <c r="B509" t="s">
        <v>1110</v>
      </c>
      <c r="C509" t="s">
        <v>1111</v>
      </c>
      <c r="D509" t="str">
        <f>IF(VLOOKUP(C509,'Capabilities Overview'!$A$2:$A$587,1)=C509,"","Not in UCL")</f>
        <v/>
      </c>
      <c r="E509" t="s">
        <v>275</v>
      </c>
      <c r="F509" t="s">
        <v>1</v>
      </c>
      <c r="G509" t="s">
        <v>275</v>
      </c>
      <c r="H509" t="s">
        <v>275</v>
      </c>
      <c r="I509" t="s">
        <v>1</v>
      </c>
      <c r="J509" t="s">
        <v>1</v>
      </c>
      <c r="K509" t="s">
        <v>1</v>
      </c>
      <c r="L509" t="s">
        <v>275</v>
      </c>
      <c r="M509" t="s">
        <v>1</v>
      </c>
      <c r="N509" t="s">
        <v>1</v>
      </c>
      <c r="O509" t="s">
        <v>1</v>
      </c>
      <c r="P509" t="s">
        <v>275</v>
      </c>
      <c r="Q509" t="s">
        <v>275</v>
      </c>
      <c r="R509" t="s">
        <v>275</v>
      </c>
      <c r="S509" t="s">
        <v>275</v>
      </c>
      <c r="T509" t="s">
        <v>275</v>
      </c>
      <c r="U509" t="s">
        <v>275</v>
      </c>
      <c r="V509" t="s">
        <v>275</v>
      </c>
      <c r="W509" t="s">
        <v>10</v>
      </c>
      <c r="X509" t="s">
        <v>275</v>
      </c>
      <c r="Y509" t="s">
        <v>275</v>
      </c>
      <c r="Z509" t="s">
        <v>275</v>
      </c>
      <c r="AA509" t="s">
        <v>275</v>
      </c>
      <c r="AB509" t="s">
        <v>275</v>
      </c>
      <c r="AC509" t="s">
        <v>275</v>
      </c>
      <c r="AD509" t="s">
        <v>275</v>
      </c>
    </row>
    <row r="510" spans="1:30">
      <c r="A510">
        <v>508</v>
      </c>
      <c r="B510" t="s">
        <v>158</v>
      </c>
      <c r="C510" t="s">
        <v>159</v>
      </c>
      <c r="D510" t="str">
        <f>IF(VLOOKUP(C510,'Capabilities Overview'!$A$2:$A$587,1)=C510,"","Not in UCL")</f>
        <v/>
      </c>
      <c r="E510" t="s">
        <v>275</v>
      </c>
      <c r="F510" t="s">
        <v>1</v>
      </c>
      <c r="G510" t="s">
        <v>275</v>
      </c>
      <c r="H510" t="s">
        <v>275</v>
      </c>
      <c r="I510" t="s">
        <v>1</v>
      </c>
      <c r="J510" t="s">
        <v>1</v>
      </c>
      <c r="K510" t="s">
        <v>1</v>
      </c>
      <c r="L510" t="s">
        <v>1</v>
      </c>
      <c r="M510" t="s">
        <v>1</v>
      </c>
      <c r="N510" t="s">
        <v>1</v>
      </c>
      <c r="O510" t="s">
        <v>275</v>
      </c>
      <c r="P510" t="s">
        <v>275</v>
      </c>
      <c r="Q510" t="s">
        <v>275</v>
      </c>
      <c r="R510" t="s">
        <v>275</v>
      </c>
      <c r="S510" t="s">
        <v>1</v>
      </c>
      <c r="T510" t="s">
        <v>1</v>
      </c>
      <c r="U510" t="s">
        <v>275</v>
      </c>
      <c r="V510" t="s">
        <v>275</v>
      </c>
      <c r="W510" t="s">
        <v>1</v>
      </c>
      <c r="X510" t="s">
        <v>275</v>
      </c>
      <c r="Y510" t="s">
        <v>275</v>
      </c>
      <c r="Z510" t="s">
        <v>275</v>
      </c>
      <c r="AA510" t="s">
        <v>275</v>
      </c>
      <c r="AB510" t="s">
        <v>275</v>
      </c>
      <c r="AC510" t="s">
        <v>275</v>
      </c>
      <c r="AD510" t="s">
        <v>1</v>
      </c>
    </row>
    <row r="511" spans="1:30">
      <c r="A511">
        <v>509</v>
      </c>
      <c r="B511" t="s">
        <v>1112</v>
      </c>
      <c r="C511" t="s">
        <v>1113</v>
      </c>
      <c r="D511" t="str">
        <f>IF(VLOOKUP(C511,'Capabilities Overview'!$A$2:$A$587,1)=C511,"","Not in UCL")</f>
        <v/>
      </c>
      <c r="E511" t="s">
        <v>1</v>
      </c>
      <c r="F511" t="s">
        <v>1</v>
      </c>
      <c r="G511" t="s">
        <v>275</v>
      </c>
      <c r="H511" t="s">
        <v>275</v>
      </c>
      <c r="I511" t="s">
        <v>275</v>
      </c>
      <c r="J511" t="s">
        <v>275</v>
      </c>
      <c r="K511" t="s">
        <v>275</v>
      </c>
      <c r="L511" t="s">
        <v>275</v>
      </c>
      <c r="M511" t="s">
        <v>1</v>
      </c>
      <c r="N511" t="s">
        <v>1</v>
      </c>
      <c r="O511" t="s">
        <v>1</v>
      </c>
      <c r="P511" t="s">
        <v>275</v>
      </c>
      <c r="Q511" t="s">
        <v>1</v>
      </c>
      <c r="R511" t="s">
        <v>275</v>
      </c>
      <c r="S511" t="s">
        <v>275</v>
      </c>
      <c r="T511" t="s">
        <v>275</v>
      </c>
      <c r="U511" t="s">
        <v>275</v>
      </c>
      <c r="V511" t="s">
        <v>1</v>
      </c>
      <c r="W511" t="s">
        <v>10</v>
      </c>
      <c r="X511" t="s">
        <v>275</v>
      </c>
      <c r="Y511" t="s">
        <v>275</v>
      </c>
      <c r="Z511" t="s">
        <v>275</v>
      </c>
      <c r="AA511" t="s">
        <v>275</v>
      </c>
      <c r="AB511" t="s">
        <v>275</v>
      </c>
      <c r="AC511" t="s">
        <v>275</v>
      </c>
      <c r="AD511" t="s">
        <v>275</v>
      </c>
    </row>
    <row r="512" spans="1:30">
      <c r="A512">
        <v>510</v>
      </c>
      <c r="B512" t="s">
        <v>1114</v>
      </c>
      <c r="C512" t="s">
        <v>1115</v>
      </c>
      <c r="D512" t="str">
        <f>IF(VLOOKUP(C512,'Capabilities Overview'!$A$2:$A$587,1)=C512,"","Not in UCL")</f>
        <v/>
      </c>
      <c r="E512" t="s">
        <v>1</v>
      </c>
      <c r="F512" t="s">
        <v>275</v>
      </c>
      <c r="G512" t="s">
        <v>275</v>
      </c>
      <c r="H512" t="s">
        <v>275</v>
      </c>
      <c r="I512" t="s">
        <v>275</v>
      </c>
      <c r="J512" t="s">
        <v>275</v>
      </c>
      <c r="K512" t="s">
        <v>275</v>
      </c>
      <c r="L512" t="s">
        <v>275</v>
      </c>
      <c r="M512" t="s">
        <v>1</v>
      </c>
      <c r="N512" t="s">
        <v>1</v>
      </c>
      <c r="O512" t="s">
        <v>1</v>
      </c>
      <c r="P512" t="s">
        <v>275</v>
      </c>
      <c r="Q512" t="s">
        <v>1</v>
      </c>
      <c r="R512" t="s">
        <v>275</v>
      </c>
      <c r="S512" t="s">
        <v>275</v>
      </c>
      <c r="T512" t="s">
        <v>275</v>
      </c>
      <c r="U512" t="s">
        <v>275</v>
      </c>
      <c r="V512" t="s">
        <v>275</v>
      </c>
      <c r="W512" t="s">
        <v>10</v>
      </c>
      <c r="X512" t="s">
        <v>275</v>
      </c>
      <c r="Y512" t="s">
        <v>275</v>
      </c>
      <c r="Z512" t="s">
        <v>275</v>
      </c>
      <c r="AA512" t="s">
        <v>275</v>
      </c>
      <c r="AB512" t="s">
        <v>275</v>
      </c>
      <c r="AC512" t="s">
        <v>275</v>
      </c>
      <c r="AD512" t="s">
        <v>275</v>
      </c>
    </row>
    <row r="513" spans="1:30">
      <c r="A513">
        <v>511</v>
      </c>
      <c r="B513" t="s">
        <v>1116</v>
      </c>
      <c r="C513" t="s">
        <v>1117</v>
      </c>
      <c r="D513" t="str">
        <f>IF(VLOOKUP(C513,'Capabilities Overview'!$A$2:$A$587,1)=C513,"","Not in UCL")</f>
        <v/>
      </c>
      <c r="E513" t="s">
        <v>275</v>
      </c>
      <c r="F513" t="s">
        <v>275</v>
      </c>
      <c r="G513" t="s">
        <v>275</v>
      </c>
      <c r="H513" t="s">
        <v>275</v>
      </c>
      <c r="I513" t="s">
        <v>275</v>
      </c>
      <c r="J513" t="s">
        <v>275</v>
      </c>
      <c r="K513" t="s">
        <v>275</v>
      </c>
      <c r="L513" t="s">
        <v>275</v>
      </c>
      <c r="M513" t="s">
        <v>1</v>
      </c>
      <c r="N513" t="s">
        <v>1</v>
      </c>
      <c r="O513" t="s">
        <v>1</v>
      </c>
      <c r="P513" t="s">
        <v>275</v>
      </c>
      <c r="Q513" t="s">
        <v>1</v>
      </c>
      <c r="R513" t="s">
        <v>1</v>
      </c>
      <c r="S513" t="s">
        <v>275</v>
      </c>
      <c r="T513" t="s">
        <v>275</v>
      </c>
      <c r="U513" t="s">
        <v>1</v>
      </c>
      <c r="V513" t="s">
        <v>275</v>
      </c>
      <c r="W513" t="s">
        <v>275</v>
      </c>
      <c r="X513" t="s">
        <v>275</v>
      </c>
      <c r="Y513" t="s">
        <v>275</v>
      </c>
      <c r="Z513" t="s">
        <v>275</v>
      </c>
      <c r="AA513" t="s">
        <v>275</v>
      </c>
      <c r="AB513" t="s">
        <v>275</v>
      </c>
      <c r="AC513" t="s">
        <v>275</v>
      </c>
      <c r="AD513" t="s">
        <v>275</v>
      </c>
    </row>
    <row r="514" spans="1:30">
      <c r="A514">
        <v>512</v>
      </c>
      <c r="B514" t="s">
        <v>1118</v>
      </c>
      <c r="C514" t="s">
        <v>1119</v>
      </c>
      <c r="D514" t="str">
        <f>IF(VLOOKUP(C514,'Capabilities Overview'!$A$2:$A$587,1)=C514,"","Not in UCL")</f>
        <v/>
      </c>
      <c r="E514" t="s">
        <v>1</v>
      </c>
      <c r="F514" t="s">
        <v>1</v>
      </c>
      <c r="G514" t="s">
        <v>275</v>
      </c>
      <c r="H514" t="s">
        <v>275</v>
      </c>
      <c r="I514" t="s">
        <v>275</v>
      </c>
      <c r="J514" t="s">
        <v>275</v>
      </c>
      <c r="K514" t="s">
        <v>275</v>
      </c>
      <c r="L514" t="s">
        <v>275</v>
      </c>
      <c r="M514" t="s">
        <v>1</v>
      </c>
      <c r="N514" t="s">
        <v>1</v>
      </c>
      <c r="O514" t="s">
        <v>1</v>
      </c>
      <c r="P514" t="s">
        <v>275</v>
      </c>
      <c r="Q514" t="s">
        <v>1</v>
      </c>
      <c r="R514" t="s">
        <v>1</v>
      </c>
      <c r="S514" t="s">
        <v>275</v>
      </c>
      <c r="T514" t="s">
        <v>275</v>
      </c>
      <c r="U514" t="s">
        <v>275</v>
      </c>
      <c r="V514" t="s">
        <v>1</v>
      </c>
      <c r="W514" t="s">
        <v>10</v>
      </c>
      <c r="X514" t="s">
        <v>275</v>
      </c>
      <c r="Y514" t="s">
        <v>275</v>
      </c>
      <c r="Z514" t="s">
        <v>275</v>
      </c>
      <c r="AA514" t="s">
        <v>275</v>
      </c>
      <c r="AB514" t="s">
        <v>275</v>
      </c>
      <c r="AC514" t="s">
        <v>275</v>
      </c>
      <c r="AD514" t="s">
        <v>275</v>
      </c>
    </row>
    <row r="515" spans="1:30">
      <c r="A515">
        <v>513</v>
      </c>
      <c r="B515" t="s">
        <v>1120</v>
      </c>
      <c r="C515" t="s">
        <v>1121</v>
      </c>
      <c r="D515" t="str">
        <f>IF(VLOOKUP(C515,'Capabilities Overview'!$A$2:$A$587,1)=C515,"","Not in UCL")</f>
        <v/>
      </c>
      <c r="E515" t="s">
        <v>1</v>
      </c>
      <c r="F515" t="s">
        <v>1</v>
      </c>
      <c r="G515" t="s">
        <v>275</v>
      </c>
      <c r="H515" t="s">
        <v>275</v>
      </c>
      <c r="I515" t="s">
        <v>275</v>
      </c>
      <c r="J515" t="s">
        <v>275</v>
      </c>
      <c r="K515" t="s">
        <v>275</v>
      </c>
      <c r="L515" t="s">
        <v>275</v>
      </c>
      <c r="M515" t="s">
        <v>1</v>
      </c>
      <c r="N515" t="s">
        <v>1</v>
      </c>
      <c r="O515" t="s">
        <v>1</v>
      </c>
      <c r="P515" t="s">
        <v>275</v>
      </c>
      <c r="Q515" t="s">
        <v>1</v>
      </c>
      <c r="R515" t="s">
        <v>275</v>
      </c>
      <c r="S515" t="s">
        <v>275</v>
      </c>
      <c r="T515" t="s">
        <v>275</v>
      </c>
      <c r="U515" t="s">
        <v>275</v>
      </c>
      <c r="V515" t="s">
        <v>1</v>
      </c>
      <c r="W515" t="s">
        <v>10</v>
      </c>
      <c r="X515" t="s">
        <v>275</v>
      </c>
      <c r="Y515" t="s">
        <v>275</v>
      </c>
      <c r="Z515" t="s">
        <v>275</v>
      </c>
      <c r="AA515" t="s">
        <v>275</v>
      </c>
      <c r="AB515" t="s">
        <v>275</v>
      </c>
      <c r="AC515" t="s">
        <v>275</v>
      </c>
      <c r="AD515" t="s">
        <v>275</v>
      </c>
    </row>
    <row r="516" spans="1:30">
      <c r="A516">
        <v>514</v>
      </c>
      <c r="B516" t="s">
        <v>1122</v>
      </c>
      <c r="C516" t="s">
        <v>1123</v>
      </c>
      <c r="D516" t="str">
        <f>IF(VLOOKUP(C516,'Capabilities Overview'!$A$2:$A$587,1)=C516,"","Not in UCL")</f>
        <v/>
      </c>
      <c r="E516" t="s">
        <v>1</v>
      </c>
      <c r="F516" t="s">
        <v>1</v>
      </c>
      <c r="G516" t="s">
        <v>275</v>
      </c>
      <c r="H516" t="s">
        <v>275</v>
      </c>
      <c r="I516" t="s">
        <v>275</v>
      </c>
      <c r="J516" t="s">
        <v>275</v>
      </c>
      <c r="K516" t="s">
        <v>275</v>
      </c>
      <c r="L516" t="s">
        <v>275</v>
      </c>
      <c r="M516" t="s">
        <v>1</v>
      </c>
      <c r="N516" t="s">
        <v>1</v>
      </c>
      <c r="O516" t="s">
        <v>1</v>
      </c>
      <c r="P516" t="s">
        <v>275</v>
      </c>
      <c r="Q516" t="s">
        <v>1</v>
      </c>
      <c r="R516" t="s">
        <v>1</v>
      </c>
      <c r="S516" t="s">
        <v>275</v>
      </c>
      <c r="T516" t="s">
        <v>275</v>
      </c>
      <c r="U516" t="s">
        <v>275</v>
      </c>
      <c r="V516" t="s">
        <v>1</v>
      </c>
      <c r="W516" t="s">
        <v>10</v>
      </c>
      <c r="X516" t="s">
        <v>275</v>
      </c>
      <c r="Y516" t="s">
        <v>275</v>
      </c>
      <c r="Z516" t="s">
        <v>275</v>
      </c>
      <c r="AA516" t="s">
        <v>275</v>
      </c>
      <c r="AB516" t="s">
        <v>275</v>
      </c>
      <c r="AC516" t="s">
        <v>275</v>
      </c>
      <c r="AD516" t="s">
        <v>275</v>
      </c>
    </row>
    <row r="517" spans="1:30">
      <c r="A517">
        <v>515</v>
      </c>
      <c r="B517" t="s">
        <v>1124</v>
      </c>
      <c r="C517" t="s">
        <v>1125</v>
      </c>
      <c r="D517" t="str">
        <f>IF(VLOOKUP(C517,'Capabilities Overview'!$A$2:$A$587,1)=C517,"","Not in UCL")</f>
        <v/>
      </c>
      <c r="E517" t="s">
        <v>1</v>
      </c>
      <c r="F517" t="s">
        <v>1</v>
      </c>
      <c r="G517" t="s">
        <v>275</v>
      </c>
      <c r="H517" t="s">
        <v>275</v>
      </c>
      <c r="I517" t="s">
        <v>275</v>
      </c>
      <c r="J517" t="s">
        <v>275</v>
      </c>
      <c r="K517" t="s">
        <v>275</v>
      </c>
      <c r="L517" t="s">
        <v>275</v>
      </c>
      <c r="M517" t="s">
        <v>1</v>
      </c>
      <c r="N517" t="s">
        <v>1</v>
      </c>
      <c r="O517" t="s">
        <v>1</v>
      </c>
      <c r="P517" t="s">
        <v>275</v>
      </c>
      <c r="Q517" t="s">
        <v>1</v>
      </c>
      <c r="R517" t="s">
        <v>275</v>
      </c>
      <c r="S517" t="s">
        <v>275</v>
      </c>
      <c r="T517" t="s">
        <v>275</v>
      </c>
      <c r="U517" t="s">
        <v>275</v>
      </c>
      <c r="V517" t="s">
        <v>1</v>
      </c>
      <c r="W517" t="s">
        <v>10</v>
      </c>
      <c r="X517" t="s">
        <v>275</v>
      </c>
      <c r="Y517" t="s">
        <v>275</v>
      </c>
      <c r="Z517" t="s">
        <v>275</v>
      </c>
      <c r="AA517" t="s">
        <v>275</v>
      </c>
      <c r="AB517" t="s">
        <v>275</v>
      </c>
      <c r="AC517" t="s">
        <v>275</v>
      </c>
      <c r="AD517" t="s">
        <v>275</v>
      </c>
    </row>
    <row r="518" spans="1:30">
      <c r="A518">
        <v>516</v>
      </c>
      <c r="B518" t="s">
        <v>1126</v>
      </c>
      <c r="C518" t="s">
        <v>1127</v>
      </c>
      <c r="D518" t="str">
        <f>IF(VLOOKUP(C518,'Capabilities Overview'!$A$2:$A$587,1)=C518,"","Not in UCL")</f>
        <v/>
      </c>
      <c r="E518" t="s">
        <v>1</v>
      </c>
      <c r="F518" t="s">
        <v>1</v>
      </c>
      <c r="G518" t="s">
        <v>275</v>
      </c>
      <c r="H518" t="s">
        <v>275</v>
      </c>
      <c r="I518" t="s">
        <v>1</v>
      </c>
      <c r="J518" t="s">
        <v>275</v>
      </c>
      <c r="K518" t="s">
        <v>275</v>
      </c>
      <c r="L518" t="s">
        <v>275</v>
      </c>
      <c r="M518" t="s">
        <v>1</v>
      </c>
      <c r="N518" t="s">
        <v>1</v>
      </c>
      <c r="O518" t="s">
        <v>1</v>
      </c>
      <c r="P518" t="s">
        <v>275</v>
      </c>
      <c r="Q518" t="s">
        <v>1</v>
      </c>
      <c r="R518" t="s">
        <v>275</v>
      </c>
      <c r="S518" t="s">
        <v>275</v>
      </c>
      <c r="T518" t="s">
        <v>275</v>
      </c>
      <c r="U518" t="s">
        <v>275</v>
      </c>
      <c r="V518" t="s">
        <v>1</v>
      </c>
      <c r="W518" t="s">
        <v>10</v>
      </c>
      <c r="X518" t="s">
        <v>275</v>
      </c>
      <c r="Y518" t="s">
        <v>275</v>
      </c>
      <c r="Z518" t="s">
        <v>275</v>
      </c>
      <c r="AA518" t="s">
        <v>275</v>
      </c>
      <c r="AB518" t="s">
        <v>275</v>
      </c>
      <c r="AC518" t="s">
        <v>275</v>
      </c>
      <c r="AD518" t="s">
        <v>275</v>
      </c>
    </row>
    <row r="519" spans="1:30">
      <c r="A519">
        <v>517</v>
      </c>
      <c r="B519" t="s">
        <v>1128</v>
      </c>
      <c r="C519" t="s">
        <v>1129</v>
      </c>
      <c r="D519" t="str">
        <f>IF(VLOOKUP(C519,'Capabilities Overview'!$A$2:$A$587,1)=C519,"","Not in UCL")</f>
        <v/>
      </c>
      <c r="E519" t="s">
        <v>1</v>
      </c>
      <c r="F519" t="s">
        <v>1</v>
      </c>
      <c r="G519" t="s">
        <v>275</v>
      </c>
      <c r="H519" t="s">
        <v>275</v>
      </c>
      <c r="I519" t="s">
        <v>1</v>
      </c>
      <c r="J519" t="s">
        <v>275</v>
      </c>
      <c r="K519" t="s">
        <v>275</v>
      </c>
      <c r="L519" t="s">
        <v>275</v>
      </c>
      <c r="M519" t="s">
        <v>1</v>
      </c>
      <c r="N519" t="s">
        <v>1</v>
      </c>
      <c r="O519" t="s">
        <v>1</v>
      </c>
      <c r="P519" t="s">
        <v>275</v>
      </c>
      <c r="Q519" t="s">
        <v>1</v>
      </c>
      <c r="R519" t="s">
        <v>1</v>
      </c>
      <c r="S519" t="s">
        <v>275</v>
      </c>
      <c r="T519" t="s">
        <v>275</v>
      </c>
      <c r="U519" t="s">
        <v>275</v>
      </c>
      <c r="V519" t="s">
        <v>1</v>
      </c>
      <c r="W519" t="s">
        <v>10</v>
      </c>
      <c r="X519" t="s">
        <v>275</v>
      </c>
      <c r="Y519" t="s">
        <v>275</v>
      </c>
      <c r="Z519" t="s">
        <v>275</v>
      </c>
      <c r="AA519" t="s">
        <v>275</v>
      </c>
      <c r="AB519" t="s">
        <v>275</v>
      </c>
      <c r="AC519" t="s">
        <v>275</v>
      </c>
      <c r="AD519" t="s">
        <v>275</v>
      </c>
    </row>
    <row r="520" spans="1:30">
      <c r="A520">
        <v>518</v>
      </c>
      <c r="B520" t="s">
        <v>1130</v>
      </c>
      <c r="C520" t="s">
        <v>1131</v>
      </c>
      <c r="D520" t="str">
        <f>IF(VLOOKUP(C520,'Capabilities Overview'!$A$2:$A$587,1)=C520,"","Not in UCL")</f>
        <v/>
      </c>
      <c r="E520" t="s">
        <v>1</v>
      </c>
      <c r="F520" t="s">
        <v>1</v>
      </c>
      <c r="G520" t="s">
        <v>275</v>
      </c>
      <c r="H520" t="s">
        <v>275</v>
      </c>
      <c r="I520" t="s">
        <v>1</v>
      </c>
      <c r="J520" t="s">
        <v>275</v>
      </c>
      <c r="K520" t="s">
        <v>275</v>
      </c>
      <c r="L520" t="s">
        <v>275</v>
      </c>
      <c r="M520" t="s">
        <v>1</v>
      </c>
      <c r="N520" t="s">
        <v>1</v>
      </c>
      <c r="O520" t="s">
        <v>1</v>
      </c>
      <c r="P520" t="s">
        <v>275</v>
      </c>
      <c r="Q520" t="s">
        <v>1</v>
      </c>
      <c r="R520" t="s">
        <v>275</v>
      </c>
      <c r="S520" t="s">
        <v>275</v>
      </c>
      <c r="T520" t="s">
        <v>275</v>
      </c>
      <c r="U520" t="s">
        <v>275</v>
      </c>
      <c r="V520" t="s">
        <v>1</v>
      </c>
      <c r="W520" t="s">
        <v>10</v>
      </c>
      <c r="X520" t="s">
        <v>275</v>
      </c>
      <c r="Y520" t="s">
        <v>275</v>
      </c>
      <c r="Z520" t="s">
        <v>275</v>
      </c>
      <c r="AA520" t="s">
        <v>275</v>
      </c>
      <c r="AB520" t="s">
        <v>275</v>
      </c>
      <c r="AC520" t="s">
        <v>275</v>
      </c>
      <c r="AD520" t="s">
        <v>275</v>
      </c>
    </row>
    <row r="521" spans="1:30">
      <c r="A521">
        <v>519</v>
      </c>
      <c r="B521" t="s">
        <v>1132</v>
      </c>
      <c r="C521" t="s">
        <v>1133</v>
      </c>
      <c r="D521" t="str">
        <f>IF(VLOOKUP(C521,'Capabilities Overview'!$A$2:$A$587,1)=C521,"","Not in UCL")</f>
        <v/>
      </c>
      <c r="E521" t="s">
        <v>1</v>
      </c>
      <c r="F521" t="s">
        <v>1</v>
      </c>
      <c r="G521" t="s">
        <v>275</v>
      </c>
      <c r="H521" t="s">
        <v>275</v>
      </c>
      <c r="I521" t="s">
        <v>1</v>
      </c>
      <c r="J521" t="s">
        <v>275</v>
      </c>
      <c r="K521" t="s">
        <v>275</v>
      </c>
      <c r="L521" t="s">
        <v>275</v>
      </c>
      <c r="M521" t="s">
        <v>1</v>
      </c>
      <c r="N521" t="s">
        <v>1</v>
      </c>
      <c r="O521" t="s">
        <v>1</v>
      </c>
      <c r="P521" t="s">
        <v>275</v>
      </c>
      <c r="Q521" t="s">
        <v>1</v>
      </c>
      <c r="R521" t="s">
        <v>275</v>
      </c>
      <c r="S521" t="s">
        <v>275</v>
      </c>
      <c r="T521" t="s">
        <v>275</v>
      </c>
      <c r="U521" t="s">
        <v>275</v>
      </c>
      <c r="V521" t="s">
        <v>1</v>
      </c>
      <c r="W521" t="s">
        <v>10</v>
      </c>
      <c r="X521" t="s">
        <v>275</v>
      </c>
      <c r="Y521" t="s">
        <v>275</v>
      </c>
      <c r="Z521" t="s">
        <v>275</v>
      </c>
      <c r="AA521" t="s">
        <v>275</v>
      </c>
      <c r="AB521" t="s">
        <v>275</v>
      </c>
      <c r="AC521" t="s">
        <v>275</v>
      </c>
      <c r="AD521" t="s">
        <v>275</v>
      </c>
    </row>
    <row r="522" spans="1:30">
      <c r="A522">
        <v>520</v>
      </c>
      <c r="B522" t="s">
        <v>1134</v>
      </c>
      <c r="C522" t="s">
        <v>1135</v>
      </c>
      <c r="D522" t="str">
        <f>IF(VLOOKUP(C522,'Capabilities Overview'!$A$2:$A$587,1)=C522,"","Not in UCL")</f>
        <v/>
      </c>
      <c r="E522" t="s">
        <v>1</v>
      </c>
      <c r="F522" t="s">
        <v>1</v>
      </c>
      <c r="G522" t="s">
        <v>275</v>
      </c>
      <c r="H522" t="s">
        <v>275</v>
      </c>
      <c r="I522" t="s">
        <v>1</v>
      </c>
      <c r="J522" t="s">
        <v>275</v>
      </c>
      <c r="K522" t="s">
        <v>275</v>
      </c>
      <c r="L522" t="s">
        <v>275</v>
      </c>
      <c r="M522" t="s">
        <v>1</v>
      </c>
      <c r="N522" t="s">
        <v>1</v>
      </c>
      <c r="O522" t="s">
        <v>1</v>
      </c>
      <c r="P522" t="s">
        <v>275</v>
      </c>
      <c r="Q522" t="s">
        <v>1</v>
      </c>
      <c r="R522" t="s">
        <v>275</v>
      </c>
      <c r="S522" t="s">
        <v>275</v>
      </c>
      <c r="T522" t="s">
        <v>275</v>
      </c>
      <c r="U522" t="s">
        <v>275</v>
      </c>
      <c r="V522" t="s">
        <v>1</v>
      </c>
      <c r="W522" t="s">
        <v>10</v>
      </c>
      <c r="X522" t="s">
        <v>275</v>
      </c>
      <c r="Y522" t="s">
        <v>275</v>
      </c>
      <c r="Z522" t="s">
        <v>275</v>
      </c>
      <c r="AA522" t="s">
        <v>275</v>
      </c>
      <c r="AB522" t="s">
        <v>275</v>
      </c>
      <c r="AC522" t="s">
        <v>275</v>
      </c>
      <c r="AD522" t="s">
        <v>275</v>
      </c>
    </row>
    <row r="523" spans="1:30">
      <c r="A523">
        <v>521</v>
      </c>
      <c r="B523" t="s">
        <v>1136</v>
      </c>
      <c r="C523" t="s">
        <v>1137</v>
      </c>
      <c r="D523" t="str">
        <f>IF(VLOOKUP(C523,'Capabilities Overview'!$A$2:$A$587,1)=C523,"","Not in UCL")</f>
        <v/>
      </c>
      <c r="E523" t="s">
        <v>1</v>
      </c>
      <c r="F523" t="s">
        <v>1</v>
      </c>
      <c r="G523" t="s">
        <v>275</v>
      </c>
      <c r="H523" t="s">
        <v>275</v>
      </c>
      <c r="I523" t="s">
        <v>1</v>
      </c>
      <c r="J523" t="s">
        <v>275</v>
      </c>
      <c r="K523" t="s">
        <v>275</v>
      </c>
      <c r="L523" t="s">
        <v>275</v>
      </c>
      <c r="M523" t="s">
        <v>1</v>
      </c>
      <c r="N523" t="s">
        <v>1</v>
      </c>
      <c r="O523" t="s">
        <v>1</v>
      </c>
      <c r="P523" t="s">
        <v>275</v>
      </c>
      <c r="Q523" t="s">
        <v>1</v>
      </c>
      <c r="R523" t="s">
        <v>275</v>
      </c>
      <c r="S523" t="s">
        <v>275</v>
      </c>
      <c r="T523" t="s">
        <v>275</v>
      </c>
      <c r="U523" t="s">
        <v>275</v>
      </c>
      <c r="V523" t="s">
        <v>1</v>
      </c>
      <c r="W523" t="s">
        <v>10</v>
      </c>
      <c r="X523" t="s">
        <v>275</v>
      </c>
      <c r="Y523" t="s">
        <v>275</v>
      </c>
      <c r="Z523" t="s">
        <v>275</v>
      </c>
      <c r="AA523" t="s">
        <v>275</v>
      </c>
      <c r="AB523" t="s">
        <v>275</v>
      </c>
      <c r="AC523" t="s">
        <v>275</v>
      </c>
      <c r="AD523" t="s">
        <v>275</v>
      </c>
    </row>
    <row r="524" spans="1:30">
      <c r="A524">
        <v>522</v>
      </c>
      <c r="B524" t="s">
        <v>1138</v>
      </c>
      <c r="C524" t="s">
        <v>1139</v>
      </c>
      <c r="D524" t="str">
        <f>IF(VLOOKUP(C524,'Capabilities Overview'!$A$2:$A$587,1)=C524,"","Not in UCL")</f>
        <v/>
      </c>
      <c r="E524" t="s">
        <v>1</v>
      </c>
      <c r="F524" t="s">
        <v>1</v>
      </c>
      <c r="G524" t="s">
        <v>275</v>
      </c>
      <c r="H524" t="s">
        <v>275</v>
      </c>
      <c r="I524" t="s">
        <v>275</v>
      </c>
      <c r="J524" t="s">
        <v>275</v>
      </c>
      <c r="K524" t="s">
        <v>275</v>
      </c>
      <c r="L524" t="s">
        <v>275</v>
      </c>
      <c r="M524" t="s">
        <v>1</v>
      </c>
      <c r="N524" t="s">
        <v>1</v>
      </c>
      <c r="O524" t="s">
        <v>1</v>
      </c>
      <c r="P524" t="s">
        <v>275</v>
      </c>
      <c r="Q524" t="s">
        <v>1</v>
      </c>
      <c r="R524" t="s">
        <v>275</v>
      </c>
      <c r="S524" t="s">
        <v>275</v>
      </c>
      <c r="T524" t="s">
        <v>275</v>
      </c>
      <c r="U524" t="s">
        <v>275</v>
      </c>
      <c r="V524" t="s">
        <v>1</v>
      </c>
      <c r="W524" t="s">
        <v>10</v>
      </c>
      <c r="X524" t="s">
        <v>275</v>
      </c>
      <c r="Y524" t="s">
        <v>275</v>
      </c>
      <c r="Z524" t="s">
        <v>275</v>
      </c>
      <c r="AA524" t="s">
        <v>275</v>
      </c>
      <c r="AB524" t="s">
        <v>275</v>
      </c>
      <c r="AC524" t="s">
        <v>275</v>
      </c>
      <c r="AD524" t="s">
        <v>275</v>
      </c>
    </row>
    <row r="525" spans="1:30">
      <c r="A525">
        <v>523</v>
      </c>
      <c r="B525" t="s">
        <v>1140</v>
      </c>
      <c r="C525" t="s">
        <v>1141</v>
      </c>
      <c r="D525" t="str">
        <f>IF(VLOOKUP(C525,'Capabilities Overview'!$A$2:$A$587,1)=C525,"","Not in UCL")</f>
        <v/>
      </c>
      <c r="E525" t="s">
        <v>1</v>
      </c>
      <c r="F525" t="s">
        <v>1</v>
      </c>
      <c r="G525" t="s">
        <v>275</v>
      </c>
      <c r="H525" t="s">
        <v>275</v>
      </c>
      <c r="I525" t="s">
        <v>275</v>
      </c>
      <c r="J525" t="s">
        <v>275</v>
      </c>
      <c r="K525" t="s">
        <v>275</v>
      </c>
      <c r="L525" t="s">
        <v>275</v>
      </c>
      <c r="M525" t="s">
        <v>1</v>
      </c>
      <c r="N525" t="s">
        <v>1</v>
      </c>
      <c r="O525" t="s">
        <v>1</v>
      </c>
      <c r="P525" t="s">
        <v>275</v>
      </c>
      <c r="Q525" t="s">
        <v>1</v>
      </c>
      <c r="R525" t="s">
        <v>275</v>
      </c>
      <c r="S525" t="s">
        <v>275</v>
      </c>
      <c r="T525" t="s">
        <v>275</v>
      </c>
      <c r="U525" t="s">
        <v>275</v>
      </c>
      <c r="V525" t="s">
        <v>1</v>
      </c>
      <c r="W525" t="s">
        <v>10</v>
      </c>
      <c r="X525" t="s">
        <v>275</v>
      </c>
      <c r="Y525" t="s">
        <v>275</v>
      </c>
      <c r="Z525" t="s">
        <v>275</v>
      </c>
      <c r="AA525" t="s">
        <v>275</v>
      </c>
      <c r="AB525" t="s">
        <v>275</v>
      </c>
      <c r="AC525" t="s">
        <v>275</v>
      </c>
      <c r="AD525" t="s">
        <v>275</v>
      </c>
    </row>
    <row r="526" spans="1:30">
      <c r="A526">
        <v>524</v>
      </c>
      <c r="B526" t="s">
        <v>1142</v>
      </c>
      <c r="C526" t="s">
        <v>1143</v>
      </c>
      <c r="D526" t="str">
        <f>IF(VLOOKUP(C526,'Capabilities Overview'!$A$2:$A$587,1)=C526,"","Not in UCL")</f>
        <v/>
      </c>
      <c r="E526" t="s">
        <v>1</v>
      </c>
      <c r="F526" t="s">
        <v>1</v>
      </c>
      <c r="G526" t="s">
        <v>275</v>
      </c>
      <c r="H526" t="s">
        <v>275</v>
      </c>
      <c r="I526" t="s">
        <v>275</v>
      </c>
      <c r="J526" t="s">
        <v>275</v>
      </c>
      <c r="K526" t="s">
        <v>275</v>
      </c>
      <c r="L526" t="s">
        <v>275</v>
      </c>
      <c r="M526" t="s">
        <v>1</v>
      </c>
      <c r="N526" t="s">
        <v>1</v>
      </c>
      <c r="O526" t="s">
        <v>1</v>
      </c>
      <c r="P526" t="s">
        <v>275</v>
      </c>
      <c r="Q526" t="s">
        <v>1</v>
      </c>
      <c r="R526" t="s">
        <v>1</v>
      </c>
      <c r="S526" t="s">
        <v>275</v>
      </c>
      <c r="T526" t="s">
        <v>275</v>
      </c>
      <c r="U526" t="s">
        <v>275</v>
      </c>
      <c r="V526" t="s">
        <v>1</v>
      </c>
      <c r="W526" t="s">
        <v>10</v>
      </c>
      <c r="X526" t="s">
        <v>275</v>
      </c>
      <c r="Y526" t="s">
        <v>275</v>
      </c>
      <c r="Z526" t="s">
        <v>275</v>
      </c>
      <c r="AA526" t="s">
        <v>275</v>
      </c>
      <c r="AB526" t="s">
        <v>275</v>
      </c>
      <c r="AC526" t="s">
        <v>275</v>
      </c>
      <c r="AD526" t="s">
        <v>275</v>
      </c>
    </row>
    <row r="527" spans="1:30">
      <c r="A527">
        <v>525</v>
      </c>
      <c r="B527" t="s">
        <v>1144</v>
      </c>
      <c r="C527" t="s">
        <v>1145</v>
      </c>
      <c r="D527" t="str">
        <f>IF(VLOOKUP(C527,'Capabilities Overview'!$A$2:$A$587,1)=C527,"","Not in UCL")</f>
        <v/>
      </c>
      <c r="E527" t="s">
        <v>1</v>
      </c>
      <c r="F527" t="s">
        <v>1</v>
      </c>
      <c r="G527" t="s">
        <v>275</v>
      </c>
      <c r="H527" t="s">
        <v>275</v>
      </c>
      <c r="I527" t="s">
        <v>1</v>
      </c>
      <c r="J527" t="s">
        <v>275</v>
      </c>
      <c r="K527" t="s">
        <v>275</v>
      </c>
      <c r="L527" t="s">
        <v>275</v>
      </c>
      <c r="M527" t="s">
        <v>1</v>
      </c>
      <c r="N527" t="s">
        <v>1</v>
      </c>
      <c r="O527" t="s">
        <v>1</v>
      </c>
      <c r="P527" t="s">
        <v>275</v>
      </c>
      <c r="Q527" t="s">
        <v>1</v>
      </c>
      <c r="R527" t="s">
        <v>275</v>
      </c>
      <c r="S527" t="s">
        <v>275</v>
      </c>
      <c r="T527" t="s">
        <v>275</v>
      </c>
      <c r="U527" t="s">
        <v>275</v>
      </c>
      <c r="V527" t="s">
        <v>1</v>
      </c>
      <c r="W527" t="s">
        <v>10</v>
      </c>
      <c r="X527" t="s">
        <v>275</v>
      </c>
      <c r="Y527" t="s">
        <v>275</v>
      </c>
      <c r="Z527" t="s">
        <v>275</v>
      </c>
      <c r="AA527" t="s">
        <v>275</v>
      </c>
      <c r="AB527" t="s">
        <v>275</v>
      </c>
      <c r="AC527" t="s">
        <v>275</v>
      </c>
      <c r="AD527" t="s">
        <v>275</v>
      </c>
    </row>
    <row r="528" spans="1:30">
      <c r="A528">
        <v>526</v>
      </c>
      <c r="B528" t="s">
        <v>1146</v>
      </c>
      <c r="C528" t="s">
        <v>1147</v>
      </c>
      <c r="D528" t="str">
        <f>IF(VLOOKUP(C528,'Capabilities Overview'!$A$2:$A$587,1)=C528,"","Not in UCL")</f>
        <v/>
      </c>
      <c r="E528" t="s">
        <v>1</v>
      </c>
      <c r="F528" t="s">
        <v>1</v>
      </c>
      <c r="G528" t="s">
        <v>275</v>
      </c>
      <c r="H528" t="s">
        <v>275</v>
      </c>
      <c r="I528" t="s">
        <v>275</v>
      </c>
      <c r="J528" t="s">
        <v>275</v>
      </c>
      <c r="K528" t="s">
        <v>275</v>
      </c>
      <c r="L528" t="s">
        <v>275</v>
      </c>
      <c r="M528" t="s">
        <v>1</v>
      </c>
      <c r="N528" t="s">
        <v>1</v>
      </c>
      <c r="O528" t="s">
        <v>1</v>
      </c>
      <c r="P528" t="s">
        <v>275</v>
      </c>
      <c r="Q528" t="s">
        <v>1</v>
      </c>
      <c r="R528" t="s">
        <v>1</v>
      </c>
      <c r="S528" t="s">
        <v>275</v>
      </c>
      <c r="T528" t="s">
        <v>275</v>
      </c>
      <c r="U528" t="s">
        <v>275</v>
      </c>
      <c r="V528" t="s">
        <v>1</v>
      </c>
      <c r="W528" t="s">
        <v>10</v>
      </c>
      <c r="X528" t="s">
        <v>275</v>
      </c>
      <c r="Y528" t="s">
        <v>275</v>
      </c>
      <c r="Z528" t="s">
        <v>275</v>
      </c>
      <c r="AA528" t="s">
        <v>275</v>
      </c>
      <c r="AB528" t="s">
        <v>275</v>
      </c>
      <c r="AC528" t="s">
        <v>275</v>
      </c>
      <c r="AD528" t="s">
        <v>275</v>
      </c>
    </row>
    <row r="529" spans="1:30">
      <c r="A529">
        <v>527</v>
      </c>
      <c r="B529" t="s">
        <v>144</v>
      </c>
      <c r="C529" t="s">
        <v>1148</v>
      </c>
      <c r="D529" t="str">
        <f>IF(VLOOKUP(C529,'Capabilities Overview'!$A$2:$A$587,1)=C529,"","Not in UCL")</f>
        <v/>
      </c>
      <c r="E529" t="s">
        <v>1</v>
      </c>
      <c r="F529" t="s">
        <v>1</v>
      </c>
      <c r="G529" t="s">
        <v>275</v>
      </c>
      <c r="H529" t="s">
        <v>275</v>
      </c>
      <c r="I529" t="s">
        <v>1</v>
      </c>
      <c r="J529" t="s">
        <v>275</v>
      </c>
      <c r="K529" t="s">
        <v>275</v>
      </c>
      <c r="L529" t="s">
        <v>1</v>
      </c>
      <c r="M529" t="s">
        <v>1</v>
      </c>
      <c r="N529" t="s">
        <v>1</v>
      </c>
      <c r="O529" t="s">
        <v>1</v>
      </c>
      <c r="P529" t="s">
        <v>275</v>
      </c>
      <c r="Q529" t="s">
        <v>1</v>
      </c>
      <c r="R529" t="s">
        <v>275</v>
      </c>
      <c r="S529" t="s">
        <v>275</v>
      </c>
      <c r="T529" t="s">
        <v>275</v>
      </c>
      <c r="U529" t="s">
        <v>275</v>
      </c>
      <c r="V529" t="s">
        <v>1</v>
      </c>
      <c r="W529" t="s">
        <v>275</v>
      </c>
      <c r="X529" t="s">
        <v>275</v>
      </c>
      <c r="Y529" t="s">
        <v>275</v>
      </c>
      <c r="Z529" t="s">
        <v>275</v>
      </c>
      <c r="AA529" t="s">
        <v>275</v>
      </c>
      <c r="AB529" t="s">
        <v>275</v>
      </c>
      <c r="AC529" t="s">
        <v>275</v>
      </c>
      <c r="AD529" t="s">
        <v>275</v>
      </c>
    </row>
    <row r="530" spans="1:30">
      <c r="A530">
        <v>528</v>
      </c>
      <c r="B530" t="s">
        <v>146</v>
      </c>
      <c r="C530" t="s">
        <v>1149</v>
      </c>
      <c r="D530" t="str">
        <f>IF(VLOOKUP(C530,'Capabilities Overview'!$A$2:$A$587,1)=C530,"","Not in UCL")</f>
        <v/>
      </c>
      <c r="E530" t="s">
        <v>1</v>
      </c>
      <c r="F530" t="s">
        <v>1</v>
      </c>
      <c r="G530" t="s">
        <v>275</v>
      </c>
      <c r="H530" t="s">
        <v>275</v>
      </c>
      <c r="I530" t="s">
        <v>1</v>
      </c>
      <c r="J530" t="s">
        <v>275</v>
      </c>
      <c r="K530" t="s">
        <v>275</v>
      </c>
      <c r="L530" t="s">
        <v>1</v>
      </c>
      <c r="M530" t="s">
        <v>1</v>
      </c>
      <c r="N530" t="s">
        <v>1</v>
      </c>
      <c r="O530" t="s">
        <v>1</v>
      </c>
      <c r="P530" t="s">
        <v>275</v>
      </c>
      <c r="Q530" t="s">
        <v>1</v>
      </c>
      <c r="R530" t="s">
        <v>275</v>
      </c>
      <c r="S530" t="s">
        <v>275</v>
      </c>
      <c r="T530" t="s">
        <v>275</v>
      </c>
      <c r="U530" t="s">
        <v>275</v>
      </c>
      <c r="V530" t="s">
        <v>1</v>
      </c>
      <c r="W530" t="s">
        <v>275</v>
      </c>
      <c r="X530" t="s">
        <v>275</v>
      </c>
      <c r="Y530" t="s">
        <v>275</v>
      </c>
      <c r="Z530" t="s">
        <v>275</v>
      </c>
      <c r="AA530" t="s">
        <v>275</v>
      </c>
      <c r="AB530" t="s">
        <v>275</v>
      </c>
      <c r="AC530" t="s">
        <v>275</v>
      </c>
      <c r="AD530" t="s">
        <v>275</v>
      </c>
    </row>
    <row r="531" spans="1:30">
      <c r="A531">
        <v>529</v>
      </c>
      <c r="B531" t="s">
        <v>1150</v>
      </c>
      <c r="C531" t="s">
        <v>1151</v>
      </c>
      <c r="D531" t="str">
        <f>IF(VLOOKUP(C531,'Capabilities Overview'!$A$2:$A$587,1)=C531,"","Not in UCL")</f>
        <v/>
      </c>
      <c r="E531" t="s">
        <v>1</v>
      </c>
      <c r="F531" t="s">
        <v>1</v>
      </c>
      <c r="G531" t="s">
        <v>275</v>
      </c>
      <c r="H531" t="s">
        <v>275</v>
      </c>
      <c r="I531" t="s">
        <v>1</v>
      </c>
      <c r="J531" t="s">
        <v>275</v>
      </c>
      <c r="K531" t="s">
        <v>275</v>
      </c>
      <c r="L531" t="s">
        <v>1</v>
      </c>
      <c r="M531" t="s">
        <v>1</v>
      </c>
      <c r="N531" t="s">
        <v>1</v>
      </c>
      <c r="O531" t="s">
        <v>1</v>
      </c>
      <c r="P531" t="s">
        <v>275</v>
      </c>
      <c r="Q531" t="s">
        <v>1</v>
      </c>
      <c r="R531" t="s">
        <v>1</v>
      </c>
      <c r="S531" t="s">
        <v>1</v>
      </c>
      <c r="T531" t="s">
        <v>275</v>
      </c>
      <c r="U531" t="s">
        <v>1</v>
      </c>
      <c r="V531" t="s">
        <v>1</v>
      </c>
      <c r="W531" t="s">
        <v>1</v>
      </c>
      <c r="X531" t="s">
        <v>275</v>
      </c>
      <c r="Y531" t="s">
        <v>275</v>
      </c>
      <c r="Z531" t="s">
        <v>275</v>
      </c>
      <c r="AA531" t="s">
        <v>275</v>
      </c>
      <c r="AB531" t="s">
        <v>275</v>
      </c>
      <c r="AC531" t="s">
        <v>275</v>
      </c>
      <c r="AD531" t="s">
        <v>275</v>
      </c>
    </row>
    <row r="532" spans="1:30">
      <c r="A532">
        <v>530</v>
      </c>
      <c r="B532" t="s">
        <v>1152</v>
      </c>
      <c r="C532" t="s">
        <v>1153</v>
      </c>
      <c r="D532" t="str">
        <f>IF(VLOOKUP(C532,'Capabilities Overview'!$A$2:$A$587,1)=C532,"","Not in UCL")</f>
        <v/>
      </c>
      <c r="E532" t="s">
        <v>1</v>
      </c>
      <c r="F532" t="s">
        <v>1</v>
      </c>
      <c r="G532" t="s">
        <v>275</v>
      </c>
      <c r="H532" t="s">
        <v>275</v>
      </c>
      <c r="I532" t="s">
        <v>1</v>
      </c>
      <c r="J532" t="s">
        <v>275</v>
      </c>
      <c r="K532" t="s">
        <v>275</v>
      </c>
      <c r="L532" t="s">
        <v>1</v>
      </c>
      <c r="M532" t="s">
        <v>1</v>
      </c>
      <c r="N532" t="s">
        <v>1</v>
      </c>
      <c r="O532" t="s">
        <v>1</v>
      </c>
      <c r="P532" t="s">
        <v>275</v>
      </c>
      <c r="Q532" t="s">
        <v>1</v>
      </c>
      <c r="R532" t="s">
        <v>275</v>
      </c>
      <c r="S532" t="s">
        <v>275</v>
      </c>
      <c r="T532" t="s">
        <v>275</v>
      </c>
      <c r="U532" t="s">
        <v>275</v>
      </c>
      <c r="V532" t="s">
        <v>1</v>
      </c>
      <c r="W532" t="s">
        <v>275</v>
      </c>
      <c r="X532" t="s">
        <v>275</v>
      </c>
      <c r="Y532" t="s">
        <v>275</v>
      </c>
      <c r="Z532" t="s">
        <v>275</v>
      </c>
      <c r="AA532" t="s">
        <v>275</v>
      </c>
      <c r="AB532" t="s">
        <v>275</v>
      </c>
      <c r="AC532" t="s">
        <v>275</v>
      </c>
      <c r="AD532" t="s">
        <v>275</v>
      </c>
    </row>
    <row r="533" spans="1:30">
      <c r="A533">
        <v>531</v>
      </c>
      <c r="B533" t="s">
        <v>1154</v>
      </c>
      <c r="C533" t="s">
        <v>1155</v>
      </c>
      <c r="D533" t="str">
        <f>IF(VLOOKUP(C533,'Capabilities Overview'!$A$2:$A$587,1)=C533,"","Not in UCL")</f>
        <v/>
      </c>
      <c r="E533" t="s">
        <v>1</v>
      </c>
      <c r="F533" t="s">
        <v>1</v>
      </c>
      <c r="G533" t="s">
        <v>275</v>
      </c>
      <c r="H533" t="s">
        <v>275</v>
      </c>
      <c r="I533" t="s">
        <v>1</v>
      </c>
      <c r="J533" t="s">
        <v>275</v>
      </c>
      <c r="K533" t="s">
        <v>275</v>
      </c>
      <c r="L533" t="s">
        <v>1</v>
      </c>
      <c r="M533" t="s">
        <v>1</v>
      </c>
      <c r="N533" t="s">
        <v>1</v>
      </c>
      <c r="O533" t="s">
        <v>1</v>
      </c>
      <c r="P533" t="s">
        <v>275</v>
      </c>
      <c r="Q533" t="s">
        <v>1</v>
      </c>
      <c r="R533" t="s">
        <v>275</v>
      </c>
      <c r="S533" t="s">
        <v>275</v>
      </c>
      <c r="T533" t="s">
        <v>275</v>
      </c>
      <c r="U533" t="s">
        <v>275</v>
      </c>
      <c r="V533" t="s">
        <v>1</v>
      </c>
      <c r="W533" t="s">
        <v>10</v>
      </c>
      <c r="X533" t="s">
        <v>275</v>
      </c>
      <c r="Y533" t="s">
        <v>275</v>
      </c>
      <c r="Z533" t="s">
        <v>275</v>
      </c>
      <c r="AA533" t="s">
        <v>275</v>
      </c>
      <c r="AB533" t="s">
        <v>275</v>
      </c>
      <c r="AC533" t="s">
        <v>275</v>
      </c>
      <c r="AD533" t="s">
        <v>275</v>
      </c>
    </row>
    <row r="534" spans="1:30">
      <c r="A534">
        <v>532</v>
      </c>
      <c r="B534" t="s">
        <v>142</v>
      </c>
      <c r="C534" t="s">
        <v>1156</v>
      </c>
      <c r="D534" t="str">
        <f>IF(VLOOKUP(C534,'Capabilities Overview'!$A$2:$A$587,1)=C534,"","Not in UCL")</f>
        <v/>
      </c>
      <c r="E534" t="s">
        <v>1</v>
      </c>
      <c r="F534" t="s">
        <v>1</v>
      </c>
      <c r="G534" t="s">
        <v>275</v>
      </c>
      <c r="H534" t="s">
        <v>275</v>
      </c>
      <c r="I534" t="s">
        <v>1</v>
      </c>
      <c r="J534" t="s">
        <v>275</v>
      </c>
      <c r="K534" t="s">
        <v>275</v>
      </c>
      <c r="L534" t="s">
        <v>1</v>
      </c>
      <c r="M534" t="s">
        <v>1</v>
      </c>
      <c r="N534" t="s">
        <v>1</v>
      </c>
      <c r="O534" t="s">
        <v>1</v>
      </c>
      <c r="P534" t="s">
        <v>275</v>
      </c>
      <c r="Q534" t="s">
        <v>1</v>
      </c>
      <c r="R534" t="s">
        <v>1</v>
      </c>
      <c r="S534" t="s">
        <v>275</v>
      </c>
      <c r="T534" t="s">
        <v>275</v>
      </c>
      <c r="U534" t="s">
        <v>275</v>
      </c>
      <c r="V534" t="s">
        <v>1</v>
      </c>
      <c r="W534" t="s">
        <v>275</v>
      </c>
      <c r="X534" t="s">
        <v>275</v>
      </c>
      <c r="Y534" t="s">
        <v>275</v>
      </c>
      <c r="Z534" t="s">
        <v>275</v>
      </c>
      <c r="AA534" t="s">
        <v>275</v>
      </c>
      <c r="AB534" t="s">
        <v>275</v>
      </c>
      <c r="AC534" t="s">
        <v>275</v>
      </c>
      <c r="AD534" t="s">
        <v>275</v>
      </c>
    </row>
    <row r="535" spans="1:30">
      <c r="A535">
        <v>533</v>
      </c>
      <c r="B535" t="s">
        <v>1157</v>
      </c>
      <c r="C535" t="s">
        <v>1158</v>
      </c>
      <c r="D535" t="str">
        <f>IF(VLOOKUP(C535,'Capabilities Overview'!$A$2:$A$587,1)=C535,"","Not in UCL")</f>
        <v/>
      </c>
      <c r="E535" t="s">
        <v>1</v>
      </c>
      <c r="F535" t="s">
        <v>1</v>
      </c>
      <c r="G535" t="s">
        <v>275</v>
      </c>
      <c r="H535" t="s">
        <v>275</v>
      </c>
      <c r="I535" t="s">
        <v>1</v>
      </c>
      <c r="J535" t="s">
        <v>275</v>
      </c>
      <c r="K535" t="s">
        <v>275</v>
      </c>
      <c r="L535" t="s">
        <v>1</v>
      </c>
      <c r="M535" t="s">
        <v>1</v>
      </c>
      <c r="N535" t="s">
        <v>1</v>
      </c>
      <c r="O535" t="s">
        <v>1</v>
      </c>
      <c r="P535" t="s">
        <v>275</v>
      </c>
      <c r="Q535" t="s">
        <v>1</v>
      </c>
      <c r="R535" t="s">
        <v>275</v>
      </c>
      <c r="S535" t="s">
        <v>275</v>
      </c>
      <c r="T535" t="s">
        <v>275</v>
      </c>
      <c r="U535" t="s">
        <v>275</v>
      </c>
      <c r="V535" t="s">
        <v>1</v>
      </c>
      <c r="W535" t="s">
        <v>275</v>
      </c>
      <c r="X535" t="s">
        <v>275</v>
      </c>
      <c r="Y535" t="s">
        <v>275</v>
      </c>
      <c r="Z535" t="s">
        <v>275</v>
      </c>
      <c r="AA535" t="s">
        <v>275</v>
      </c>
      <c r="AB535" t="s">
        <v>275</v>
      </c>
      <c r="AC535" t="s">
        <v>275</v>
      </c>
      <c r="AD535" t="s">
        <v>275</v>
      </c>
    </row>
    <row r="536" spans="1:30">
      <c r="A536">
        <v>534</v>
      </c>
      <c r="B536" t="s">
        <v>1159</v>
      </c>
      <c r="C536" t="s">
        <v>1160</v>
      </c>
      <c r="D536" t="str">
        <f>IF(VLOOKUP(C536,'Capabilities Overview'!$A$2:$A$587,1)=C536,"","Not in UCL")</f>
        <v>Not in UCL</v>
      </c>
      <c r="E536" t="s">
        <v>1</v>
      </c>
      <c r="F536" t="s">
        <v>1</v>
      </c>
      <c r="G536" t="s">
        <v>275</v>
      </c>
      <c r="H536" t="s">
        <v>275</v>
      </c>
      <c r="I536" t="s">
        <v>275</v>
      </c>
      <c r="J536" t="s">
        <v>275</v>
      </c>
      <c r="K536" t="s">
        <v>275</v>
      </c>
      <c r="L536" t="s">
        <v>275</v>
      </c>
      <c r="M536" t="s">
        <v>1</v>
      </c>
      <c r="N536" t="s">
        <v>1</v>
      </c>
      <c r="O536" t="s">
        <v>1</v>
      </c>
      <c r="P536" t="s">
        <v>275</v>
      </c>
      <c r="Q536" t="s">
        <v>1</v>
      </c>
      <c r="R536" t="s">
        <v>275</v>
      </c>
      <c r="S536" t="s">
        <v>275</v>
      </c>
      <c r="T536" t="s">
        <v>275</v>
      </c>
      <c r="U536" t="s">
        <v>275</v>
      </c>
      <c r="V536" t="s">
        <v>275</v>
      </c>
      <c r="W536" t="s">
        <v>10</v>
      </c>
      <c r="X536" t="s">
        <v>275</v>
      </c>
      <c r="Y536" t="s">
        <v>275</v>
      </c>
      <c r="Z536" t="s">
        <v>275</v>
      </c>
      <c r="AA536" t="s">
        <v>275</v>
      </c>
      <c r="AB536" t="s">
        <v>275</v>
      </c>
      <c r="AC536" t="s">
        <v>275</v>
      </c>
      <c r="AD536" t="s">
        <v>275</v>
      </c>
    </row>
    <row r="537" spans="1:30">
      <c r="A537">
        <v>535</v>
      </c>
      <c r="B537" t="s">
        <v>1118</v>
      </c>
      <c r="C537" t="s">
        <v>1161</v>
      </c>
      <c r="D537" t="str">
        <f>IF(VLOOKUP(C537,'Capabilities Overview'!$A$2:$A$587,1)=C537,"","Not in UCL")</f>
        <v>Not in UCL</v>
      </c>
      <c r="E537" t="s">
        <v>1</v>
      </c>
      <c r="F537" t="s">
        <v>1</v>
      </c>
      <c r="G537" t="s">
        <v>275</v>
      </c>
      <c r="H537" t="s">
        <v>275</v>
      </c>
      <c r="I537" t="s">
        <v>275</v>
      </c>
      <c r="J537" t="s">
        <v>275</v>
      </c>
      <c r="K537" t="s">
        <v>275</v>
      </c>
      <c r="L537" t="s">
        <v>275</v>
      </c>
      <c r="M537" t="s">
        <v>1</v>
      </c>
      <c r="N537" t="s">
        <v>1</v>
      </c>
      <c r="O537" t="s">
        <v>1</v>
      </c>
      <c r="P537" t="s">
        <v>275</v>
      </c>
      <c r="Q537" t="s">
        <v>1</v>
      </c>
      <c r="R537" t="s">
        <v>1</v>
      </c>
      <c r="S537" t="s">
        <v>275</v>
      </c>
      <c r="T537" t="s">
        <v>275</v>
      </c>
      <c r="U537" t="s">
        <v>275</v>
      </c>
      <c r="V537" t="s">
        <v>275</v>
      </c>
      <c r="W537" t="s">
        <v>10</v>
      </c>
      <c r="X537" t="s">
        <v>275</v>
      </c>
      <c r="Y537" t="s">
        <v>275</v>
      </c>
      <c r="Z537" t="s">
        <v>275</v>
      </c>
      <c r="AA537" t="s">
        <v>275</v>
      </c>
      <c r="AB537" t="s">
        <v>275</v>
      </c>
      <c r="AC537" t="s">
        <v>275</v>
      </c>
      <c r="AD537" t="s">
        <v>275</v>
      </c>
    </row>
    <row r="538" spans="1:30">
      <c r="A538">
        <v>536</v>
      </c>
      <c r="B538" t="s">
        <v>1162</v>
      </c>
      <c r="C538" t="s">
        <v>1163</v>
      </c>
      <c r="D538" t="str">
        <f>IF(VLOOKUP(C538,'Capabilities Overview'!$A$2:$A$587,1)=C538,"","Not in UCL")</f>
        <v>Not in UCL</v>
      </c>
      <c r="E538" t="s">
        <v>1</v>
      </c>
      <c r="F538" t="s">
        <v>1</v>
      </c>
      <c r="G538" t="s">
        <v>275</v>
      </c>
      <c r="H538" t="s">
        <v>275</v>
      </c>
      <c r="I538" t="s">
        <v>275</v>
      </c>
      <c r="J538" t="s">
        <v>275</v>
      </c>
      <c r="K538" t="s">
        <v>275</v>
      </c>
      <c r="L538" t="s">
        <v>275</v>
      </c>
      <c r="M538" t="s">
        <v>1</v>
      </c>
      <c r="N538" t="s">
        <v>1</v>
      </c>
      <c r="O538" t="s">
        <v>1</v>
      </c>
      <c r="P538" t="s">
        <v>275</v>
      </c>
      <c r="Q538" t="s">
        <v>1</v>
      </c>
      <c r="R538" t="s">
        <v>275</v>
      </c>
      <c r="S538" t="s">
        <v>275</v>
      </c>
      <c r="T538" t="s">
        <v>275</v>
      </c>
      <c r="U538" t="s">
        <v>275</v>
      </c>
      <c r="V538" t="s">
        <v>275</v>
      </c>
      <c r="W538" t="s">
        <v>10</v>
      </c>
      <c r="X538" t="s">
        <v>275</v>
      </c>
      <c r="Y538" t="s">
        <v>275</v>
      </c>
      <c r="Z538" t="s">
        <v>275</v>
      </c>
      <c r="AA538" t="s">
        <v>275</v>
      </c>
      <c r="AB538" t="s">
        <v>275</v>
      </c>
      <c r="AC538" t="s">
        <v>275</v>
      </c>
      <c r="AD538" t="s">
        <v>275</v>
      </c>
    </row>
    <row r="539" spans="1:30">
      <c r="A539">
        <v>537</v>
      </c>
      <c r="B539" t="s">
        <v>1124</v>
      </c>
      <c r="C539" t="s">
        <v>1164</v>
      </c>
      <c r="D539" t="str">
        <f>IF(VLOOKUP(C539,'Capabilities Overview'!$A$2:$A$587,1)=C539,"","Not in UCL")</f>
        <v>Not in UCL</v>
      </c>
      <c r="E539" t="s">
        <v>1</v>
      </c>
      <c r="F539" t="s">
        <v>1</v>
      </c>
      <c r="G539" t="s">
        <v>275</v>
      </c>
      <c r="H539" t="s">
        <v>275</v>
      </c>
      <c r="I539" t="s">
        <v>275</v>
      </c>
      <c r="J539" t="s">
        <v>275</v>
      </c>
      <c r="K539" t="s">
        <v>275</v>
      </c>
      <c r="L539" t="s">
        <v>275</v>
      </c>
      <c r="M539" t="s">
        <v>1</v>
      </c>
      <c r="N539" t="s">
        <v>1</v>
      </c>
      <c r="O539" t="s">
        <v>1</v>
      </c>
      <c r="P539" t="s">
        <v>275</v>
      </c>
      <c r="Q539" t="s">
        <v>1</v>
      </c>
      <c r="R539" t="s">
        <v>275</v>
      </c>
      <c r="S539" t="s">
        <v>275</v>
      </c>
      <c r="T539" t="s">
        <v>275</v>
      </c>
      <c r="U539" t="s">
        <v>275</v>
      </c>
      <c r="V539" t="s">
        <v>275</v>
      </c>
      <c r="W539" t="s">
        <v>10</v>
      </c>
      <c r="X539" t="s">
        <v>275</v>
      </c>
      <c r="Y539" t="s">
        <v>275</v>
      </c>
      <c r="Z539" t="s">
        <v>275</v>
      </c>
      <c r="AA539" t="s">
        <v>275</v>
      </c>
      <c r="AB539" t="s">
        <v>275</v>
      </c>
      <c r="AC539" t="s">
        <v>275</v>
      </c>
      <c r="AD539" t="s">
        <v>275</v>
      </c>
    </row>
    <row r="540" spans="1:30">
      <c r="A540">
        <v>538</v>
      </c>
      <c r="B540" t="s">
        <v>1165</v>
      </c>
      <c r="C540" t="s">
        <v>1166</v>
      </c>
      <c r="D540" t="str">
        <f>IF(VLOOKUP(C540,'Capabilities Overview'!$A$2:$A$587,1)=C540,"","Not in UCL")</f>
        <v>Not in UCL</v>
      </c>
      <c r="E540" t="s">
        <v>1</v>
      </c>
      <c r="F540" t="s">
        <v>1</v>
      </c>
      <c r="G540" t="s">
        <v>275</v>
      </c>
      <c r="H540" t="s">
        <v>275</v>
      </c>
      <c r="I540" t="s">
        <v>275</v>
      </c>
      <c r="J540" t="s">
        <v>275</v>
      </c>
      <c r="K540" t="s">
        <v>275</v>
      </c>
      <c r="L540" t="s">
        <v>275</v>
      </c>
      <c r="M540" t="s">
        <v>1</v>
      </c>
      <c r="N540" t="s">
        <v>1</v>
      </c>
      <c r="O540" t="s">
        <v>1</v>
      </c>
      <c r="P540" t="s">
        <v>275</v>
      </c>
      <c r="Q540" t="s">
        <v>1</v>
      </c>
      <c r="R540" t="s">
        <v>275</v>
      </c>
      <c r="S540" t="s">
        <v>275</v>
      </c>
      <c r="T540" t="s">
        <v>275</v>
      </c>
      <c r="U540" t="s">
        <v>275</v>
      </c>
      <c r="V540" t="s">
        <v>275</v>
      </c>
      <c r="W540" t="s">
        <v>10</v>
      </c>
      <c r="X540" t="s">
        <v>275</v>
      </c>
      <c r="Y540" t="s">
        <v>275</v>
      </c>
      <c r="Z540" t="s">
        <v>275</v>
      </c>
      <c r="AA540" t="s">
        <v>275</v>
      </c>
      <c r="AB540" t="s">
        <v>275</v>
      </c>
      <c r="AC540" t="s">
        <v>275</v>
      </c>
      <c r="AD540" t="s">
        <v>275</v>
      </c>
    </row>
    <row r="541" spans="1:30">
      <c r="A541">
        <v>539</v>
      </c>
      <c r="B541" t="s">
        <v>1167</v>
      </c>
      <c r="C541" t="s">
        <v>1168</v>
      </c>
      <c r="D541" t="str">
        <f>IF(VLOOKUP(C541,'Capabilities Overview'!$A$2:$A$587,1)=C541,"","Not in UCL")</f>
        <v>Not in UCL</v>
      </c>
      <c r="E541" t="s">
        <v>1</v>
      </c>
      <c r="F541" t="s">
        <v>275</v>
      </c>
      <c r="G541" t="s">
        <v>275</v>
      </c>
      <c r="H541" t="s">
        <v>275</v>
      </c>
      <c r="I541" t="s">
        <v>275</v>
      </c>
      <c r="J541" t="s">
        <v>275</v>
      </c>
      <c r="K541" t="s">
        <v>275</v>
      </c>
      <c r="L541" t="s">
        <v>275</v>
      </c>
      <c r="M541" t="s">
        <v>1</v>
      </c>
      <c r="N541" t="s">
        <v>1</v>
      </c>
      <c r="O541" t="s">
        <v>1</v>
      </c>
      <c r="P541" t="s">
        <v>275</v>
      </c>
      <c r="Q541" t="s">
        <v>1</v>
      </c>
      <c r="R541" t="s">
        <v>275</v>
      </c>
      <c r="S541" t="s">
        <v>275</v>
      </c>
      <c r="T541" t="s">
        <v>275</v>
      </c>
      <c r="U541" t="s">
        <v>275</v>
      </c>
      <c r="V541" t="s">
        <v>275</v>
      </c>
      <c r="W541" t="s">
        <v>275</v>
      </c>
      <c r="X541" t="s">
        <v>275</v>
      </c>
      <c r="Y541" t="s">
        <v>275</v>
      </c>
      <c r="Z541" t="s">
        <v>275</v>
      </c>
      <c r="AA541" t="s">
        <v>275</v>
      </c>
      <c r="AB541" t="s">
        <v>275</v>
      </c>
      <c r="AC541" t="s">
        <v>275</v>
      </c>
      <c r="AD541" t="s">
        <v>275</v>
      </c>
    </row>
    <row r="542" spans="1:30">
      <c r="A542">
        <v>540</v>
      </c>
      <c r="B542" t="s">
        <v>1169</v>
      </c>
      <c r="C542" t="s">
        <v>1170</v>
      </c>
      <c r="D542" t="str">
        <f>IF(VLOOKUP(C542,'Capabilities Overview'!$A$2:$A$587,1)=C542,"","Not in UCL")</f>
        <v>Not in UCL</v>
      </c>
      <c r="E542" t="s">
        <v>1</v>
      </c>
      <c r="F542" t="s">
        <v>1</v>
      </c>
      <c r="G542" t="s">
        <v>275</v>
      </c>
      <c r="H542" t="s">
        <v>275</v>
      </c>
      <c r="I542" t="s">
        <v>275</v>
      </c>
      <c r="J542" t="s">
        <v>275</v>
      </c>
      <c r="K542" t="s">
        <v>275</v>
      </c>
      <c r="L542" t="s">
        <v>275</v>
      </c>
      <c r="M542" t="s">
        <v>1</v>
      </c>
      <c r="N542" t="s">
        <v>1</v>
      </c>
      <c r="O542" t="s">
        <v>1</v>
      </c>
      <c r="P542" t="s">
        <v>275</v>
      </c>
      <c r="Q542" t="s">
        <v>1</v>
      </c>
      <c r="R542" t="s">
        <v>275</v>
      </c>
      <c r="S542" t="s">
        <v>275</v>
      </c>
      <c r="T542" t="s">
        <v>275</v>
      </c>
      <c r="U542" t="s">
        <v>275</v>
      </c>
      <c r="V542" t="s">
        <v>275</v>
      </c>
      <c r="W542" t="s">
        <v>10</v>
      </c>
      <c r="X542" t="s">
        <v>275</v>
      </c>
      <c r="Y542" t="s">
        <v>275</v>
      </c>
      <c r="Z542" t="s">
        <v>275</v>
      </c>
      <c r="AA542" t="s">
        <v>275</v>
      </c>
      <c r="AB542" t="s">
        <v>275</v>
      </c>
      <c r="AC542" t="s">
        <v>275</v>
      </c>
      <c r="AD542" t="s">
        <v>275</v>
      </c>
    </row>
    <row r="543" spans="1:30">
      <c r="A543">
        <v>541</v>
      </c>
      <c r="B543" t="s">
        <v>1171</v>
      </c>
      <c r="C543" t="s">
        <v>1172</v>
      </c>
      <c r="D543" t="str">
        <f>IF(VLOOKUP(C543,'Capabilities Overview'!$A$2:$A$587,1)=C543,"","Not in UCL")</f>
        <v>Not in UCL</v>
      </c>
      <c r="E543" t="s">
        <v>1</v>
      </c>
      <c r="F543" t="s">
        <v>1</v>
      </c>
      <c r="G543" t="s">
        <v>275</v>
      </c>
      <c r="H543" t="s">
        <v>275</v>
      </c>
      <c r="I543" t="s">
        <v>275</v>
      </c>
      <c r="J543" t="s">
        <v>275</v>
      </c>
      <c r="K543" t="s">
        <v>275</v>
      </c>
      <c r="L543" t="s">
        <v>275</v>
      </c>
      <c r="M543" t="s">
        <v>1</v>
      </c>
      <c r="N543" t="s">
        <v>1</v>
      </c>
      <c r="O543" t="s">
        <v>1</v>
      </c>
      <c r="P543" t="s">
        <v>275</v>
      </c>
      <c r="Q543" t="s">
        <v>1</v>
      </c>
      <c r="R543" t="s">
        <v>275</v>
      </c>
      <c r="S543" t="s">
        <v>275</v>
      </c>
      <c r="T543" t="s">
        <v>275</v>
      </c>
      <c r="U543" t="s">
        <v>275</v>
      </c>
      <c r="V543" t="s">
        <v>275</v>
      </c>
      <c r="W543" t="s">
        <v>10</v>
      </c>
      <c r="X543" t="s">
        <v>275</v>
      </c>
      <c r="Y543" t="s">
        <v>275</v>
      </c>
      <c r="Z543" t="s">
        <v>275</v>
      </c>
      <c r="AA543" t="s">
        <v>275</v>
      </c>
      <c r="AB543" t="s">
        <v>275</v>
      </c>
      <c r="AC543" t="s">
        <v>275</v>
      </c>
      <c r="AD543" t="s">
        <v>275</v>
      </c>
    </row>
    <row r="544" spans="1:30">
      <c r="A544">
        <v>542</v>
      </c>
      <c r="B544" t="s">
        <v>1173</v>
      </c>
      <c r="C544" t="s">
        <v>1174</v>
      </c>
      <c r="D544" t="str">
        <f>IF(VLOOKUP(C544,'Capabilities Overview'!$A$2:$A$587,1)=C544,"","Not in UCL")</f>
        <v>Not in UCL</v>
      </c>
      <c r="E544" t="s">
        <v>1</v>
      </c>
      <c r="F544" t="s">
        <v>1</v>
      </c>
      <c r="G544" t="s">
        <v>275</v>
      </c>
      <c r="H544" t="s">
        <v>275</v>
      </c>
      <c r="I544" t="s">
        <v>275</v>
      </c>
      <c r="J544" t="s">
        <v>275</v>
      </c>
      <c r="K544" t="s">
        <v>275</v>
      </c>
      <c r="L544" t="s">
        <v>275</v>
      </c>
      <c r="M544" t="s">
        <v>1</v>
      </c>
      <c r="N544" t="s">
        <v>1</v>
      </c>
      <c r="O544" t="s">
        <v>1</v>
      </c>
      <c r="P544" t="s">
        <v>275</v>
      </c>
      <c r="Q544" t="s">
        <v>1</v>
      </c>
      <c r="R544" t="s">
        <v>275</v>
      </c>
      <c r="S544" t="s">
        <v>275</v>
      </c>
      <c r="T544" t="s">
        <v>275</v>
      </c>
      <c r="U544" t="s">
        <v>275</v>
      </c>
      <c r="V544" t="s">
        <v>275</v>
      </c>
      <c r="W544" t="s">
        <v>10</v>
      </c>
      <c r="X544" t="s">
        <v>275</v>
      </c>
      <c r="Y544" t="s">
        <v>275</v>
      </c>
      <c r="Z544" t="s">
        <v>275</v>
      </c>
      <c r="AA544" t="s">
        <v>275</v>
      </c>
      <c r="AB544" t="s">
        <v>275</v>
      </c>
      <c r="AC544" t="s">
        <v>275</v>
      </c>
      <c r="AD544" t="s">
        <v>275</v>
      </c>
    </row>
    <row r="545" spans="1:30">
      <c r="A545">
        <v>543</v>
      </c>
      <c r="B545" t="s">
        <v>1132</v>
      </c>
      <c r="C545" t="s">
        <v>1175</v>
      </c>
      <c r="D545" t="str">
        <f>IF(VLOOKUP(C545,'Capabilities Overview'!$A$2:$A$587,1)=C545,"","Not in UCL")</f>
        <v>Not in UCL</v>
      </c>
      <c r="E545" t="s">
        <v>1</v>
      </c>
      <c r="F545" t="s">
        <v>1</v>
      </c>
      <c r="G545" t="s">
        <v>275</v>
      </c>
      <c r="H545" t="s">
        <v>275</v>
      </c>
      <c r="I545" t="s">
        <v>275</v>
      </c>
      <c r="J545" t="s">
        <v>275</v>
      </c>
      <c r="K545" t="s">
        <v>275</v>
      </c>
      <c r="L545" t="s">
        <v>275</v>
      </c>
      <c r="M545" t="s">
        <v>1</v>
      </c>
      <c r="N545" t="s">
        <v>1</v>
      </c>
      <c r="O545" t="s">
        <v>1</v>
      </c>
      <c r="P545" t="s">
        <v>275</v>
      </c>
      <c r="Q545" t="s">
        <v>1</v>
      </c>
      <c r="R545" t="s">
        <v>275</v>
      </c>
      <c r="S545" t="s">
        <v>275</v>
      </c>
      <c r="T545" t="s">
        <v>275</v>
      </c>
      <c r="U545" t="s">
        <v>275</v>
      </c>
      <c r="V545" t="s">
        <v>275</v>
      </c>
      <c r="W545" t="s">
        <v>10</v>
      </c>
      <c r="X545" t="s">
        <v>275</v>
      </c>
      <c r="Y545" t="s">
        <v>275</v>
      </c>
      <c r="Z545" t="s">
        <v>275</v>
      </c>
      <c r="AA545" t="s">
        <v>275</v>
      </c>
      <c r="AB545" t="s">
        <v>275</v>
      </c>
      <c r="AC545" t="s">
        <v>275</v>
      </c>
      <c r="AD545" t="s">
        <v>275</v>
      </c>
    </row>
    <row r="546" spans="1:30">
      <c r="A546">
        <v>544</v>
      </c>
      <c r="B546" t="s">
        <v>1134</v>
      </c>
      <c r="C546" t="s">
        <v>1176</v>
      </c>
      <c r="D546" t="str">
        <f>IF(VLOOKUP(C546,'Capabilities Overview'!$A$2:$A$587,1)=C546,"","Not in UCL")</f>
        <v>Not in UCL</v>
      </c>
      <c r="E546" t="s">
        <v>1</v>
      </c>
      <c r="F546" t="s">
        <v>1</v>
      </c>
      <c r="G546" t="s">
        <v>275</v>
      </c>
      <c r="H546" t="s">
        <v>275</v>
      </c>
      <c r="I546" t="s">
        <v>275</v>
      </c>
      <c r="J546" t="s">
        <v>275</v>
      </c>
      <c r="K546" t="s">
        <v>275</v>
      </c>
      <c r="L546" t="s">
        <v>275</v>
      </c>
      <c r="M546" t="s">
        <v>1</v>
      </c>
      <c r="N546" t="s">
        <v>1</v>
      </c>
      <c r="O546" t="s">
        <v>1</v>
      </c>
      <c r="P546" t="s">
        <v>275</v>
      </c>
      <c r="Q546" t="s">
        <v>1</v>
      </c>
      <c r="R546" t="s">
        <v>275</v>
      </c>
      <c r="S546" t="s">
        <v>275</v>
      </c>
      <c r="T546" t="s">
        <v>275</v>
      </c>
      <c r="U546" t="s">
        <v>275</v>
      </c>
      <c r="V546" t="s">
        <v>275</v>
      </c>
      <c r="W546" t="s">
        <v>10</v>
      </c>
      <c r="X546" t="s">
        <v>275</v>
      </c>
      <c r="Y546" t="s">
        <v>275</v>
      </c>
      <c r="Z546" t="s">
        <v>275</v>
      </c>
      <c r="AA546" t="s">
        <v>275</v>
      </c>
      <c r="AB546" t="s">
        <v>275</v>
      </c>
      <c r="AC546" t="s">
        <v>275</v>
      </c>
      <c r="AD546" t="s">
        <v>275</v>
      </c>
    </row>
    <row r="547" spans="1:30">
      <c r="A547">
        <v>545</v>
      </c>
      <c r="B547" t="s">
        <v>1177</v>
      </c>
      <c r="C547" t="s">
        <v>1178</v>
      </c>
      <c r="D547" t="str">
        <f>IF(VLOOKUP(C547,'Capabilities Overview'!$A$2:$A$587,1)=C547,"","Not in UCL")</f>
        <v>Not in UCL</v>
      </c>
      <c r="E547" t="s">
        <v>1</v>
      </c>
      <c r="F547" t="s">
        <v>275</v>
      </c>
      <c r="G547" t="s">
        <v>275</v>
      </c>
      <c r="H547" t="s">
        <v>275</v>
      </c>
      <c r="I547" t="s">
        <v>275</v>
      </c>
      <c r="J547" t="s">
        <v>275</v>
      </c>
      <c r="K547" t="s">
        <v>275</v>
      </c>
      <c r="L547" t="s">
        <v>275</v>
      </c>
      <c r="M547" t="s">
        <v>1</v>
      </c>
      <c r="N547" t="s">
        <v>1</v>
      </c>
      <c r="O547" t="s">
        <v>1</v>
      </c>
      <c r="P547" t="s">
        <v>275</v>
      </c>
      <c r="Q547" t="s">
        <v>1</v>
      </c>
      <c r="R547" t="s">
        <v>275</v>
      </c>
      <c r="S547" t="s">
        <v>275</v>
      </c>
      <c r="T547" t="s">
        <v>275</v>
      </c>
      <c r="U547" t="s">
        <v>275</v>
      </c>
      <c r="V547" t="s">
        <v>275</v>
      </c>
      <c r="W547" t="s">
        <v>275</v>
      </c>
      <c r="X547" t="s">
        <v>275</v>
      </c>
      <c r="Y547" t="s">
        <v>275</v>
      </c>
      <c r="Z547" t="s">
        <v>275</v>
      </c>
      <c r="AA547" t="s">
        <v>275</v>
      </c>
      <c r="AB547" t="s">
        <v>275</v>
      </c>
      <c r="AC547" t="s">
        <v>275</v>
      </c>
      <c r="AD547" t="s">
        <v>275</v>
      </c>
    </row>
    <row r="548" spans="1:30">
      <c r="A548">
        <v>546</v>
      </c>
      <c r="B548" t="s">
        <v>1179</v>
      </c>
      <c r="C548" t="s">
        <v>1180</v>
      </c>
      <c r="D548" t="str">
        <f>IF(VLOOKUP(C548,'Capabilities Overview'!$A$2:$A$587,1)=C548,"","Not in UCL")</f>
        <v>Not in UCL</v>
      </c>
      <c r="E548" t="s">
        <v>1</v>
      </c>
      <c r="F548" t="s">
        <v>275</v>
      </c>
      <c r="G548" t="s">
        <v>275</v>
      </c>
      <c r="H548" t="s">
        <v>275</v>
      </c>
      <c r="I548" t="s">
        <v>275</v>
      </c>
      <c r="J548" t="s">
        <v>275</v>
      </c>
      <c r="K548" t="s">
        <v>275</v>
      </c>
      <c r="L548" t="s">
        <v>275</v>
      </c>
      <c r="M548" t="s">
        <v>1</v>
      </c>
      <c r="N548" t="s">
        <v>1</v>
      </c>
      <c r="O548" t="s">
        <v>1</v>
      </c>
      <c r="P548" t="s">
        <v>275</v>
      </c>
      <c r="Q548" t="s">
        <v>1</v>
      </c>
      <c r="R548" t="s">
        <v>275</v>
      </c>
      <c r="S548" t="s">
        <v>275</v>
      </c>
      <c r="T548" t="s">
        <v>275</v>
      </c>
      <c r="U548" t="s">
        <v>275</v>
      </c>
      <c r="V548" t="s">
        <v>275</v>
      </c>
      <c r="W548" t="s">
        <v>275</v>
      </c>
      <c r="X548" t="s">
        <v>275</v>
      </c>
      <c r="Y548" t="s">
        <v>275</v>
      </c>
      <c r="Z548" t="s">
        <v>275</v>
      </c>
      <c r="AA548" t="s">
        <v>275</v>
      </c>
      <c r="AB548" t="s">
        <v>275</v>
      </c>
      <c r="AC548" t="s">
        <v>275</v>
      </c>
      <c r="AD548" t="s">
        <v>275</v>
      </c>
    </row>
    <row r="549" spans="1:30">
      <c r="A549">
        <v>547</v>
      </c>
      <c r="B549" t="s">
        <v>1138</v>
      </c>
      <c r="C549" t="s">
        <v>1181</v>
      </c>
      <c r="D549" t="str">
        <f>IF(VLOOKUP(C549,'Capabilities Overview'!$A$2:$A$587,1)=C549,"","Not in UCL")</f>
        <v>Not in UCL</v>
      </c>
      <c r="E549" t="s">
        <v>1</v>
      </c>
      <c r="F549" t="s">
        <v>1</v>
      </c>
      <c r="G549" t="s">
        <v>275</v>
      </c>
      <c r="H549" t="s">
        <v>275</v>
      </c>
      <c r="I549" t="s">
        <v>275</v>
      </c>
      <c r="J549" t="s">
        <v>275</v>
      </c>
      <c r="K549" t="s">
        <v>275</v>
      </c>
      <c r="L549" t="s">
        <v>275</v>
      </c>
      <c r="M549" t="s">
        <v>1</v>
      </c>
      <c r="N549" t="s">
        <v>1</v>
      </c>
      <c r="O549" t="s">
        <v>1</v>
      </c>
      <c r="P549" t="s">
        <v>275</v>
      </c>
      <c r="Q549" t="s">
        <v>1</v>
      </c>
      <c r="R549" t="s">
        <v>275</v>
      </c>
      <c r="S549" t="s">
        <v>275</v>
      </c>
      <c r="T549" t="s">
        <v>275</v>
      </c>
      <c r="U549" t="s">
        <v>275</v>
      </c>
      <c r="V549" t="s">
        <v>275</v>
      </c>
      <c r="W549" t="s">
        <v>10</v>
      </c>
      <c r="X549" t="s">
        <v>275</v>
      </c>
      <c r="Y549" t="s">
        <v>275</v>
      </c>
      <c r="Z549" t="s">
        <v>275</v>
      </c>
      <c r="AA549" t="s">
        <v>275</v>
      </c>
      <c r="AB549" t="s">
        <v>275</v>
      </c>
      <c r="AC549" t="s">
        <v>275</v>
      </c>
      <c r="AD549" t="s">
        <v>275</v>
      </c>
    </row>
    <row r="550" spans="1:30">
      <c r="A550">
        <v>548</v>
      </c>
      <c r="B550" t="s">
        <v>1142</v>
      </c>
      <c r="C550" t="s">
        <v>1182</v>
      </c>
      <c r="D550" t="str">
        <f>IF(VLOOKUP(C550,'Capabilities Overview'!$A$2:$A$587,1)=C550,"","Not in UCL")</f>
        <v>Not in UCL</v>
      </c>
      <c r="E550" t="s">
        <v>1</v>
      </c>
      <c r="F550" t="s">
        <v>1</v>
      </c>
      <c r="G550" t="s">
        <v>275</v>
      </c>
      <c r="H550" t="s">
        <v>275</v>
      </c>
      <c r="I550" t="s">
        <v>275</v>
      </c>
      <c r="J550" t="s">
        <v>275</v>
      </c>
      <c r="K550" t="s">
        <v>275</v>
      </c>
      <c r="L550" t="s">
        <v>275</v>
      </c>
      <c r="M550" t="s">
        <v>1</v>
      </c>
      <c r="N550" t="s">
        <v>1</v>
      </c>
      <c r="O550" t="s">
        <v>1</v>
      </c>
      <c r="P550" t="s">
        <v>275</v>
      </c>
      <c r="Q550" t="s">
        <v>1</v>
      </c>
      <c r="R550" t="s">
        <v>1</v>
      </c>
      <c r="S550" t="s">
        <v>275</v>
      </c>
      <c r="T550" t="s">
        <v>275</v>
      </c>
      <c r="U550" t="s">
        <v>275</v>
      </c>
      <c r="V550" t="s">
        <v>275</v>
      </c>
      <c r="W550" t="s">
        <v>10</v>
      </c>
      <c r="X550" t="s">
        <v>275</v>
      </c>
      <c r="Y550" t="s">
        <v>275</v>
      </c>
      <c r="Z550" t="s">
        <v>275</v>
      </c>
      <c r="AA550" t="s">
        <v>275</v>
      </c>
      <c r="AB550" t="s">
        <v>275</v>
      </c>
      <c r="AC550" t="s">
        <v>275</v>
      </c>
      <c r="AD550" t="s">
        <v>275</v>
      </c>
    </row>
    <row r="551" spans="1:30">
      <c r="A551">
        <v>549</v>
      </c>
      <c r="B551" t="s">
        <v>1183</v>
      </c>
      <c r="C551" t="s">
        <v>1184</v>
      </c>
      <c r="D551" t="str">
        <f>IF(VLOOKUP(C551,'Capabilities Overview'!$A$2:$A$587,1)=C551,"","Not in UCL")</f>
        <v>Not in UCL</v>
      </c>
      <c r="E551" t="s">
        <v>1</v>
      </c>
      <c r="F551" t="s">
        <v>1</v>
      </c>
      <c r="G551" t="s">
        <v>275</v>
      </c>
      <c r="H551" t="s">
        <v>275</v>
      </c>
      <c r="I551" t="s">
        <v>275</v>
      </c>
      <c r="J551" t="s">
        <v>275</v>
      </c>
      <c r="K551" t="s">
        <v>275</v>
      </c>
      <c r="L551" t="s">
        <v>275</v>
      </c>
      <c r="M551" t="s">
        <v>1</v>
      </c>
      <c r="N551" t="s">
        <v>1</v>
      </c>
      <c r="O551" t="s">
        <v>1</v>
      </c>
      <c r="P551" t="s">
        <v>275</v>
      </c>
      <c r="Q551" t="s">
        <v>1</v>
      </c>
      <c r="R551" t="s">
        <v>275</v>
      </c>
      <c r="S551" t="s">
        <v>275</v>
      </c>
      <c r="T551" t="s">
        <v>275</v>
      </c>
      <c r="U551" t="s">
        <v>275</v>
      </c>
      <c r="V551" t="s">
        <v>275</v>
      </c>
      <c r="W551" t="s">
        <v>10</v>
      </c>
      <c r="X551" t="s">
        <v>275</v>
      </c>
      <c r="Y551" t="s">
        <v>275</v>
      </c>
      <c r="Z551" t="s">
        <v>275</v>
      </c>
      <c r="AA551" t="s">
        <v>275</v>
      </c>
      <c r="AB551" t="s">
        <v>275</v>
      </c>
      <c r="AC551" t="s">
        <v>275</v>
      </c>
      <c r="AD551" t="s">
        <v>275</v>
      </c>
    </row>
    <row r="552" spans="1:30">
      <c r="A552">
        <v>550</v>
      </c>
      <c r="B552" t="s">
        <v>1144</v>
      </c>
      <c r="C552" t="s">
        <v>1185</v>
      </c>
      <c r="D552" t="str">
        <f>IF(VLOOKUP(C552,'Capabilities Overview'!$A$2:$A$587,1)=C552,"","Not in UCL")</f>
        <v>Not in UCL</v>
      </c>
      <c r="E552" t="s">
        <v>1</v>
      </c>
      <c r="F552" t="s">
        <v>1</v>
      </c>
      <c r="G552" t="s">
        <v>275</v>
      </c>
      <c r="H552" t="s">
        <v>275</v>
      </c>
      <c r="I552" t="s">
        <v>275</v>
      </c>
      <c r="J552" t="s">
        <v>275</v>
      </c>
      <c r="K552" t="s">
        <v>275</v>
      </c>
      <c r="L552" t="s">
        <v>275</v>
      </c>
      <c r="M552" t="s">
        <v>1</v>
      </c>
      <c r="N552" t="s">
        <v>1</v>
      </c>
      <c r="O552" t="s">
        <v>1</v>
      </c>
      <c r="P552" t="s">
        <v>275</v>
      </c>
      <c r="Q552" t="s">
        <v>1</v>
      </c>
      <c r="R552" t="s">
        <v>275</v>
      </c>
      <c r="S552" t="s">
        <v>275</v>
      </c>
      <c r="T552" t="s">
        <v>275</v>
      </c>
      <c r="U552" t="s">
        <v>275</v>
      </c>
      <c r="V552" t="s">
        <v>275</v>
      </c>
      <c r="W552" t="s">
        <v>10</v>
      </c>
      <c r="X552" t="s">
        <v>275</v>
      </c>
      <c r="Y552" t="s">
        <v>275</v>
      </c>
      <c r="Z552" t="s">
        <v>275</v>
      </c>
      <c r="AA552" t="s">
        <v>275</v>
      </c>
      <c r="AB552" t="s">
        <v>275</v>
      </c>
      <c r="AC552" t="s">
        <v>275</v>
      </c>
      <c r="AD552" t="s">
        <v>275</v>
      </c>
    </row>
    <row r="553" spans="1:30">
      <c r="A553">
        <v>551</v>
      </c>
      <c r="B553" t="s">
        <v>1146</v>
      </c>
      <c r="C553" t="s">
        <v>1186</v>
      </c>
      <c r="D553" t="str">
        <f>IF(VLOOKUP(C553,'Capabilities Overview'!$A$2:$A$587,1)=C553,"","Not in UCL")</f>
        <v>Not in UCL</v>
      </c>
      <c r="E553" t="s">
        <v>1</v>
      </c>
      <c r="F553" t="s">
        <v>1</v>
      </c>
      <c r="G553" t="s">
        <v>275</v>
      </c>
      <c r="H553" t="s">
        <v>275</v>
      </c>
      <c r="I553" t="s">
        <v>275</v>
      </c>
      <c r="J553" t="s">
        <v>275</v>
      </c>
      <c r="K553" t="s">
        <v>275</v>
      </c>
      <c r="L553" t="s">
        <v>275</v>
      </c>
      <c r="M553" t="s">
        <v>1</v>
      </c>
      <c r="N553" t="s">
        <v>1</v>
      </c>
      <c r="O553" t="s">
        <v>1</v>
      </c>
      <c r="P553" t="s">
        <v>275</v>
      </c>
      <c r="Q553" t="s">
        <v>1</v>
      </c>
      <c r="R553" t="s">
        <v>1</v>
      </c>
      <c r="S553" t="s">
        <v>275</v>
      </c>
      <c r="T553" t="s">
        <v>275</v>
      </c>
      <c r="U553" t="s">
        <v>275</v>
      </c>
      <c r="V553" t="s">
        <v>275</v>
      </c>
      <c r="W553" t="s">
        <v>10</v>
      </c>
      <c r="X553" t="s">
        <v>275</v>
      </c>
      <c r="Y553" t="s">
        <v>275</v>
      </c>
      <c r="Z553" t="s">
        <v>275</v>
      </c>
      <c r="AA553" t="s">
        <v>275</v>
      </c>
      <c r="AB553" t="s">
        <v>275</v>
      </c>
      <c r="AC553" t="s">
        <v>275</v>
      </c>
      <c r="AD553" t="s">
        <v>275</v>
      </c>
    </row>
    <row r="554" spans="1:30">
      <c r="A554">
        <v>552</v>
      </c>
      <c r="B554" t="s">
        <v>1187</v>
      </c>
      <c r="C554" t="s">
        <v>1188</v>
      </c>
      <c r="D554" t="str">
        <f>IF(VLOOKUP(C554,'Capabilities Overview'!$A$2:$A$587,1)=C554,"","Not in UCL")</f>
        <v>Not in UCL</v>
      </c>
      <c r="E554" t="s">
        <v>1</v>
      </c>
      <c r="F554" t="s">
        <v>1</v>
      </c>
      <c r="G554" t="s">
        <v>275</v>
      </c>
      <c r="H554" t="s">
        <v>275</v>
      </c>
      <c r="I554" t="s">
        <v>275</v>
      </c>
      <c r="J554" t="s">
        <v>275</v>
      </c>
      <c r="K554" t="s">
        <v>275</v>
      </c>
      <c r="L554" t="s">
        <v>275</v>
      </c>
      <c r="M554" t="s">
        <v>1</v>
      </c>
      <c r="N554" t="s">
        <v>1</v>
      </c>
      <c r="O554" t="s">
        <v>1</v>
      </c>
      <c r="P554" t="s">
        <v>275</v>
      </c>
      <c r="Q554" t="s">
        <v>1</v>
      </c>
      <c r="R554" t="s">
        <v>1</v>
      </c>
      <c r="S554" t="s">
        <v>1</v>
      </c>
      <c r="T554" t="s">
        <v>275</v>
      </c>
      <c r="U554" t="s">
        <v>275</v>
      </c>
      <c r="V554" t="s">
        <v>275</v>
      </c>
      <c r="W554" t="s">
        <v>1</v>
      </c>
      <c r="X554" t="s">
        <v>275</v>
      </c>
      <c r="Y554" t="s">
        <v>275</v>
      </c>
      <c r="Z554" t="s">
        <v>275</v>
      </c>
      <c r="AA554" t="s">
        <v>275</v>
      </c>
      <c r="AB554" t="s">
        <v>275</v>
      </c>
      <c r="AC554" t="s">
        <v>275</v>
      </c>
      <c r="AD554" t="s">
        <v>275</v>
      </c>
    </row>
    <row r="555" spans="1:30">
      <c r="A555">
        <v>553</v>
      </c>
      <c r="B555" t="s">
        <v>1189</v>
      </c>
      <c r="C555" t="s">
        <v>1190</v>
      </c>
      <c r="D555" t="str">
        <f>IF(VLOOKUP(C555,'Capabilities Overview'!$A$2:$A$587,1)=C555,"","Not in UCL")</f>
        <v>Not in UCL</v>
      </c>
      <c r="E555" t="s">
        <v>1</v>
      </c>
      <c r="F555" t="s">
        <v>1</v>
      </c>
      <c r="G555" t="s">
        <v>275</v>
      </c>
      <c r="H555" t="s">
        <v>275</v>
      </c>
      <c r="I555" t="s">
        <v>275</v>
      </c>
      <c r="J555" t="s">
        <v>275</v>
      </c>
      <c r="K555" t="s">
        <v>275</v>
      </c>
      <c r="L555" t="s">
        <v>275</v>
      </c>
      <c r="M555" t="s">
        <v>1</v>
      </c>
      <c r="N555" t="s">
        <v>1</v>
      </c>
      <c r="O555" t="s">
        <v>1</v>
      </c>
      <c r="P555" t="s">
        <v>275</v>
      </c>
      <c r="Q555" t="s">
        <v>1</v>
      </c>
      <c r="R555" t="s">
        <v>275</v>
      </c>
      <c r="S555" t="s">
        <v>275</v>
      </c>
      <c r="T555" t="s">
        <v>275</v>
      </c>
      <c r="U555" t="s">
        <v>275</v>
      </c>
      <c r="V555" t="s">
        <v>275</v>
      </c>
      <c r="W555" t="s">
        <v>275</v>
      </c>
      <c r="X555" t="s">
        <v>275</v>
      </c>
      <c r="Y555" t="s">
        <v>275</v>
      </c>
      <c r="Z555" t="s">
        <v>275</v>
      </c>
      <c r="AA555" t="s">
        <v>275</v>
      </c>
      <c r="AB555" t="s">
        <v>275</v>
      </c>
      <c r="AC555" t="s">
        <v>275</v>
      </c>
      <c r="AD555" t="s">
        <v>275</v>
      </c>
    </row>
    <row r="556" spans="1:30">
      <c r="A556">
        <v>554</v>
      </c>
      <c r="B556" t="s">
        <v>1191</v>
      </c>
      <c r="C556" t="s">
        <v>1192</v>
      </c>
      <c r="D556" t="str">
        <f>IF(VLOOKUP(C556,'Capabilities Overview'!$A$2:$A$587,1)=C556,"","Not in UCL")</f>
        <v>Not in UCL</v>
      </c>
      <c r="E556" t="s">
        <v>1</v>
      </c>
      <c r="F556" t="s">
        <v>1</v>
      </c>
      <c r="G556" t="s">
        <v>275</v>
      </c>
      <c r="H556" t="s">
        <v>275</v>
      </c>
      <c r="I556" t="s">
        <v>275</v>
      </c>
      <c r="J556" t="s">
        <v>275</v>
      </c>
      <c r="K556" t="s">
        <v>275</v>
      </c>
      <c r="L556" t="s">
        <v>275</v>
      </c>
      <c r="M556" t="s">
        <v>1</v>
      </c>
      <c r="N556" t="s">
        <v>1</v>
      </c>
      <c r="O556" t="s">
        <v>1</v>
      </c>
      <c r="P556" t="s">
        <v>275</v>
      </c>
      <c r="Q556" t="s">
        <v>1</v>
      </c>
      <c r="R556" t="s">
        <v>275</v>
      </c>
      <c r="S556" t="s">
        <v>275</v>
      </c>
      <c r="T556" t="s">
        <v>275</v>
      </c>
      <c r="U556" t="s">
        <v>275</v>
      </c>
      <c r="V556" t="s">
        <v>275</v>
      </c>
      <c r="W556" t="s">
        <v>275</v>
      </c>
      <c r="X556" t="s">
        <v>275</v>
      </c>
      <c r="Y556" t="s">
        <v>275</v>
      </c>
      <c r="Z556" t="s">
        <v>275</v>
      </c>
      <c r="AA556" t="s">
        <v>275</v>
      </c>
      <c r="AB556" t="s">
        <v>275</v>
      </c>
      <c r="AC556" t="s">
        <v>275</v>
      </c>
      <c r="AD556" t="s">
        <v>275</v>
      </c>
    </row>
    <row r="557" spans="1:30">
      <c r="A557">
        <v>555</v>
      </c>
      <c r="B557" t="s">
        <v>1150</v>
      </c>
      <c r="C557" t="s">
        <v>1193</v>
      </c>
      <c r="D557" t="str">
        <f>IF(VLOOKUP(C557,'Capabilities Overview'!$A$2:$A$587,1)=C557,"","Not in UCL")</f>
        <v>Not in UCL</v>
      </c>
      <c r="E557" t="s">
        <v>1</v>
      </c>
      <c r="F557" t="s">
        <v>1</v>
      </c>
      <c r="G557" t="s">
        <v>275</v>
      </c>
      <c r="H557" t="s">
        <v>275</v>
      </c>
      <c r="I557" t="s">
        <v>275</v>
      </c>
      <c r="J557" t="s">
        <v>275</v>
      </c>
      <c r="K557" t="s">
        <v>275</v>
      </c>
      <c r="L557" t="s">
        <v>275</v>
      </c>
      <c r="M557" t="s">
        <v>1</v>
      </c>
      <c r="N557" t="s">
        <v>1</v>
      </c>
      <c r="O557" t="s">
        <v>1</v>
      </c>
      <c r="P557" t="s">
        <v>275</v>
      </c>
      <c r="Q557" t="s">
        <v>1</v>
      </c>
      <c r="R557" t="s">
        <v>1</v>
      </c>
      <c r="S557" t="s">
        <v>1</v>
      </c>
      <c r="T557" t="s">
        <v>275</v>
      </c>
      <c r="U557" t="s">
        <v>275</v>
      </c>
      <c r="V557" t="s">
        <v>275</v>
      </c>
      <c r="W557" t="s">
        <v>1</v>
      </c>
      <c r="X557" t="s">
        <v>275</v>
      </c>
      <c r="Y557" t="s">
        <v>275</v>
      </c>
      <c r="Z557" t="s">
        <v>275</v>
      </c>
      <c r="AA557" t="s">
        <v>275</v>
      </c>
      <c r="AB557" t="s">
        <v>275</v>
      </c>
      <c r="AC557" t="s">
        <v>275</v>
      </c>
      <c r="AD557" t="s">
        <v>275</v>
      </c>
    </row>
    <row r="558" spans="1:30">
      <c r="A558">
        <v>556</v>
      </c>
      <c r="B558" t="s">
        <v>1194</v>
      </c>
      <c r="C558" t="s">
        <v>1195</v>
      </c>
      <c r="D558" t="str">
        <f>IF(VLOOKUP(C558,'Capabilities Overview'!$A$2:$A$587,1)=C558,"","Not in UCL")</f>
        <v>Not in UCL</v>
      </c>
      <c r="E558" t="s">
        <v>1</v>
      </c>
      <c r="F558" t="s">
        <v>1</v>
      </c>
      <c r="G558" t="s">
        <v>275</v>
      </c>
      <c r="H558" t="s">
        <v>275</v>
      </c>
      <c r="I558" t="s">
        <v>275</v>
      </c>
      <c r="J558" t="s">
        <v>275</v>
      </c>
      <c r="K558" t="s">
        <v>275</v>
      </c>
      <c r="L558" t="s">
        <v>275</v>
      </c>
      <c r="M558" t="s">
        <v>1</v>
      </c>
      <c r="N558" t="s">
        <v>1</v>
      </c>
      <c r="O558" t="s">
        <v>1</v>
      </c>
      <c r="P558" t="s">
        <v>275</v>
      </c>
      <c r="Q558" t="s">
        <v>1</v>
      </c>
      <c r="R558" t="s">
        <v>1</v>
      </c>
      <c r="S558" t="s">
        <v>275</v>
      </c>
      <c r="T558" t="s">
        <v>275</v>
      </c>
      <c r="U558" t="s">
        <v>275</v>
      </c>
      <c r="V558" t="s">
        <v>275</v>
      </c>
      <c r="W558" t="s">
        <v>275</v>
      </c>
      <c r="X558" t="s">
        <v>275</v>
      </c>
      <c r="Y558" t="s">
        <v>275</v>
      </c>
      <c r="Z558" t="s">
        <v>275</v>
      </c>
      <c r="AA558" t="s">
        <v>275</v>
      </c>
      <c r="AB558" t="s">
        <v>275</v>
      </c>
      <c r="AC558" t="s">
        <v>275</v>
      </c>
      <c r="AD558" t="s">
        <v>275</v>
      </c>
    </row>
    <row r="559" spans="1:30">
      <c r="A559">
        <v>557</v>
      </c>
      <c r="B559" t="s">
        <v>1196</v>
      </c>
      <c r="C559" t="s">
        <v>1197</v>
      </c>
      <c r="D559" t="str">
        <f>IF(VLOOKUP(C559,'Capabilities Overview'!$A$2:$A$587,1)=C559,"","Not in UCL")</f>
        <v>Not in UCL</v>
      </c>
      <c r="E559" t="s">
        <v>1</v>
      </c>
      <c r="F559" t="s">
        <v>1</v>
      </c>
      <c r="G559" t="s">
        <v>1</v>
      </c>
      <c r="H559" t="s">
        <v>275</v>
      </c>
      <c r="I559" t="s">
        <v>275</v>
      </c>
      <c r="J559" t="s">
        <v>275</v>
      </c>
      <c r="K559" t="s">
        <v>275</v>
      </c>
      <c r="L559" t="s">
        <v>275</v>
      </c>
      <c r="M559" t="s">
        <v>1</v>
      </c>
      <c r="N559" t="s">
        <v>1</v>
      </c>
      <c r="O559" t="s">
        <v>1</v>
      </c>
      <c r="P559" t="s">
        <v>275</v>
      </c>
      <c r="Q559" t="s">
        <v>275</v>
      </c>
      <c r="R559" t="s">
        <v>275</v>
      </c>
      <c r="S559" t="s">
        <v>275</v>
      </c>
      <c r="T559" t="s">
        <v>275</v>
      </c>
      <c r="U559" t="s">
        <v>275</v>
      </c>
      <c r="V559" t="s">
        <v>275</v>
      </c>
      <c r="W559" t="s">
        <v>10</v>
      </c>
      <c r="X559" t="s">
        <v>275</v>
      </c>
      <c r="Y559" t="s">
        <v>275</v>
      </c>
      <c r="Z559" t="s">
        <v>275</v>
      </c>
      <c r="AA559" t="s">
        <v>275</v>
      </c>
      <c r="AB559" t="s">
        <v>275</v>
      </c>
      <c r="AC559" t="s">
        <v>275</v>
      </c>
      <c r="AD559" t="s">
        <v>275</v>
      </c>
    </row>
    <row r="560" spans="1:30">
      <c r="A560">
        <v>558</v>
      </c>
      <c r="B560" t="s">
        <v>1157</v>
      </c>
      <c r="C560" t="s">
        <v>1198</v>
      </c>
      <c r="D560" t="str">
        <f>IF(VLOOKUP(C560,'Capabilities Overview'!$A$2:$A$587,1)=C560,"","Not in UCL")</f>
        <v>Not in UCL</v>
      </c>
      <c r="E560" t="s">
        <v>1</v>
      </c>
      <c r="F560" t="s">
        <v>1</v>
      </c>
      <c r="G560" t="s">
        <v>275</v>
      </c>
      <c r="H560" t="s">
        <v>275</v>
      </c>
      <c r="I560" t="s">
        <v>275</v>
      </c>
      <c r="J560" t="s">
        <v>275</v>
      </c>
      <c r="K560" t="s">
        <v>275</v>
      </c>
      <c r="L560" t="s">
        <v>275</v>
      </c>
      <c r="M560" t="s">
        <v>1</v>
      </c>
      <c r="N560" t="s">
        <v>1</v>
      </c>
      <c r="O560" t="s">
        <v>1</v>
      </c>
      <c r="P560" t="s">
        <v>275</v>
      </c>
      <c r="Q560" t="s">
        <v>1</v>
      </c>
      <c r="R560" t="s">
        <v>275</v>
      </c>
      <c r="S560" t="s">
        <v>275</v>
      </c>
      <c r="T560" t="s">
        <v>275</v>
      </c>
      <c r="U560" t="s">
        <v>275</v>
      </c>
      <c r="V560" t="s">
        <v>275</v>
      </c>
      <c r="W560" t="s">
        <v>275</v>
      </c>
      <c r="X560" t="s">
        <v>275</v>
      </c>
      <c r="Y560" t="s">
        <v>275</v>
      </c>
      <c r="Z560" t="s">
        <v>275</v>
      </c>
      <c r="AA560" t="s">
        <v>275</v>
      </c>
      <c r="AB560" t="s">
        <v>275</v>
      </c>
      <c r="AC560" t="s">
        <v>275</v>
      </c>
      <c r="AD560" t="s">
        <v>275</v>
      </c>
    </row>
    <row r="561" spans="1:30">
      <c r="A561">
        <v>559</v>
      </c>
      <c r="B561" t="s">
        <v>1018</v>
      </c>
      <c r="C561" t="s">
        <v>1199</v>
      </c>
      <c r="D561" t="str">
        <f>IF(VLOOKUP(C561,'Capabilities Overview'!$A$2:$A$587,1)=C561,"","Not in UCL")</f>
        <v/>
      </c>
      <c r="E561" t="s">
        <v>1</v>
      </c>
      <c r="F561" t="s">
        <v>1</v>
      </c>
      <c r="G561" t="s">
        <v>275</v>
      </c>
      <c r="H561" t="s">
        <v>275</v>
      </c>
      <c r="I561" t="s">
        <v>275</v>
      </c>
      <c r="J561" t="s">
        <v>275</v>
      </c>
      <c r="K561" t="s">
        <v>275</v>
      </c>
      <c r="L561" t="s">
        <v>275</v>
      </c>
      <c r="M561" t="s">
        <v>1</v>
      </c>
      <c r="N561" t="s">
        <v>1</v>
      </c>
      <c r="O561" t="s">
        <v>1</v>
      </c>
      <c r="P561" t="s">
        <v>275</v>
      </c>
      <c r="Q561" t="s">
        <v>1</v>
      </c>
      <c r="R561" t="s">
        <v>275</v>
      </c>
      <c r="S561" t="s">
        <v>275</v>
      </c>
      <c r="T561" t="s">
        <v>275</v>
      </c>
      <c r="U561" t="s">
        <v>275</v>
      </c>
      <c r="V561" t="s">
        <v>275</v>
      </c>
      <c r="W561" t="s">
        <v>10</v>
      </c>
      <c r="X561" t="s">
        <v>275</v>
      </c>
      <c r="Y561" t="s">
        <v>275</v>
      </c>
      <c r="Z561" t="s">
        <v>275</v>
      </c>
      <c r="AA561" t="s">
        <v>275</v>
      </c>
      <c r="AB561" t="s">
        <v>275</v>
      </c>
      <c r="AC561" t="s">
        <v>275</v>
      </c>
      <c r="AD561" t="s">
        <v>275</v>
      </c>
    </row>
    <row r="562" spans="1:30">
      <c r="A562">
        <v>560</v>
      </c>
      <c r="B562" t="s">
        <v>1200</v>
      </c>
      <c r="C562" t="s">
        <v>1201</v>
      </c>
      <c r="D562" t="str">
        <f>IF(VLOOKUP(C562,'Capabilities Overview'!$A$2:$A$587,1)=C562,"","Not in UCL")</f>
        <v/>
      </c>
      <c r="E562" t="s">
        <v>1</v>
      </c>
      <c r="F562" t="s">
        <v>1</v>
      </c>
      <c r="G562" t="s">
        <v>275</v>
      </c>
      <c r="H562" t="s">
        <v>275</v>
      </c>
      <c r="I562" t="s">
        <v>275</v>
      </c>
      <c r="J562" t="s">
        <v>275</v>
      </c>
      <c r="K562" t="s">
        <v>275</v>
      </c>
      <c r="L562" t="s">
        <v>275</v>
      </c>
      <c r="M562" t="s">
        <v>1</v>
      </c>
      <c r="N562" t="s">
        <v>1</v>
      </c>
      <c r="O562" t="s">
        <v>1</v>
      </c>
      <c r="P562" t="s">
        <v>275</v>
      </c>
      <c r="Q562" t="s">
        <v>1</v>
      </c>
      <c r="R562" t="s">
        <v>1</v>
      </c>
      <c r="S562" t="s">
        <v>275</v>
      </c>
      <c r="T562" t="s">
        <v>275</v>
      </c>
      <c r="U562" t="s">
        <v>275</v>
      </c>
      <c r="V562" t="s">
        <v>275</v>
      </c>
      <c r="W562" t="s">
        <v>10</v>
      </c>
      <c r="X562" t="s">
        <v>275</v>
      </c>
      <c r="Y562" t="s">
        <v>275</v>
      </c>
      <c r="Z562" t="s">
        <v>275</v>
      </c>
      <c r="AA562" t="s">
        <v>275</v>
      </c>
      <c r="AB562" t="s">
        <v>275</v>
      </c>
      <c r="AC562" t="s">
        <v>275</v>
      </c>
      <c r="AD562" t="s">
        <v>275</v>
      </c>
    </row>
    <row r="563" spans="1:30">
      <c r="A563">
        <v>561</v>
      </c>
      <c r="B563" t="s">
        <v>1202</v>
      </c>
      <c r="C563" t="s">
        <v>1203</v>
      </c>
      <c r="D563" t="str">
        <f>IF(VLOOKUP(C563,'Capabilities Overview'!$A$2:$A$587,1)=C563,"","Not in UCL")</f>
        <v/>
      </c>
      <c r="E563" t="s">
        <v>1</v>
      </c>
      <c r="F563" t="s">
        <v>1</v>
      </c>
      <c r="G563" t="s">
        <v>275</v>
      </c>
      <c r="H563" t="s">
        <v>275</v>
      </c>
      <c r="I563" t="s">
        <v>1</v>
      </c>
      <c r="J563" t="s">
        <v>275</v>
      </c>
      <c r="K563" t="s">
        <v>275</v>
      </c>
      <c r="L563" t="s">
        <v>275</v>
      </c>
      <c r="M563" t="s">
        <v>1</v>
      </c>
      <c r="N563" t="s">
        <v>1</v>
      </c>
      <c r="O563" t="s">
        <v>1</v>
      </c>
      <c r="P563" t="s">
        <v>275</v>
      </c>
      <c r="Q563" t="s">
        <v>1</v>
      </c>
      <c r="R563" t="s">
        <v>275</v>
      </c>
      <c r="S563" t="s">
        <v>275</v>
      </c>
      <c r="T563" t="s">
        <v>275</v>
      </c>
      <c r="U563" t="s">
        <v>275</v>
      </c>
      <c r="V563" t="s">
        <v>275</v>
      </c>
      <c r="W563" t="s">
        <v>10</v>
      </c>
      <c r="X563" t="s">
        <v>275</v>
      </c>
      <c r="Y563" t="s">
        <v>275</v>
      </c>
      <c r="Z563" t="s">
        <v>275</v>
      </c>
      <c r="AA563" t="s">
        <v>275</v>
      </c>
      <c r="AB563" t="s">
        <v>275</v>
      </c>
      <c r="AC563" t="s">
        <v>275</v>
      </c>
      <c r="AD563" t="s">
        <v>275</v>
      </c>
    </row>
    <row r="564" spans="1:30">
      <c r="A564">
        <v>562</v>
      </c>
      <c r="B564" t="s">
        <v>1204</v>
      </c>
      <c r="C564" t="s">
        <v>1205</v>
      </c>
      <c r="D564" t="str">
        <f>IF(VLOOKUP(C564,'Capabilities Overview'!$A$2:$A$587,1)=C564,"","Not in UCL")</f>
        <v/>
      </c>
      <c r="E564" t="s">
        <v>1</v>
      </c>
      <c r="F564" t="s">
        <v>1</v>
      </c>
      <c r="G564" t="s">
        <v>275</v>
      </c>
      <c r="H564" t="s">
        <v>275</v>
      </c>
      <c r="I564" t="s">
        <v>1</v>
      </c>
      <c r="J564" t="s">
        <v>275</v>
      </c>
      <c r="K564" t="s">
        <v>275</v>
      </c>
      <c r="L564" t="s">
        <v>275</v>
      </c>
      <c r="M564" t="s">
        <v>1</v>
      </c>
      <c r="N564" t="s">
        <v>1</v>
      </c>
      <c r="O564" t="s">
        <v>1</v>
      </c>
      <c r="P564" t="s">
        <v>275</v>
      </c>
      <c r="Q564" t="s">
        <v>1</v>
      </c>
      <c r="R564" t="s">
        <v>275</v>
      </c>
      <c r="S564" t="s">
        <v>275</v>
      </c>
      <c r="T564" t="s">
        <v>275</v>
      </c>
      <c r="U564" t="s">
        <v>275</v>
      </c>
      <c r="V564" t="s">
        <v>275</v>
      </c>
      <c r="W564" t="s">
        <v>10</v>
      </c>
      <c r="X564" t="s">
        <v>275</v>
      </c>
      <c r="Y564" t="s">
        <v>275</v>
      </c>
      <c r="Z564" t="s">
        <v>275</v>
      </c>
      <c r="AA564" t="s">
        <v>275</v>
      </c>
      <c r="AB564" t="s">
        <v>275</v>
      </c>
      <c r="AC564" t="s">
        <v>275</v>
      </c>
      <c r="AD564" t="s">
        <v>275</v>
      </c>
    </row>
    <row r="565" spans="1:30">
      <c r="A565">
        <v>563</v>
      </c>
      <c r="B565" t="s">
        <v>1206</v>
      </c>
      <c r="C565" t="s">
        <v>1207</v>
      </c>
      <c r="D565" t="str">
        <f>IF(VLOOKUP(C565,'Capabilities Overview'!$A$2:$A$587,1)=C565,"","Not in UCL")</f>
        <v/>
      </c>
      <c r="E565" t="s">
        <v>1</v>
      </c>
      <c r="F565" t="s">
        <v>1</v>
      </c>
      <c r="G565" t="s">
        <v>275</v>
      </c>
      <c r="H565" t="s">
        <v>275</v>
      </c>
      <c r="I565" t="s">
        <v>1</v>
      </c>
      <c r="J565" t="s">
        <v>275</v>
      </c>
      <c r="K565" t="s">
        <v>275</v>
      </c>
      <c r="L565" t="s">
        <v>275</v>
      </c>
      <c r="M565" t="s">
        <v>1</v>
      </c>
      <c r="N565" t="s">
        <v>1</v>
      </c>
      <c r="O565" t="s">
        <v>1</v>
      </c>
      <c r="P565" t="s">
        <v>275</v>
      </c>
      <c r="Q565" t="s">
        <v>1</v>
      </c>
      <c r="R565" t="s">
        <v>1</v>
      </c>
      <c r="S565" t="s">
        <v>275</v>
      </c>
      <c r="T565" t="s">
        <v>275</v>
      </c>
      <c r="U565" t="s">
        <v>275</v>
      </c>
      <c r="V565" t="s">
        <v>275</v>
      </c>
      <c r="W565" t="s">
        <v>10</v>
      </c>
      <c r="X565" t="s">
        <v>275</v>
      </c>
      <c r="Y565" t="s">
        <v>275</v>
      </c>
      <c r="Z565" t="s">
        <v>275</v>
      </c>
      <c r="AA565" t="s">
        <v>275</v>
      </c>
      <c r="AB565" t="s">
        <v>275</v>
      </c>
      <c r="AC565" t="s">
        <v>275</v>
      </c>
      <c r="AD565" t="s">
        <v>275</v>
      </c>
    </row>
    <row r="566" spans="1:30">
      <c r="A566">
        <v>564</v>
      </c>
      <c r="B566" t="s">
        <v>1208</v>
      </c>
      <c r="C566" t="s">
        <v>1209</v>
      </c>
      <c r="D566" t="str">
        <f>IF(VLOOKUP(C566,'Capabilities Overview'!$A$2:$A$587,1)=C566,"","Not in UCL")</f>
        <v/>
      </c>
      <c r="E566" t="s">
        <v>1</v>
      </c>
      <c r="F566" t="s">
        <v>1</v>
      </c>
      <c r="G566" t="s">
        <v>275</v>
      </c>
      <c r="H566" t="s">
        <v>275</v>
      </c>
      <c r="I566" t="s">
        <v>275</v>
      </c>
      <c r="J566" t="s">
        <v>275</v>
      </c>
      <c r="K566" t="s">
        <v>275</v>
      </c>
      <c r="L566" t="s">
        <v>275</v>
      </c>
      <c r="M566" t="s">
        <v>1</v>
      </c>
      <c r="N566" t="s">
        <v>1</v>
      </c>
      <c r="O566" t="s">
        <v>1</v>
      </c>
      <c r="P566" t="s">
        <v>275</v>
      </c>
      <c r="Q566" t="s">
        <v>1</v>
      </c>
      <c r="R566" t="s">
        <v>275</v>
      </c>
      <c r="S566" t="s">
        <v>275</v>
      </c>
      <c r="T566" t="s">
        <v>275</v>
      </c>
      <c r="U566" t="s">
        <v>275</v>
      </c>
      <c r="V566" t="s">
        <v>275</v>
      </c>
      <c r="W566" t="s">
        <v>10</v>
      </c>
      <c r="X566" t="s">
        <v>275</v>
      </c>
      <c r="Y566" t="s">
        <v>275</v>
      </c>
      <c r="Z566" t="s">
        <v>275</v>
      </c>
      <c r="AA566" t="s">
        <v>275</v>
      </c>
      <c r="AB566" t="s">
        <v>275</v>
      </c>
      <c r="AC566" t="s">
        <v>275</v>
      </c>
      <c r="AD566" t="s">
        <v>275</v>
      </c>
    </row>
    <row r="567" spans="1:30">
      <c r="A567">
        <v>565</v>
      </c>
      <c r="B567" t="s">
        <v>404</v>
      </c>
      <c r="C567" t="s">
        <v>1210</v>
      </c>
      <c r="D567" t="str">
        <f>IF(VLOOKUP(C567,'Capabilities Overview'!$A$2:$A$587,1)=C567,"","Not in UCL")</f>
        <v/>
      </c>
      <c r="E567" t="s">
        <v>1</v>
      </c>
      <c r="F567" t="s">
        <v>1</v>
      </c>
      <c r="G567" t="s">
        <v>275</v>
      </c>
      <c r="H567" t="s">
        <v>275</v>
      </c>
      <c r="I567" t="s">
        <v>275</v>
      </c>
      <c r="J567" t="s">
        <v>275</v>
      </c>
      <c r="K567" t="s">
        <v>275</v>
      </c>
      <c r="L567" t="s">
        <v>275</v>
      </c>
      <c r="M567" t="s">
        <v>1</v>
      </c>
      <c r="N567" t="s">
        <v>1</v>
      </c>
      <c r="O567" t="s">
        <v>1</v>
      </c>
      <c r="P567" t="s">
        <v>275</v>
      </c>
      <c r="Q567" t="s">
        <v>1</v>
      </c>
      <c r="R567" t="s">
        <v>275</v>
      </c>
      <c r="S567" t="s">
        <v>275</v>
      </c>
      <c r="T567" t="s">
        <v>275</v>
      </c>
      <c r="U567" t="s">
        <v>275</v>
      </c>
      <c r="V567" t="s">
        <v>275</v>
      </c>
      <c r="W567" t="s">
        <v>10</v>
      </c>
      <c r="X567" t="s">
        <v>275</v>
      </c>
      <c r="Y567" t="s">
        <v>275</v>
      </c>
      <c r="Z567" t="s">
        <v>275</v>
      </c>
      <c r="AA567" t="s">
        <v>275</v>
      </c>
      <c r="AB567" t="s">
        <v>275</v>
      </c>
      <c r="AC567" t="s">
        <v>275</v>
      </c>
      <c r="AD567" t="s">
        <v>275</v>
      </c>
    </row>
    <row r="568" spans="1:30">
      <c r="A568">
        <v>566</v>
      </c>
      <c r="B568" t="s">
        <v>1030</v>
      </c>
      <c r="C568" t="s">
        <v>1211</v>
      </c>
      <c r="D568" t="str">
        <f>IF(VLOOKUP(C568,'Capabilities Overview'!$A$2:$A$587,1)=C568,"","Not in UCL")</f>
        <v/>
      </c>
      <c r="E568" t="s">
        <v>1</v>
      </c>
      <c r="F568" t="s">
        <v>1</v>
      </c>
      <c r="G568" t="s">
        <v>275</v>
      </c>
      <c r="H568" t="s">
        <v>275</v>
      </c>
      <c r="I568" t="s">
        <v>275</v>
      </c>
      <c r="J568" t="s">
        <v>275</v>
      </c>
      <c r="K568" t="s">
        <v>275</v>
      </c>
      <c r="L568" t="s">
        <v>275</v>
      </c>
      <c r="M568" t="s">
        <v>1</v>
      </c>
      <c r="N568" t="s">
        <v>1</v>
      </c>
      <c r="O568" t="s">
        <v>1</v>
      </c>
      <c r="P568" t="s">
        <v>275</v>
      </c>
      <c r="Q568" t="s">
        <v>1</v>
      </c>
      <c r="R568" t="s">
        <v>275</v>
      </c>
      <c r="S568" t="s">
        <v>275</v>
      </c>
      <c r="T568" t="s">
        <v>275</v>
      </c>
      <c r="U568" t="s">
        <v>275</v>
      </c>
      <c r="V568" t="s">
        <v>275</v>
      </c>
      <c r="W568" t="s">
        <v>10</v>
      </c>
      <c r="X568" t="s">
        <v>275</v>
      </c>
      <c r="Y568" t="s">
        <v>275</v>
      </c>
      <c r="Z568" t="s">
        <v>275</v>
      </c>
      <c r="AA568" t="s">
        <v>275</v>
      </c>
      <c r="AB568" t="s">
        <v>275</v>
      </c>
      <c r="AC568" t="s">
        <v>275</v>
      </c>
      <c r="AD568" t="s">
        <v>275</v>
      </c>
    </row>
    <row r="569" spans="1:30">
      <c r="A569">
        <v>567</v>
      </c>
      <c r="B569" t="s">
        <v>1032</v>
      </c>
      <c r="C569" t="s">
        <v>1212</v>
      </c>
      <c r="D569" t="str">
        <f>IF(VLOOKUP(C569,'Capabilities Overview'!$A$2:$A$587,1)=C569,"","Not in UCL")</f>
        <v/>
      </c>
      <c r="E569" t="s">
        <v>1</v>
      </c>
      <c r="F569" t="s">
        <v>1</v>
      </c>
      <c r="G569" t="s">
        <v>275</v>
      </c>
      <c r="H569" t="s">
        <v>275</v>
      </c>
      <c r="I569" t="s">
        <v>275</v>
      </c>
      <c r="J569" t="s">
        <v>275</v>
      </c>
      <c r="K569" t="s">
        <v>275</v>
      </c>
      <c r="L569" t="s">
        <v>275</v>
      </c>
      <c r="M569" t="s">
        <v>1</v>
      </c>
      <c r="N569" t="s">
        <v>1</v>
      </c>
      <c r="O569" t="s">
        <v>1</v>
      </c>
      <c r="P569" t="s">
        <v>275</v>
      </c>
      <c r="Q569" t="s">
        <v>1</v>
      </c>
      <c r="R569" t="s">
        <v>275</v>
      </c>
      <c r="S569" t="s">
        <v>275</v>
      </c>
      <c r="T569" t="s">
        <v>275</v>
      </c>
      <c r="U569" t="s">
        <v>275</v>
      </c>
      <c r="V569" t="s">
        <v>275</v>
      </c>
      <c r="W569" t="s">
        <v>10</v>
      </c>
      <c r="X569" t="s">
        <v>275</v>
      </c>
      <c r="Y569" t="s">
        <v>275</v>
      </c>
      <c r="Z569" t="s">
        <v>275</v>
      </c>
      <c r="AA569" t="s">
        <v>275</v>
      </c>
      <c r="AB569" t="s">
        <v>275</v>
      </c>
      <c r="AC569" t="s">
        <v>275</v>
      </c>
      <c r="AD569" t="s">
        <v>275</v>
      </c>
    </row>
    <row r="570" spans="1:30">
      <c r="A570">
        <v>568</v>
      </c>
      <c r="B570" t="s">
        <v>1038</v>
      </c>
      <c r="C570" t="s">
        <v>1213</v>
      </c>
      <c r="D570" t="str">
        <f>IF(VLOOKUP(C570,'Capabilities Overview'!$A$2:$A$587,1)=C570,"","Not in UCL")</f>
        <v/>
      </c>
      <c r="E570" t="s">
        <v>1</v>
      </c>
      <c r="F570" t="s">
        <v>1</v>
      </c>
      <c r="G570" t="s">
        <v>275</v>
      </c>
      <c r="H570" t="s">
        <v>275</v>
      </c>
      <c r="I570" t="s">
        <v>275</v>
      </c>
      <c r="J570" t="s">
        <v>275</v>
      </c>
      <c r="K570" t="s">
        <v>275</v>
      </c>
      <c r="L570" t="s">
        <v>275</v>
      </c>
      <c r="M570" t="s">
        <v>1</v>
      </c>
      <c r="N570" t="s">
        <v>1</v>
      </c>
      <c r="O570" t="s">
        <v>1</v>
      </c>
      <c r="P570" t="s">
        <v>275</v>
      </c>
      <c r="Q570" t="s">
        <v>1</v>
      </c>
      <c r="R570" t="s">
        <v>275</v>
      </c>
      <c r="S570" t="s">
        <v>275</v>
      </c>
      <c r="T570" t="s">
        <v>275</v>
      </c>
      <c r="U570" t="s">
        <v>275</v>
      </c>
      <c r="V570" t="s">
        <v>275</v>
      </c>
      <c r="W570" t="s">
        <v>10</v>
      </c>
      <c r="X570" t="s">
        <v>275</v>
      </c>
      <c r="Y570" t="s">
        <v>275</v>
      </c>
      <c r="Z570" t="s">
        <v>275</v>
      </c>
      <c r="AA570" t="s">
        <v>275</v>
      </c>
      <c r="AB570" t="s">
        <v>275</v>
      </c>
      <c r="AC570" t="s">
        <v>275</v>
      </c>
      <c r="AD570" t="s">
        <v>275</v>
      </c>
    </row>
    <row r="571" spans="1:30">
      <c r="A571">
        <v>569</v>
      </c>
      <c r="B571" t="s">
        <v>1214</v>
      </c>
      <c r="C571" t="s">
        <v>1215</v>
      </c>
      <c r="D571" t="str">
        <f>IF(VLOOKUP(C571,'Capabilities Overview'!$A$2:$A$587,1)=C571,"","Not in UCL")</f>
        <v/>
      </c>
      <c r="E571" t="s">
        <v>1</v>
      </c>
      <c r="F571" t="s">
        <v>275</v>
      </c>
      <c r="G571" t="s">
        <v>275</v>
      </c>
      <c r="H571" t="s">
        <v>275</v>
      </c>
      <c r="I571" t="s">
        <v>275</v>
      </c>
      <c r="J571" t="s">
        <v>275</v>
      </c>
      <c r="K571" t="s">
        <v>275</v>
      </c>
      <c r="L571" t="s">
        <v>275</v>
      </c>
      <c r="M571" t="s">
        <v>1</v>
      </c>
      <c r="N571" t="s">
        <v>1</v>
      </c>
      <c r="O571" t="s">
        <v>1</v>
      </c>
      <c r="P571" t="s">
        <v>275</v>
      </c>
      <c r="Q571" t="s">
        <v>1</v>
      </c>
      <c r="R571" t="s">
        <v>1</v>
      </c>
      <c r="S571" t="s">
        <v>1</v>
      </c>
      <c r="T571" t="s">
        <v>275</v>
      </c>
      <c r="U571" t="s">
        <v>1</v>
      </c>
      <c r="V571" t="s">
        <v>275</v>
      </c>
      <c r="W571" t="s">
        <v>1</v>
      </c>
      <c r="X571" t="s">
        <v>275</v>
      </c>
      <c r="Y571" t="s">
        <v>275</v>
      </c>
      <c r="Z571" t="s">
        <v>275</v>
      </c>
      <c r="AA571" t="s">
        <v>275</v>
      </c>
      <c r="AB571" t="s">
        <v>275</v>
      </c>
      <c r="AC571" t="s">
        <v>275</v>
      </c>
      <c r="AD571" t="s">
        <v>275</v>
      </c>
    </row>
    <row r="572" spans="1:30">
      <c r="A572">
        <v>570</v>
      </c>
      <c r="B572" t="s">
        <v>144</v>
      </c>
      <c r="C572" t="s">
        <v>1216</v>
      </c>
      <c r="D572" t="str">
        <f>IF(VLOOKUP(C572,'Capabilities Overview'!$A$2:$A$587,1)=C572,"","Not in UCL")</f>
        <v/>
      </c>
      <c r="E572" t="s">
        <v>1</v>
      </c>
      <c r="F572" t="s">
        <v>1</v>
      </c>
      <c r="G572" t="s">
        <v>275</v>
      </c>
      <c r="H572" t="s">
        <v>275</v>
      </c>
      <c r="I572" t="s">
        <v>1</v>
      </c>
      <c r="J572" t="s">
        <v>275</v>
      </c>
      <c r="K572" t="s">
        <v>275</v>
      </c>
      <c r="L572" t="s">
        <v>1</v>
      </c>
      <c r="M572" t="s">
        <v>1</v>
      </c>
      <c r="N572" t="s">
        <v>1</v>
      </c>
      <c r="O572" t="s">
        <v>1</v>
      </c>
      <c r="P572" t="s">
        <v>275</v>
      </c>
      <c r="Q572" t="s">
        <v>1</v>
      </c>
      <c r="R572" t="s">
        <v>275</v>
      </c>
      <c r="S572" t="s">
        <v>275</v>
      </c>
      <c r="T572" t="s">
        <v>275</v>
      </c>
      <c r="U572" t="s">
        <v>275</v>
      </c>
      <c r="V572" t="s">
        <v>275</v>
      </c>
      <c r="W572" t="s">
        <v>275</v>
      </c>
      <c r="X572" t="s">
        <v>275</v>
      </c>
      <c r="Y572" t="s">
        <v>275</v>
      </c>
      <c r="Z572" t="s">
        <v>275</v>
      </c>
      <c r="AA572" t="s">
        <v>275</v>
      </c>
      <c r="AB572" t="s">
        <v>275</v>
      </c>
      <c r="AC572" t="s">
        <v>275</v>
      </c>
      <c r="AD572" t="s">
        <v>275</v>
      </c>
    </row>
    <row r="573" spans="1:30">
      <c r="A573">
        <v>571</v>
      </c>
      <c r="B573" t="s">
        <v>146</v>
      </c>
      <c r="C573" t="s">
        <v>1217</v>
      </c>
      <c r="D573" t="str">
        <f>IF(VLOOKUP(C573,'Capabilities Overview'!$A$2:$A$587,1)=C573,"","Not in UCL")</f>
        <v/>
      </c>
      <c r="E573" t="s">
        <v>1</v>
      </c>
      <c r="F573" t="s">
        <v>1</v>
      </c>
      <c r="G573" t="s">
        <v>275</v>
      </c>
      <c r="H573" t="s">
        <v>275</v>
      </c>
      <c r="I573" t="s">
        <v>1</v>
      </c>
      <c r="J573" t="s">
        <v>275</v>
      </c>
      <c r="K573" t="s">
        <v>275</v>
      </c>
      <c r="L573" t="s">
        <v>1</v>
      </c>
      <c r="M573" t="s">
        <v>1</v>
      </c>
      <c r="N573" t="s">
        <v>1</v>
      </c>
      <c r="O573" t="s">
        <v>1</v>
      </c>
      <c r="P573" t="s">
        <v>275</v>
      </c>
      <c r="Q573" t="s">
        <v>1</v>
      </c>
      <c r="R573" t="s">
        <v>275</v>
      </c>
      <c r="S573" t="s">
        <v>275</v>
      </c>
      <c r="T573" t="s">
        <v>275</v>
      </c>
      <c r="U573" t="s">
        <v>275</v>
      </c>
      <c r="V573" t="s">
        <v>275</v>
      </c>
      <c r="W573" t="s">
        <v>275</v>
      </c>
      <c r="X573" t="s">
        <v>275</v>
      </c>
      <c r="Y573" t="s">
        <v>275</v>
      </c>
      <c r="Z573" t="s">
        <v>275</v>
      </c>
      <c r="AA573" t="s">
        <v>275</v>
      </c>
      <c r="AB573" t="s">
        <v>275</v>
      </c>
      <c r="AC573" t="s">
        <v>275</v>
      </c>
      <c r="AD573" t="s">
        <v>275</v>
      </c>
    </row>
    <row r="574" spans="1:30">
      <c r="A574">
        <v>572</v>
      </c>
      <c r="B574" t="s">
        <v>142</v>
      </c>
      <c r="C574" t="s">
        <v>1218</v>
      </c>
      <c r="D574" t="str">
        <f>IF(VLOOKUP(C574,'Capabilities Overview'!$A$2:$A$587,1)=C574,"","Not in UCL")</f>
        <v/>
      </c>
      <c r="E574" t="s">
        <v>1</v>
      </c>
      <c r="F574" t="s">
        <v>1</v>
      </c>
      <c r="G574" t="s">
        <v>275</v>
      </c>
      <c r="H574" t="s">
        <v>275</v>
      </c>
      <c r="I574" t="s">
        <v>1</v>
      </c>
      <c r="J574" t="s">
        <v>275</v>
      </c>
      <c r="K574" t="s">
        <v>275</v>
      </c>
      <c r="L574" t="s">
        <v>1</v>
      </c>
      <c r="M574" t="s">
        <v>1</v>
      </c>
      <c r="N574" t="s">
        <v>1</v>
      </c>
      <c r="O574" t="s">
        <v>1</v>
      </c>
      <c r="P574" t="s">
        <v>275</v>
      </c>
      <c r="Q574" t="s">
        <v>1</v>
      </c>
      <c r="R574" t="s">
        <v>275</v>
      </c>
      <c r="S574" t="s">
        <v>275</v>
      </c>
      <c r="T574" t="s">
        <v>275</v>
      </c>
      <c r="U574" t="s">
        <v>275</v>
      </c>
      <c r="V574" t="s">
        <v>275</v>
      </c>
      <c r="W574" t="s">
        <v>275</v>
      </c>
      <c r="X574" t="s">
        <v>275</v>
      </c>
      <c r="Y574" t="s">
        <v>275</v>
      </c>
      <c r="Z574" t="s">
        <v>275</v>
      </c>
      <c r="AA574" t="s">
        <v>275</v>
      </c>
      <c r="AB574" t="s">
        <v>275</v>
      </c>
      <c r="AC574" t="s">
        <v>275</v>
      </c>
      <c r="AD574" t="s">
        <v>275</v>
      </c>
    </row>
    <row r="575" spans="1:30">
      <c r="A575">
        <v>573</v>
      </c>
      <c r="B575" t="s">
        <v>1219</v>
      </c>
      <c r="C575" t="s">
        <v>1220</v>
      </c>
      <c r="D575" t="str">
        <f>IF(VLOOKUP(C575,'Capabilities Overview'!$A$2:$A$587,1)=C575,"","Not in UCL")</f>
        <v/>
      </c>
      <c r="E575" t="s">
        <v>1</v>
      </c>
      <c r="F575" t="s">
        <v>1</v>
      </c>
      <c r="G575" t="s">
        <v>275</v>
      </c>
      <c r="H575" t="s">
        <v>275</v>
      </c>
      <c r="I575" t="s">
        <v>275</v>
      </c>
      <c r="J575" t="s">
        <v>275</v>
      </c>
      <c r="K575" t="s">
        <v>275</v>
      </c>
      <c r="L575" t="s">
        <v>275</v>
      </c>
      <c r="M575" t="s">
        <v>1</v>
      </c>
      <c r="N575" t="s">
        <v>1</v>
      </c>
      <c r="O575" t="s">
        <v>1</v>
      </c>
      <c r="P575" t="s">
        <v>275</v>
      </c>
      <c r="Q575" t="s">
        <v>1</v>
      </c>
      <c r="R575" t="s">
        <v>1</v>
      </c>
      <c r="S575" t="s">
        <v>275</v>
      </c>
      <c r="T575" t="s">
        <v>275</v>
      </c>
      <c r="U575" t="s">
        <v>275</v>
      </c>
      <c r="V575" t="s">
        <v>275</v>
      </c>
      <c r="W575" t="s">
        <v>10</v>
      </c>
      <c r="X575" t="s">
        <v>275</v>
      </c>
      <c r="Y575" t="s">
        <v>275</v>
      </c>
      <c r="Z575" t="s">
        <v>275</v>
      </c>
      <c r="AA575" t="s">
        <v>275</v>
      </c>
      <c r="AB575" t="s">
        <v>275</v>
      </c>
      <c r="AC575" t="s">
        <v>275</v>
      </c>
      <c r="AD575" t="s">
        <v>275</v>
      </c>
    </row>
    <row r="576" spans="1:30">
      <c r="A576">
        <v>574</v>
      </c>
      <c r="B576" t="s">
        <v>1221</v>
      </c>
      <c r="C576" t="s">
        <v>1222</v>
      </c>
      <c r="D576" t="str">
        <f>IF(VLOOKUP(C576,'Capabilities Overview'!$A$2:$A$587,1)=C576,"","Not in UCL")</f>
        <v/>
      </c>
      <c r="E576" t="s">
        <v>1</v>
      </c>
      <c r="F576" t="s">
        <v>275</v>
      </c>
      <c r="G576" t="s">
        <v>275</v>
      </c>
      <c r="H576" t="s">
        <v>275</v>
      </c>
      <c r="I576" t="s">
        <v>275</v>
      </c>
      <c r="J576" t="s">
        <v>275</v>
      </c>
      <c r="K576" t="s">
        <v>275</v>
      </c>
      <c r="L576" t="s">
        <v>275</v>
      </c>
      <c r="M576" t="s">
        <v>1</v>
      </c>
      <c r="N576" t="s">
        <v>1</v>
      </c>
      <c r="O576" t="s">
        <v>1</v>
      </c>
      <c r="P576" t="s">
        <v>275</v>
      </c>
      <c r="Q576" t="s">
        <v>1</v>
      </c>
      <c r="R576" t="s">
        <v>1</v>
      </c>
      <c r="S576" t="s">
        <v>275</v>
      </c>
      <c r="T576" t="s">
        <v>275</v>
      </c>
      <c r="U576" t="s">
        <v>275</v>
      </c>
      <c r="V576" t="s">
        <v>275</v>
      </c>
      <c r="W576" t="s">
        <v>275</v>
      </c>
      <c r="X576" t="s">
        <v>275</v>
      </c>
      <c r="Y576" t="s">
        <v>275</v>
      </c>
      <c r="Z576" t="s">
        <v>275</v>
      </c>
      <c r="AA576" t="s">
        <v>275</v>
      </c>
      <c r="AB576" t="s">
        <v>275</v>
      </c>
      <c r="AC576" t="s">
        <v>275</v>
      </c>
      <c r="AD576" t="s">
        <v>275</v>
      </c>
    </row>
    <row r="577" spans="1:30">
      <c r="A577">
        <v>575</v>
      </c>
      <c r="B577" t="s">
        <v>1223</v>
      </c>
      <c r="C577" t="s">
        <v>1224</v>
      </c>
      <c r="D577" t="str">
        <f>IF(VLOOKUP(C577,'Capabilities Overview'!$A$2:$A$587,1)=C577,"","Not in UCL")</f>
        <v/>
      </c>
      <c r="E577" t="s">
        <v>1</v>
      </c>
      <c r="F577" t="s">
        <v>275</v>
      </c>
      <c r="G577" t="s">
        <v>275</v>
      </c>
      <c r="H577" t="s">
        <v>275</v>
      </c>
      <c r="I577" t="s">
        <v>275</v>
      </c>
      <c r="J577" t="s">
        <v>275</v>
      </c>
      <c r="K577" t="s">
        <v>275</v>
      </c>
      <c r="L577" t="s">
        <v>275</v>
      </c>
      <c r="M577" t="s">
        <v>1</v>
      </c>
      <c r="N577" t="s">
        <v>1</v>
      </c>
      <c r="O577" t="s">
        <v>1</v>
      </c>
      <c r="P577" t="s">
        <v>275</v>
      </c>
      <c r="Q577" t="s">
        <v>1</v>
      </c>
      <c r="R577" t="s">
        <v>275</v>
      </c>
      <c r="S577" t="s">
        <v>275</v>
      </c>
      <c r="T577" t="s">
        <v>275</v>
      </c>
      <c r="U577" t="s">
        <v>275</v>
      </c>
      <c r="V577" t="s">
        <v>275</v>
      </c>
      <c r="W577" t="s">
        <v>275</v>
      </c>
      <c r="X577" t="s">
        <v>275</v>
      </c>
      <c r="Y577" t="s">
        <v>275</v>
      </c>
      <c r="Z577" t="s">
        <v>275</v>
      </c>
      <c r="AA577" t="s">
        <v>275</v>
      </c>
      <c r="AB577" t="s">
        <v>275</v>
      </c>
      <c r="AC577" t="s">
        <v>275</v>
      </c>
      <c r="AD577" t="s">
        <v>275</v>
      </c>
    </row>
    <row r="578" spans="1:30">
      <c r="A578">
        <v>576</v>
      </c>
      <c r="B578" t="s">
        <v>1225</v>
      </c>
      <c r="C578" t="s">
        <v>1226</v>
      </c>
      <c r="D578" t="str">
        <f>IF(VLOOKUP(C578,'Capabilities Overview'!$A$2:$A$587,1)=C578,"","Not in UCL")</f>
        <v/>
      </c>
      <c r="E578" t="s">
        <v>1</v>
      </c>
      <c r="F578" t="s">
        <v>275</v>
      </c>
      <c r="G578" t="s">
        <v>275</v>
      </c>
      <c r="H578" t="s">
        <v>275</v>
      </c>
      <c r="I578" t="s">
        <v>275</v>
      </c>
      <c r="J578" t="s">
        <v>275</v>
      </c>
      <c r="K578" t="s">
        <v>275</v>
      </c>
      <c r="L578" t="s">
        <v>275</v>
      </c>
      <c r="M578" t="s">
        <v>1</v>
      </c>
      <c r="N578" t="s">
        <v>1</v>
      </c>
      <c r="O578" t="s">
        <v>1</v>
      </c>
      <c r="P578" t="s">
        <v>275</v>
      </c>
      <c r="Q578" t="s">
        <v>1</v>
      </c>
      <c r="R578" t="s">
        <v>275</v>
      </c>
      <c r="S578" t="s">
        <v>275</v>
      </c>
      <c r="T578" t="s">
        <v>275</v>
      </c>
      <c r="U578" t="s">
        <v>275</v>
      </c>
      <c r="V578" t="s">
        <v>275</v>
      </c>
      <c r="W578" t="s">
        <v>275</v>
      </c>
      <c r="X578" t="s">
        <v>275</v>
      </c>
      <c r="Y578" t="s">
        <v>275</v>
      </c>
      <c r="Z578" t="s">
        <v>275</v>
      </c>
      <c r="AA578" t="s">
        <v>275</v>
      </c>
      <c r="AB578" t="s">
        <v>275</v>
      </c>
      <c r="AC578" t="s">
        <v>275</v>
      </c>
      <c r="AD578" t="s">
        <v>275</v>
      </c>
    </row>
    <row r="579" spans="1:30">
      <c r="A579">
        <v>577</v>
      </c>
      <c r="B579" t="s">
        <v>1227</v>
      </c>
      <c r="C579" t="s">
        <v>1228</v>
      </c>
      <c r="D579" t="str">
        <f>IF(VLOOKUP(C579,'Capabilities Overview'!$A$2:$A$587,1)=C579,"","Not in UCL")</f>
        <v/>
      </c>
      <c r="E579" t="s">
        <v>1</v>
      </c>
      <c r="F579" t="s">
        <v>275</v>
      </c>
      <c r="G579" t="s">
        <v>275</v>
      </c>
      <c r="H579" t="s">
        <v>275</v>
      </c>
      <c r="I579" t="s">
        <v>275</v>
      </c>
      <c r="J579" t="s">
        <v>275</v>
      </c>
      <c r="K579" t="s">
        <v>275</v>
      </c>
      <c r="L579" t="s">
        <v>275</v>
      </c>
      <c r="M579" t="s">
        <v>1</v>
      </c>
      <c r="N579" t="s">
        <v>1</v>
      </c>
      <c r="O579" t="s">
        <v>1</v>
      </c>
      <c r="P579" t="s">
        <v>275</v>
      </c>
      <c r="Q579" t="s">
        <v>275</v>
      </c>
      <c r="R579" t="s">
        <v>275</v>
      </c>
      <c r="S579" t="s">
        <v>275</v>
      </c>
      <c r="T579" t="s">
        <v>275</v>
      </c>
      <c r="U579" t="s">
        <v>275</v>
      </c>
      <c r="V579" t="s">
        <v>275</v>
      </c>
      <c r="W579" t="s">
        <v>275</v>
      </c>
      <c r="X579" t="s">
        <v>275</v>
      </c>
      <c r="Y579" t="s">
        <v>275</v>
      </c>
      <c r="Z579" t="s">
        <v>275</v>
      </c>
      <c r="AA579" t="s">
        <v>275</v>
      </c>
      <c r="AB579" t="s">
        <v>275</v>
      </c>
      <c r="AC579" t="s">
        <v>275</v>
      </c>
      <c r="AD579" t="s">
        <v>275</v>
      </c>
    </row>
    <row r="580" spans="1:30">
      <c r="A580">
        <v>578</v>
      </c>
      <c r="B580" t="s">
        <v>1229</v>
      </c>
      <c r="C580" t="s">
        <v>1230</v>
      </c>
      <c r="D580" t="str">
        <f>IF(VLOOKUP(C580,'Capabilities Overview'!$A$2:$A$587,1)=C580,"","Not in UCL")</f>
        <v/>
      </c>
      <c r="E580" t="s">
        <v>1</v>
      </c>
      <c r="F580" t="s">
        <v>275</v>
      </c>
      <c r="G580" t="s">
        <v>275</v>
      </c>
      <c r="H580" t="s">
        <v>275</v>
      </c>
      <c r="I580" t="s">
        <v>275</v>
      </c>
      <c r="J580" t="s">
        <v>275</v>
      </c>
      <c r="K580" t="s">
        <v>275</v>
      </c>
      <c r="L580" t="s">
        <v>275</v>
      </c>
      <c r="M580" t="s">
        <v>1</v>
      </c>
      <c r="N580" t="s">
        <v>1</v>
      </c>
      <c r="O580" t="s">
        <v>1</v>
      </c>
      <c r="P580" t="s">
        <v>275</v>
      </c>
      <c r="Q580" t="s">
        <v>1</v>
      </c>
      <c r="R580" t="s">
        <v>275</v>
      </c>
      <c r="S580" t="s">
        <v>275</v>
      </c>
      <c r="T580" t="s">
        <v>275</v>
      </c>
      <c r="U580" t="s">
        <v>275</v>
      </c>
      <c r="V580" t="s">
        <v>275</v>
      </c>
      <c r="W580" t="s">
        <v>275</v>
      </c>
      <c r="X580" t="s">
        <v>275</v>
      </c>
      <c r="Y580" t="s">
        <v>275</v>
      </c>
      <c r="Z580" t="s">
        <v>275</v>
      </c>
      <c r="AA580" t="s">
        <v>275</v>
      </c>
      <c r="AB580" t="s">
        <v>275</v>
      </c>
      <c r="AC580" t="s">
        <v>275</v>
      </c>
      <c r="AD580" t="s">
        <v>275</v>
      </c>
    </row>
    <row r="581" spans="1:30">
      <c r="A581">
        <v>579</v>
      </c>
      <c r="B581" t="s">
        <v>1231</v>
      </c>
      <c r="C581" t="s">
        <v>1232</v>
      </c>
      <c r="D581" t="str">
        <f>IF(VLOOKUP(C581,'Capabilities Overview'!$A$2:$A$587,1)=C581,"","Not in UCL")</f>
        <v/>
      </c>
      <c r="E581" t="s">
        <v>1</v>
      </c>
      <c r="F581" t="s">
        <v>275</v>
      </c>
      <c r="G581" t="s">
        <v>275</v>
      </c>
      <c r="H581" t="s">
        <v>275</v>
      </c>
      <c r="I581" t="s">
        <v>275</v>
      </c>
      <c r="J581" t="s">
        <v>275</v>
      </c>
      <c r="K581" t="s">
        <v>275</v>
      </c>
      <c r="L581" t="s">
        <v>275</v>
      </c>
      <c r="M581" t="s">
        <v>1</v>
      </c>
      <c r="N581" t="s">
        <v>1</v>
      </c>
      <c r="O581" t="s">
        <v>1</v>
      </c>
      <c r="P581" t="s">
        <v>275</v>
      </c>
      <c r="Q581" t="s">
        <v>1</v>
      </c>
      <c r="R581" t="s">
        <v>275</v>
      </c>
      <c r="S581" t="s">
        <v>275</v>
      </c>
      <c r="T581" t="s">
        <v>275</v>
      </c>
      <c r="U581" t="s">
        <v>275</v>
      </c>
      <c r="V581" t="s">
        <v>275</v>
      </c>
      <c r="W581" t="s">
        <v>275</v>
      </c>
      <c r="X581" t="s">
        <v>275</v>
      </c>
      <c r="Y581" t="s">
        <v>275</v>
      </c>
      <c r="Z581" t="s">
        <v>275</v>
      </c>
      <c r="AA581" t="s">
        <v>275</v>
      </c>
      <c r="AB581" t="s">
        <v>275</v>
      </c>
      <c r="AC581" t="s">
        <v>275</v>
      </c>
      <c r="AD581" t="s">
        <v>275</v>
      </c>
    </row>
    <row r="582" spans="1:30">
      <c r="A582">
        <v>580</v>
      </c>
      <c r="B582" t="s">
        <v>1233</v>
      </c>
      <c r="C582" t="s">
        <v>1234</v>
      </c>
      <c r="D582" t="str">
        <f>IF(VLOOKUP(C582,'Capabilities Overview'!$A$2:$A$587,1)=C582,"","Not in UCL")</f>
        <v/>
      </c>
      <c r="E582" t="s">
        <v>1</v>
      </c>
      <c r="F582" t="s">
        <v>275</v>
      </c>
      <c r="G582" t="s">
        <v>275</v>
      </c>
      <c r="H582" t="s">
        <v>275</v>
      </c>
      <c r="I582" t="s">
        <v>275</v>
      </c>
      <c r="J582" t="s">
        <v>275</v>
      </c>
      <c r="K582" t="s">
        <v>275</v>
      </c>
      <c r="L582" t="s">
        <v>275</v>
      </c>
      <c r="M582" t="s">
        <v>1</v>
      </c>
      <c r="N582" t="s">
        <v>1</v>
      </c>
      <c r="O582" t="s">
        <v>1</v>
      </c>
      <c r="P582" t="s">
        <v>275</v>
      </c>
      <c r="Q582" t="s">
        <v>1</v>
      </c>
      <c r="R582" t="s">
        <v>1</v>
      </c>
      <c r="S582" t="s">
        <v>275</v>
      </c>
      <c r="T582" t="s">
        <v>275</v>
      </c>
      <c r="U582" t="s">
        <v>275</v>
      </c>
      <c r="V582" t="s">
        <v>275</v>
      </c>
      <c r="W582" t="s">
        <v>275</v>
      </c>
      <c r="X582" t="s">
        <v>275</v>
      </c>
      <c r="Y582" t="s">
        <v>275</v>
      </c>
      <c r="Z582" t="s">
        <v>275</v>
      </c>
      <c r="AA582" t="s">
        <v>275</v>
      </c>
      <c r="AB582" t="s">
        <v>275</v>
      </c>
      <c r="AC582" t="s">
        <v>275</v>
      </c>
      <c r="AD582" t="s">
        <v>275</v>
      </c>
    </row>
    <row r="583" spans="1:30">
      <c r="A583">
        <v>581</v>
      </c>
      <c r="B583" t="s">
        <v>1235</v>
      </c>
      <c r="C583" t="s">
        <v>1236</v>
      </c>
      <c r="D583" t="str">
        <f>IF(VLOOKUP(C583,'Capabilities Overview'!$A$2:$A$587,1)=C583,"","Not in UCL")</f>
        <v/>
      </c>
      <c r="E583" t="s">
        <v>1</v>
      </c>
      <c r="F583" t="s">
        <v>275</v>
      </c>
      <c r="G583" t="s">
        <v>275</v>
      </c>
      <c r="H583" t="s">
        <v>275</v>
      </c>
      <c r="I583" t="s">
        <v>275</v>
      </c>
      <c r="J583" t="s">
        <v>275</v>
      </c>
      <c r="K583" t="s">
        <v>275</v>
      </c>
      <c r="L583" t="s">
        <v>275</v>
      </c>
      <c r="M583" t="s">
        <v>1</v>
      </c>
      <c r="N583" t="s">
        <v>1</v>
      </c>
      <c r="O583" t="s">
        <v>1</v>
      </c>
      <c r="P583" t="s">
        <v>275</v>
      </c>
      <c r="Q583" t="s">
        <v>1</v>
      </c>
      <c r="R583" t="s">
        <v>1</v>
      </c>
      <c r="S583" t="s">
        <v>1</v>
      </c>
      <c r="T583" t="s">
        <v>275</v>
      </c>
      <c r="U583" t="s">
        <v>275</v>
      </c>
      <c r="V583" t="s">
        <v>275</v>
      </c>
      <c r="W583" t="s">
        <v>1</v>
      </c>
      <c r="X583" t="s">
        <v>275</v>
      </c>
      <c r="Y583" t="s">
        <v>275</v>
      </c>
      <c r="Z583" t="s">
        <v>275</v>
      </c>
      <c r="AA583" t="s">
        <v>275</v>
      </c>
      <c r="AB583" t="s">
        <v>275</v>
      </c>
      <c r="AC583" t="s">
        <v>275</v>
      </c>
      <c r="AD583" t="s">
        <v>275</v>
      </c>
    </row>
    <row r="584" spans="1:30">
      <c r="A584">
        <v>582</v>
      </c>
      <c r="B584" t="s">
        <v>1112</v>
      </c>
      <c r="C584" t="s">
        <v>1237</v>
      </c>
      <c r="D584" t="str">
        <f>IF(VLOOKUP(C584,'Capabilities Overview'!$A$2:$A$587,1)=C584,"","Not in UCL")</f>
        <v/>
      </c>
      <c r="E584" t="s">
        <v>1</v>
      </c>
      <c r="F584" t="s">
        <v>1</v>
      </c>
      <c r="G584" t="s">
        <v>275</v>
      </c>
      <c r="H584" t="s">
        <v>275</v>
      </c>
      <c r="I584" t="s">
        <v>275</v>
      </c>
      <c r="J584" t="s">
        <v>275</v>
      </c>
      <c r="K584" t="s">
        <v>275</v>
      </c>
      <c r="L584" t="s">
        <v>275</v>
      </c>
      <c r="M584" t="s">
        <v>1</v>
      </c>
      <c r="N584" t="s">
        <v>1</v>
      </c>
      <c r="O584" t="s">
        <v>1</v>
      </c>
      <c r="P584" t="s">
        <v>275</v>
      </c>
      <c r="Q584" t="s">
        <v>1</v>
      </c>
      <c r="R584" t="s">
        <v>275</v>
      </c>
      <c r="S584" t="s">
        <v>275</v>
      </c>
      <c r="T584" t="s">
        <v>275</v>
      </c>
      <c r="U584" t="s">
        <v>275</v>
      </c>
      <c r="V584" t="s">
        <v>275</v>
      </c>
      <c r="W584" t="s">
        <v>275</v>
      </c>
      <c r="X584" t="s">
        <v>275</v>
      </c>
      <c r="Y584" t="s">
        <v>275</v>
      </c>
      <c r="Z584" t="s">
        <v>275</v>
      </c>
      <c r="AA584" t="s">
        <v>275</v>
      </c>
      <c r="AB584" t="s">
        <v>275</v>
      </c>
      <c r="AC584" t="s">
        <v>275</v>
      </c>
      <c r="AD584" t="s">
        <v>275</v>
      </c>
    </row>
    <row r="585" spans="1:30">
      <c r="A585">
        <v>583</v>
      </c>
      <c r="B585" t="s">
        <v>1114</v>
      </c>
      <c r="C585" t="s">
        <v>1238</v>
      </c>
      <c r="D585" t="str">
        <f>IF(VLOOKUP(C585,'Capabilities Overview'!$A$2:$A$587,1)=C585,"","Not in UCL")</f>
        <v/>
      </c>
      <c r="E585" t="s">
        <v>1</v>
      </c>
      <c r="F585" t="s">
        <v>1</v>
      </c>
      <c r="G585" t="s">
        <v>275</v>
      </c>
      <c r="H585" t="s">
        <v>275</v>
      </c>
      <c r="I585" t="s">
        <v>275</v>
      </c>
      <c r="J585" t="s">
        <v>275</v>
      </c>
      <c r="K585" t="s">
        <v>275</v>
      </c>
      <c r="L585" t="s">
        <v>275</v>
      </c>
      <c r="M585" t="s">
        <v>1</v>
      </c>
      <c r="N585" t="s">
        <v>1</v>
      </c>
      <c r="O585" t="s">
        <v>1</v>
      </c>
      <c r="P585" t="s">
        <v>275</v>
      </c>
      <c r="Q585" t="s">
        <v>1</v>
      </c>
      <c r="R585" t="s">
        <v>275</v>
      </c>
      <c r="S585" t="s">
        <v>275</v>
      </c>
      <c r="T585" t="s">
        <v>275</v>
      </c>
      <c r="U585" t="s">
        <v>275</v>
      </c>
      <c r="V585" t="s">
        <v>275</v>
      </c>
      <c r="W585" t="s">
        <v>275</v>
      </c>
      <c r="X585" t="s">
        <v>275</v>
      </c>
      <c r="Y585" t="s">
        <v>275</v>
      </c>
      <c r="Z585" t="s">
        <v>275</v>
      </c>
      <c r="AA585" t="s">
        <v>275</v>
      </c>
      <c r="AB585" t="s">
        <v>275</v>
      </c>
      <c r="AC585" t="s">
        <v>275</v>
      </c>
      <c r="AD585" t="s">
        <v>275</v>
      </c>
    </row>
    <row r="586" spans="1:30">
      <c r="A586">
        <v>584</v>
      </c>
      <c r="B586" t="s">
        <v>1116</v>
      </c>
      <c r="C586" t="s">
        <v>1239</v>
      </c>
      <c r="D586" t="str">
        <f>IF(VLOOKUP(C586,'Capabilities Overview'!$A$2:$A$587,1)=C586,"","Not in UCL")</f>
        <v/>
      </c>
      <c r="E586" t="s">
        <v>275</v>
      </c>
      <c r="F586" t="s">
        <v>1</v>
      </c>
      <c r="G586" t="s">
        <v>275</v>
      </c>
      <c r="H586" t="s">
        <v>275</v>
      </c>
      <c r="I586" t="s">
        <v>275</v>
      </c>
      <c r="J586" t="s">
        <v>275</v>
      </c>
      <c r="K586" t="s">
        <v>275</v>
      </c>
      <c r="L586" t="s">
        <v>275</v>
      </c>
      <c r="M586" t="s">
        <v>1</v>
      </c>
      <c r="N586" t="s">
        <v>1</v>
      </c>
      <c r="O586" t="s">
        <v>1</v>
      </c>
      <c r="P586" t="s">
        <v>275</v>
      </c>
      <c r="Q586" t="s">
        <v>1</v>
      </c>
      <c r="R586" t="s">
        <v>1</v>
      </c>
      <c r="S586" t="s">
        <v>275</v>
      </c>
      <c r="T586" t="s">
        <v>275</v>
      </c>
      <c r="U586" t="s">
        <v>1</v>
      </c>
      <c r="V586" t="s">
        <v>275</v>
      </c>
      <c r="W586" t="s">
        <v>275</v>
      </c>
      <c r="X586" t="s">
        <v>275</v>
      </c>
      <c r="Y586" t="s">
        <v>275</v>
      </c>
      <c r="Z586" t="s">
        <v>275</v>
      </c>
      <c r="AA586" t="s">
        <v>275</v>
      </c>
      <c r="AB586" t="s">
        <v>275</v>
      </c>
      <c r="AC586" t="s">
        <v>275</v>
      </c>
      <c r="AD586" t="s">
        <v>275</v>
      </c>
    </row>
    <row r="587" spans="1:30">
      <c r="A587">
        <v>585</v>
      </c>
      <c r="B587" t="s">
        <v>1240</v>
      </c>
      <c r="C587" t="s">
        <v>1241</v>
      </c>
      <c r="D587" t="str">
        <f>IF(VLOOKUP(C587,'Capabilities Overview'!$A$2:$A$587,1)=C587,"","Not in UCL")</f>
        <v/>
      </c>
      <c r="E587" t="s">
        <v>1</v>
      </c>
      <c r="F587" t="s">
        <v>1</v>
      </c>
      <c r="G587" t="s">
        <v>1</v>
      </c>
      <c r="H587" t="s">
        <v>275</v>
      </c>
      <c r="I587" t="s">
        <v>275</v>
      </c>
      <c r="J587" t="s">
        <v>275</v>
      </c>
      <c r="K587" t="s">
        <v>275</v>
      </c>
      <c r="L587" t="s">
        <v>275</v>
      </c>
      <c r="M587" t="s">
        <v>1</v>
      </c>
      <c r="N587" t="s">
        <v>1</v>
      </c>
      <c r="O587" t="s">
        <v>1</v>
      </c>
      <c r="P587" t="s">
        <v>275</v>
      </c>
      <c r="Q587" t="s">
        <v>1</v>
      </c>
      <c r="R587" t="s">
        <v>275</v>
      </c>
      <c r="S587" t="s">
        <v>275</v>
      </c>
      <c r="T587" t="s">
        <v>275</v>
      </c>
      <c r="U587" t="s">
        <v>275</v>
      </c>
      <c r="V587" t="s">
        <v>275</v>
      </c>
      <c r="W587" t="s">
        <v>275</v>
      </c>
      <c r="X587" t="s">
        <v>275</v>
      </c>
      <c r="Y587" t="s">
        <v>275</v>
      </c>
      <c r="Z587" t="s">
        <v>275</v>
      </c>
      <c r="AA587" t="s">
        <v>275</v>
      </c>
      <c r="AB587" t="s">
        <v>275</v>
      </c>
      <c r="AC587" t="s">
        <v>275</v>
      </c>
      <c r="AD587" t="s">
        <v>275</v>
      </c>
    </row>
    <row r="588" spans="1:30">
      <c r="A588">
        <v>586</v>
      </c>
      <c r="B588" t="s">
        <v>1118</v>
      </c>
      <c r="C588" t="s">
        <v>1242</v>
      </c>
      <c r="D588" t="str">
        <f>IF(VLOOKUP(C588,'Capabilities Overview'!$A$2:$A$587,1)=C588,"","Not in UCL")</f>
        <v/>
      </c>
      <c r="E588" t="s">
        <v>1</v>
      </c>
      <c r="F588" t="s">
        <v>1</v>
      </c>
      <c r="G588" t="s">
        <v>275</v>
      </c>
      <c r="H588" t="s">
        <v>275</v>
      </c>
      <c r="I588" t="s">
        <v>275</v>
      </c>
      <c r="J588" t="s">
        <v>275</v>
      </c>
      <c r="K588" t="s">
        <v>275</v>
      </c>
      <c r="L588" t="s">
        <v>275</v>
      </c>
      <c r="M588" t="s">
        <v>1</v>
      </c>
      <c r="N588" t="s">
        <v>1</v>
      </c>
      <c r="O588" t="s">
        <v>1</v>
      </c>
      <c r="P588" t="s">
        <v>275</v>
      </c>
      <c r="Q588" t="s">
        <v>1</v>
      </c>
      <c r="R588" t="s">
        <v>1</v>
      </c>
      <c r="S588" t="s">
        <v>275</v>
      </c>
      <c r="T588" t="s">
        <v>275</v>
      </c>
      <c r="U588" t="s">
        <v>275</v>
      </c>
      <c r="V588" t="s">
        <v>275</v>
      </c>
      <c r="W588" t="s">
        <v>275</v>
      </c>
      <c r="X588" t="s">
        <v>275</v>
      </c>
      <c r="Y588" t="s">
        <v>275</v>
      </c>
      <c r="Z588" t="s">
        <v>275</v>
      </c>
      <c r="AA588" t="s">
        <v>275</v>
      </c>
      <c r="AB588" t="s">
        <v>275</v>
      </c>
      <c r="AC588" t="s">
        <v>275</v>
      </c>
      <c r="AD588" t="s">
        <v>275</v>
      </c>
    </row>
    <row r="589" spans="1:30">
      <c r="A589">
        <v>587</v>
      </c>
      <c r="B589" t="s">
        <v>1120</v>
      </c>
      <c r="C589" t="s">
        <v>1243</v>
      </c>
      <c r="D589" t="str">
        <f>IF(VLOOKUP(C589,'Capabilities Overview'!$A$2:$A$587,1)=C589,"","Not in UCL")</f>
        <v/>
      </c>
      <c r="E589" t="s">
        <v>1</v>
      </c>
      <c r="F589" t="s">
        <v>1</v>
      </c>
      <c r="G589" t="s">
        <v>275</v>
      </c>
      <c r="H589" t="s">
        <v>275</v>
      </c>
      <c r="I589" t="s">
        <v>275</v>
      </c>
      <c r="J589" t="s">
        <v>275</v>
      </c>
      <c r="K589" t="s">
        <v>275</v>
      </c>
      <c r="L589" t="s">
        <v>275</v>
      </c>
      <c r="M589" t="s">
        <v>1</v>
      </c>
      <c r="N589" t="s">
        <v>1</v>
      </c>
      <c r="O589" t="s">
        <v>1</v>
      </c>
      <c r="P589" t="s">
        <v>275</v>
      </c>
      <c r="Q589" t="s">
        <v>1</v>
      </c>
      <c r="R589" t="s">
        <v>275</v>
      </c>
      <c r="S589" t="s">
        <v>275</v>
      </c>
      <c r="T589" t="s">
        <v>275</v>
      </c>
      <c r="U589" t="s">
        <v>275</v>
      </c>
      <c r="V589" t="s">
        <v>275</v>
      </c>
      <c r="W589" t="s">
        <v>275</v>
      </c>
      <c r="X589" t="s">
        <v>275</v>
      </c>
      <c r="Y589" t="s">
        <v>275</v>
      </c>
      <c r="Z589" t="s">
        <v>275</v>
      </c>
      <c r="AA589" t="s">
        <v>275</v>
      </c>
      <c r="AB589" t="s">
        <v>275</v>
      </c>
      <c r="AC589" t="s">
        <v>275</v>
      </c>
      <c r="AD589" t="s">
        <v>275</v>
      </c>
    </row>
    <row r="590" spans="1:30">
      <c r="A590">
        <v>588</v>
      </c>
      <c r="B590" t="s">
        <v>1122</v>
      </c>
      <c r="C590" t="s">
        <v>1244</v>
      </c>
      <c r="D590" t="str">
        <f>IF(VLOOKUP(C590,'Capabilities Overview'!$A$2:$A$587,1)=C590,"","Not in UCL")</f>
        <v/>
      </c>
      <c r="E590" t="s">
        <v>1</v>
      </c>
      <c r="F590" t="s">
        <v>1</v>
      </c>
      <c r="G590" t="s">
        <v>275</v>
      </c>
      <c r="H590" t="s">
        <v>275</v>
      </c>
      <c r="I590" t="s">
        <v>275</v>
      </c>
      <c r="J590" t="s">
        <v>275</v>
      </c>
      <c r="K590" t="s">
        <v>275</v>
      </c>
      <c r="L590" t="s">
        <v>275</v>
      </c>
      <c r="M590" t="s">
        <v>1</v>
      </c>
      <c r="N590" t="s">
        <v>1</v>
      </c>
      <c r="O590" t="s">
        <v>1</v>
      </c>
      <c r="P590" t="s">
        <v>275</v>
      </c>
      <c r="Q590" t="s">
        <v>1</v>
      </c>
      <c r="R590" t="s">
        <v>1</v>
      </c>
      <c r="S590" t="s">
        <v>275</v>
      </c>
      <c r="T590" t="s">
        <v>275</v>
      </c>
      <c r="U590" t="s">
        <v>275</v>
      </c>
      <c r="V590" t="s">
        <v>275</v>
      </c>
      <c r="W590" t="s">
        <v>275</v>
      </c>
      <c r="X590" t="s">
        <v>275</v>
      </c>
      <c r="Y590" t="s">
        <v>275</v>
      </c>
      <c r="Z590" t="s">
        <v>275</v>
      </c>
      <c r="AA590" t="s">
        <v>275</v>
      </c>
      <c r="AB590" t="s">
        <v>275</v>
      </c>
      <c r="AC590" t="s">
        <v>275</v>
      </c>
      <c r="AD590" t="s">
        <v>275</v>
      </c>
    </row>
    <row r="591" spans="1:30">
      <c r="A591">
        <v>589</v>
      </c>
      <c r="B591" t="s">
        <v>1124</v>
      </c>
      <c r="C591" t="s">
        <v>1245</v>
      </c>
      <c r="D591" t="str">
        <f>IF(VLOOKUP(C591,'Capabilities Overview'!$A$2:$A$587,1)=C591,"","Not in UCL")</f>
        <v/>
      </c>
      <c r="E591" t="s">
        <v>1</v>
      </c>
      <c r="F591" t="s">
        <v>1</v>
      </c>
      <c r="G591" t="s">
        <v>275</v>
      </c>
      <c r="H591" t="s">
        <v>275</v>
      </c>
      <c r="I591" t="s">
        <v>275</v>
      </c>
      <c r="J591" t="s">
        <v>275</v>
      </c>
      <c r="K591" t="s">
        <v>275</v>
      </c>
      <c r="L591" t="s">
        <v>275</v>
      </c>
      <c r="M591" t="s">
        <v>1</v>
      </c>
      <c r="N591" t="s">
        <v>1</v>
      </c>
      <c r="O591" t="s">
        <v>1</v>
      </c>
      <c r="P591" t="s">
        <v>275</v>
      </c>
      <c r="Q591" t="s">
        <v>1</v>
      </c>
      <c r="R591" t="s">
        <v>275</v>
      </c>
      <c r="S591" t="s">
        <v>275</v>
      </c>
      <c r="T591" t="s">
        <v>275</v>
      </c>
      <c r="U591" t="s">
        <v>275</v>
      </c>
      <c r="V591" t="s">
        <v>275</v>
      </c>
      <c r="W591" t="s">
        <v>275</v>
      </c>
      <c r="X591" t="s">
        <v>275</v>
      </c>
      <c r="Y591" t="s">
        <v>275</v>
      </c>
      <c r="Z591" t="s">
        <v>275</v>
      </c>
      <c r="AA591" t="s">
        <v>275</v>
      </c>
      <c r="AB591" t="s">
        <v>275</v>
      </c>
      <c r="AC591" t="s">
        <v>275</v>
      </c>
      <c r="AD591" t="s">
        <v>275</v>
      </c>
    </row>
    <row r="592" spans="1:30">
      <c r="A592">
        <v>590</v>
      </c>
      <c r="B592" t="s">
        <v>1126</v>
      </c>
      <c r="C592" t="s">
        <v>1246</v>
      </c>
      <c r="D592" t="str">
        <f>IF(VLOOKUP(C592,'Capabilities Overview'!$A$2:$A$587,1)=C592,"","Not in UCL")</f>
        <v/>
      </c>
      <c r="E592" t="s">
        <v>1</v>
      </c>
      <c r="F592" t="s">
        <v>1</v>
      </c>
      <c r="G592" t="s">
        <v>275</v>
      </c>
      <c r="H592" t="s">
        <v>275</v>
      </c>
      <c r="I592" t="s">
        <v>275</v>
      </c>
      <c r="J592" t="s">
        <v>275</v>
      </c>
      <c r="K592" t="s">
        <v>275</v>
      </c>
      <c r="L592" t="s">
        <v>275</v>
      </c>
      <c r="M592" t="s">
        <v>1</v>
      </c>
      <c r="N592" t="s">
        <v>1</v>
      </c>
      <c r="O592" t="s">
        <v>1</v>
      </c>
      <c r="P592" t="s">
        <v>275</v>
      </c>
      <c r="Q592" t="s">
        <v>1</v>
      </c>
      <c r="R592" t="s">
        <v>275</v>
      </c>
      <c r="S592" t="s">
        <v>275</v>
      </c>
      <c r="T592" t="s">
        <v>275</v>
      </c>
      <c r="U592" t="s">
        <v>275</v>
      </c>
      <c r="V592" t="s">
        <v>275</v>
      </c>
      <c r="W592" t="s">
        <v>275</v>
      </c>
      <c r="X592" t="s">
        <v>275</v>
      </c>
      <c r="Y592" t="s">
        <v>275</v>
      </c>
      <c r="Z592" t="s">
        <v>275</v>
      </c>
      <c r="AA592" t="s">
        <v>275</v>
      </c>
      <c r="AB592" t="s">
        <v>275</v>
      </c>
      <c r="AC592" t="s">
        <v>275</v>
      </c>
      <c r="AD592" t="s">
        <v>275</v>
      </c>
    </row>
    <row r="593" spans="1:30">
      <c r="A593">
        <v>591</v>
      </c>
      <c r="B593" t="s">
        <v>1128</v>
      </c>
      <c r="C593" t="s">
        <v>1247</v>
      </c>
      <c r="D593" t="str">
        <f>IF(VLOOKUP(C593,'Capabilities Overview'!$A$2:$A$587,1)=C593,"","Not in UCL")</f>
        <v/>
      </c>
      <c r="E593" t="s">
        <v>1</v>
      </c>
      <c r="F593" t="s">
        <v>1</v>
      </c>
      <c r="G593" t="s">
        <v>275</v>
      </c>
      <c r="H593" t="s">
        <v>275</v>
      </c>
      <c r="I593" t="s">
        <v>275</v>
      </c>
      <c r="J593" t="s">
        <v>275</v>
      </c>
      <c r="K593" t="s">
        <v>275</v>
      </c>
      <c r="L593" t="s">
        <v>275</v>
      </c>
      <c r="M593" t="s">
        <v>1</v>
      </c>
      <c r="N593" t="s">
        <v>1</v>
      </c>
      <c r="O593" t="s">
        <v>1</v>
      </c>
      <c r="P593" t="s">
        <v>275</v>
      </c>
      <c r="Q593" t="s">
        <v>1</v>
      </c>
      <c r="R593" t="s">
        <v>1</v>
      </c>
      <c r="S593" t="s">
        <v>275</v>
      </c>
      <c r="T593" t="s">
        <v>275</v>
      </c>
      <c r="U593" t="s">
        <v>275</v>
      </c>
      <c r="V593" t="s">
        <v>275</v>
      </c>
      <c r="W593" t="s">
        <v>275</v>
      </c>
      <c r="X593" t="s">
        <v>275</v>
      </c>
      <c r="Y593" t="s">
        <v>275</v>
      </c>
      <c r="Z593" t="s">
        <v>275</v>
      </c>
      <c r="AA593" t="s">
        <v>275</v>
      </c>
      <c r="AB593" t="s">
        <v>275</v>
      </c>
      <c r="AC593" t="s">
        <v>275</v>
      </c>
      <c r="AD593" t="s">
        <v>275</v>
      </c>
    </row>
    <row r="594" spans="1:30">
      <c r="A594">
        <v>592</v>
      </c>
      <c r="B594" t="s">
        <v>1130</v>
      </c>
      <c r="C594" t="s">
        <v>1248</v>
      </c>
      <c r="D594" t="str">
        <f>IF(VLOOKUP(C594,'Capabilities Overview'!$A$2:$A$587,1)=C594,"","Not in UCL")</f>
        <v/>
      </c>
      <c r="E594" t="s">
        <v>1</v>
      </c>
      <c r="F594" t="s">
        <v>1</v>
      </c>
      <c r="G594" t="s">
        <v>275</v>
      </c>
      <c r="H594" t="s">
        <v>275</v>
      </c>
      <c r="I594" t="s">
        <v>275</v>
      </c>
      <c r="J594" t="s">
        <v>275</v>
      </c>
      <c r="K594" t="s">
        <v>275</v>
      </c>
      <c r="L594" t="s">
        <v>275</v>
      </c>
      <c r="M594" t="s">
        <v>1</v>
      </c>
      <c r="N594" t="s">
        <v>1</v>
      </c>
      <c r="O594" t="s">
        <v>1</v>
      </c>
      <c r="P594" t="s">
        <v>275</v>
      </c>
      <c r="Q594" t="s">
        <v>1</v>
      </c>
      <c r="R594" t="s">
        <v>275</v>
      </c>
      <c r="S594" t="s">
        <v>275</v>
      </c>
      <c r="T594" t="s">
        <v>275</v>
      </c>
      <c r="U594" t="s">
        <v>275</v>
      </c>
      <c r="V594" t="s">
        <v>275</v>
      </c>
      <c r="W594" t="s">
        <v>275</v>
      </c>
      <c r="X594" t="s">
        <v>275</v>
      </c>
      <c r="Y594" t="s">
        <v>275</v>
      </c>
      <c r="Z594" t="s">
        <v>275</v>
      </c>
      <c r="AA594" t="s">
        <v>275</v>
      </c>
      <c r="AB594" t="s">
        <v>275</v>
      </c>
      <c r="AC594" t="s">
        <v>275</v>
      </c>
      <c r="AD594" t="s">
        <v>275</v>
      </c>
    </row>
    <row r="595" spans="1:30">
      <c r="A595">
        <v>593</v>
      </c>
      <c r="B595" t="s">
        <v>1132</v>
      </c>
      <c r="C595" t="s">
        <v>1249</v>
      </c>
      <c r="D595" t="str">
        <f>IF(VLOOKUP(C595,'Capabilities Overview'!$A$2:$A$587,1)=C595,"","Not in UCL")</f>
        <v/>
      </c>
      <c r="E595" t="s">
        <v>1</v>
      </c>
      <c r="F595" t="s">
        <v>1</v>
      </c>
      <c r="G595" t="s">
        <v>275</v>
      </c>
      <c r="H595" t="s">
        <v>275</v>
      </c>
      <c r="I595" t="s">
        <v>275</v>
      </c>
      <c r="J595" t="s">
        <v>275</v>
      </c>
      <c r="K595" t="s">
        <v>275</v>
      </c>
      <c r="L595" t="s">
        <v>275</v>
      </c>
      <c r="M595" t="s">
        <v>1</v>
      </c>
      <c r="N595" t="s">
        <v>1</v>
      </c>
      <c r="O595" t="s">
        <v>1</v>
      </c>
      <c r="P595" t="s">
        <v>275</v>
      </c>
      <c r="Q595" t="s">
        <v>1</v>
      </c>
      <c r="R595" t="s">
        <v>275</v>
      </c>
      <c r="S595" t="s">
        <v>275</v>
      </c>
      <c r="T595" t="s">
        <v>275</v>
      </c>
      <c r="U595" t="s">
        <v>275</v>
      </c>
      <c r="V595" t="s">
        <v>275</v>
      </c>
      <c r="W595" t="s">
        <v>275</v>
      </c>
      <c r="X595" t="s">
        <v>275</v>
      </c>
      <c r="Y595" t="s">
        <v>275</v>
      </c>
      <c r="Z595" t="s">
        <v>275</v>
      </c>
      <c r="AA595" t="s">
        <v>275</v>
      </c>
      <c r="AB595" t="s">
        <v>275</v>
      </c>
      <c r="AC595" t="s">
        <v>275</v>
      </c>
      <c r="AD595" t="s">
        <v>275</v>
      </c>
    </row>
    <row r="596" spans="1:30">
      <c r="A596">
        <v>594</v>
      </c>
      <c r="B596" t="s">
        <v>1134</v>
      </c>
      <c r="C596" t="s">
        <v>1250</v>
      </c>
      <c r="D596" t="str">
        <f>IF(VLOOKUP(C596,'Capabilities Overview'!$A$2:$A$587,1)=C596,"","Not in UCL")</f>
        <v/>
      </c>
      <c r="E596" t="s">
        <v>1</v>
      </c>
      <c r="F596" t="s">
        <v>1</v>
      </c>
      <c r="G596" t="s">
        <v>275</v>
      </c>
      <c r="H596" t="s">
        <v>275</v>
      </c>
      <c r="I596" t="s">
        <v>275</v>
      </c>
      <c r="J596" t="s">
        <v>275</v>
      </c>
      <c r="K596" t="s">
        <v>275</v>
      </c>
      <c r="L596" t="s">
        <v>275</v>
      </c>
      <c r="M596" t="s">
        <v>1</v>
      </c>
      <c r="N596" t="s">
        <v>1</v>
      </c>
      <c r="O596" t="s">
        <v>1</v>
      </c>
      <c r="P596" t="s">
        <v>275</v>
      </c>
      <c r="Q596" t="s">
        <v>1</v>
      </c>
      <c r="R596" t="s">
        <v>275</v>
      </c>
      <c r="S596" t="s">
        <v>275</v>
      </c>
      <c r="T596" t="s">
        <v>275</v>
      </c>
      <c r="U596" t="s">
        <v>275</v>
      </c>
      <c r="V596" t="s">
        <v>275</v>
      </c>
      <c r="W596" t="s">
        <v>275</v>
      </c>
      <c r="X596" t="s">
        <v>275</v>
      </c>
      <c r="Y596" t="s">
        <v>275</v>
      </c>
      <c r="Z596" t="s">
        <v>275</v>
      </c>
      <c r="AA596" t="s">
        <v>275</v>
      </c>
      <c r="AB596" t="s">
        <v>275</v>
      </c>
      <c r="AC596" t="s">
        <v>275</v>
      </c>
      <c r="AD596" t="s">
        <v>275</v>
      </c>
    </row>
    <row r="597" spans="1:30">
      <c r="A597">
        <v>595</v>
      </c>
      <c r="B597" t="s">
        <v>1136</v>
      </c>
      <c r="C597" t="s">
        <v>1251</v>
      </c>
      <c r="D597" t="str">
        <f>IF(VLOOKUP(C597,'Capabilities Overview'!$A$2:$A$587,1)=C597,"","Not in UCL")</f>
        <v/>
      </c>
      <c r="E597" t="s">
        <v>1</v>
      </c>
      <c r="F597" t="s">
        <v>1</v>
      </c>
      <c r="G597" t="s">
        <v>275</v>
      </c>
      <c r="H597" t="s">
        <v>275</v>
      </c>
      <c r="I597" t="s">
        <v>275</v>
      </c>
      <c r="J597" t="s">
        <v>275</v>
      </c>
      <c r="K597" t="s">
        <v>275</v>
      </c>
      <c r="L597" t="s">
        <v>275</v>
      </c>
      <c r="M597" t="s">
        <v>1</v>
      </c>
      <c r="N597" t="s">
        <v>1</v>
      </c>
      <c r="O597" t="s">
        <v>1</v>
      </c>
      <c r="P597" t="s">
        <v>275</v>
      </c>
      <c r="Q597" t="s">
        <v>1</v>
      </c>
      <c r="R597" t="s">
        <v>275</v>
      </c>
      <c r="S597" t="s">
        <v>275</v>
      </c>
      <c r="T597" t="s">
        <v>275</v>
      </c>
      <c r="U597" t="s">
        <v>275</v>
      </c>
      <c r="V597" t="s">
        <v>275</v>
      </c>
      <c r="W597" t="s">
        <v>275</v>
      </c>
      <c r="X597" t="s">
        <v>275</v>
      </c>
      <c r="Y597" t="s">
        <v>275</v>
      </c>
      <c r="Z597" t="s">
        <v>275</v>
      </c>
      <c r="AA597" t="s">
        <v>275</v>
      </c>
      <c r="AB597" t="s">
        <v>275</v>
      </c>
      <c r="AC597" t="s">
        <v>275</v>
      </c>
      <c r="AD597" t="s">
        <v>275</v>
      </c>
    </row>
    <row r="598" spans="1:30">
      <c r="A598">
        <v>596</v>
      </c>
      <c r="B598" t="s">
        <v>1138</v>
      </c>
      <c r="C598" t="s">
        <v>1252</v>
      </c>
      <c r="D598" t="str">
        <f>IF(VLOOKUP(C598,'Capabilities Overview'!$A$2:$A$587,1)=C598,"","Not in UCL")</f>
        <v/>
      </c>
      <c r="E598" t="s">
        <v>1</v>
      </c>
      <c r="F598" t="s">
        <v>1</v>
      </c>
      <c r="G598" t="s">
        <v>275</v>
      </c>
      <c r="H598" t="s">
        <v>275</v>
      </c>
      <c r="I598" t="s">
        <v>275</v>
      </c>
      <c r="J598" t="s">
        <v>275</v>
      </c>
      <c r="K598" t="s">
        <v>275</v>
      </c>
      <c r="L598" t="s">
        <v>275</v>
      </c>
      <c r="M598" t="s">
        <v>1</v>
      </c>
      <c r="N598" t="s">
        <v>1</v>
      </c>
      <c r="O598" t="s">
        <v>1</v>
      </c>
      <c r="P598" t="s">
        <v>275</v>
      </c>
      <c r="Q598" t="s">
        <v>1</v>
      </c>
      <c r="R598" t="s">
        <v>275</v>
      </c>
      <c r="S598" t="s">
        <v>275</v>
      </c>
      <c r="T598" t="s">
        <v>275</v>
      </c>
      <c r="U598" t="s">
        <v>275</v>
      </c>
      <c r="V598" t="s">
        <v>275</v>
      </c>
      <c r="W598" t="s">
        <v>275</v>
      </c>
      <c r="X598" t="s">
        <v>275</v>
      </c>
      <c r="Y598" t="s">
        <v>275</v>
      </c>
      <c r="Z598" t="s">
        <v>275</v>
      </c>
      <c r="AA598" t="s">
        <v>275</v>
      </c>
      <c r="AB598" t="s">
        <v>275</v>
      </c>
      <c r="AC598" t="s">
        <v>275</v>
      </c>
      <c r="AD598" t="s">
        <v>275</v>
      </c>
    </row>
    <row r="599" spans="1:30">
      <c r="A599">
        <v>597</v>
      </c>
      <c r="B599" t="s">
        <v>1140</v>
      </c>
      <c r="C599" t="s">
        <v>1253</v>
      </c>
      <c r="D599" t="str">
        <f>IF(VLOOKUP(C599,'Capabilities Overview'!$A$2:$A$587,1)=C599,"","Not in UCL")</f>
        <v/>
      </c>
      <c r="E599" t="s">
        <v>1</v>
      </c>
      <c r="F599" t="s">
        <v>1</v>
      </c>
      <c r="G599" t="s">
        <v>275</v>
      </c>
      <c r="H599" t="s">
        <v>275</v>
      </c>
      <c r="I599" t="s">
        <v>275</v>
      </c>
      <c r="J599" t="s">
        <v>275</v>
      </c>
      <c r="K599" t="s">
        <v>275</v>
      </c>
      <c r="L599" t="s">
        <v>275</v>
      </c>
      <c r="M599" t="s">
        <v>1</v>
      </c>
      <c r="N599" t="s">
        <v>1</v>
      </c>
      <c r="O599" t="s">
        <v>1</v>
      </c>
      <c r="P599" t="s">
        <v>275</v>
      </c>
      <c r="Q599" t="s">
        <v>1</v>
      </c>
      <c r="R599" t="s">
        <v>275</v>
      </c>
      <c r="S599" t="s">
        <v>275</v>
      </c>
      <c r="T599" t="s">
        <v>275</v>
      </c>
      <c r="U599" t="s">
        <v>275</v>
      </c>
      <c r="V599" t="s">
        <v>275</v>
      </c>
      <c r="W599" t="s">
        <v>275</v>
      </c>
      <c r="X599" t="s">
        <v>275</v>
      </c>
      <c r="Y599" t="s">
        <v>275</v>
      </c>
      <c r="Z599" t="s">
        <v>275</v>
      </c>
      <c r="AA599" t="s">
        <v>275</v>
      </c>
      <c r="AB599" t="s">
        <v>275</v>
      </c>
      <c r="AC599" t="s">
        <v>275</v>
      </c>
      <c r="AD599" t="s">
        <v>275</v>
      </c>
    </row>
    <row r="600" spans="1:30">
      <c r="A600">
        <v>598</v>
      </c>
      <c r="B600" t="s">
        <v>1142</v>
      </c>
      <c r="C600" t="s">
        <v>1254</v>
      </c>
      <c r="D600" t="str">
        <f>IF(VLOOKUP(C600,'Capabilities Overview'!$A$2:$A$587,1)=C600,"","Not in UCL")</f>
        <v/>
      </c>
      <c r="E600" t="s">
        <v>1</v>
      </c>
      <c r="F600" t="s">
        <v>1</v>
      </c>
      <c r="G600" t="s">
        <v>275</v>
      </c>
      <c r="H600" t="s">
        <v>275</v>
      </c>
      <c r="I600" t="s">
        <v>275</v>
      </c>
      <c r="J600" t="s">
        <v>275</v>
      </c>
      <c r="K600" t="s">
        <v>275</v>
      </c>
      <c r="L600" t="s">
        <v>275</v>
      </c>
      <c r="M600" t="s">
        <v>1</v>
      </c>
      <c r="N600" t="s">
        <v>1</v>
      </c>
      <c r="O600" t="s">
        <v>1</v>
      </c>
      <c r="P600" t="s">
        <v>275</v>
      </c>
      <c r="Q600" t="s">
        <v>1</v>
      </c>
      <c r="R600" t="s">
        <v>1</v>
      </c>
      <c r="S600" t="s">
        <v>275</v>
      </c>
      <c r="T600" t="s">
        <v>275</v>
      </c>
      <c r="U600" t="s">
        <v>275</v>
      </c>
      <c r="V600" t="s">
        <v>275</v>
      </c>
      <c r="W600" t="s">
        <v>275</v>
      </c>
      <c r="X600" t="s">
        <v>275</v>
      </c>
      <c r="Y600" t="s">
        <v>275</v>
      </c>
      <c r="Z600" t="s">
        <v>275</v>
      </c>
      <c r="AA600" t="s">
        <v>275</v>
      </c>
      <c r="AB600" t="s">
        <v>275</v>
      </c>
      <c r="AC600" t="s">
        <v>275</v>
      </c>
      <c r="AD600" t="s">
        <v>275</v>
      </c>
    </row>
    <row r="601" spans="1:30">
      <c r="A601">
        <v>599</v>
      </c>
      <c r="B601" t="s">
        <v>1255</v>
      </c>
      <c r="C601" t="s">
        <v>1256</v>
      </c>
      <c r="D601" t="str">
        <f>IF(VLOOKUP(C601,'Capabilities Overview'!$A$2:$A$587,1)=C601,"","Not in UCL")</f>
        <v/>
      </c>
      <c r="E601" t="s">
        <v>1</v>
      </c>
      <c r="F601" t="s">
        <v>1</v>
      </c>
      <c r="G601" t="s">
        <v>275</v>
      </c>
      <c r="H601" t="s">
        <v>275</v>
      </c>
      <c r="I601" t="s">
        <v>275</v>
      </c>
      <c r="J601" t="s">
        <v>275</v>
      </c>
      <c r="K601" t="s">
        <v>275</v>
      </c>
      <c r="L601" t="s">
        <v>275</v>
      </c>
      <c r="M601" t="s">
        <v>1</v>
      </c>
      <c r="N601" t="s">
        <v>1</v>
      </c>
      <c r="O601" t="s">
        <v>1</v>
      </c>
      <c r="P601" t="s">
        <v>275</v>
      </c>
      <c r="Q601" t="s">
        <v>1</v>
      </c>
      <c r="R601" t="s">
        <v>275</v>
      </c>
      <c r="S601" t="s">
        <v>275</v>
      </c>
      <c r="T601" t="s">
        <v>275</v>
      </c>
      <c r="U601" t="s">
        <v>275</v>
      </c>
      <c r="V601" t="s">
        <v>275</v>
      </c>
      <c r="W601" t="s">
        <v>275</v>
      </c>
      <c r="X601" t="s">
        <v>275</v>
      </c>
      <c r="Y601" t="s">
        <v>275</v>
      </c>
      <c r="Z601" t="s">
        <v>275</v>
      </c>
      <c r="AA601" t="s">
        <v>275</v>
      </c>
      <c r="AB601" t="s">
        <v>275</v>
      </c>
      <c r="AC601" t="s">
        <v>275</v>
      </c>
      <c r="AD601" t="s">
        <v>275</v>
      </c>
    </row>
    <row r="602" spans="1:30">
      <c r="A602">
        <v>600</v>
      </c>
      <c r="B602" t="s">
        <v>1144</v>
      </c>
      <c r="C602" t="s">
        <v>1257</v>
      </c>
      <c r="D602" t="str">
        <f>IF(VLOOKUP(C602,'Capabilities Overview'!$A$2:$A$587,1)=C602,"","Not in UCL")</f>
        <v/>
      </c>
      <c r="E602" t="s">
        <v>1</v>
      </c>
      <c r="F602" t="s">
        <v>1</v>
      </c>
      <c r="G602" t="s">
        <v>275</v>
      </c>
      <c r="H602" t="s">
        <v>275</v>
      </c>
      <c r="I602" t="s">
        <v>275</v>
      </c>
      <c r="J602" t="s">
        <v>275</v>
      </c>
      <c r="K602" t="s">
        <v>275</v>
      </c>
      <c r="L602" t="s">
        <v>275</v>
      </c>
      <c r="M602" t="s">
        <v>1</v>
      </c>
      <c r="N602" t="s">
        <v>1</v>
      </c>
      <c r="O602" t="s">
        <v>1</v>
      </c>
      <c r="P602" t="s">
        <v>275</v>
      </c>
      <c r="Q602" t="s">
        <v>1</v>
      </c>
      <c r="R602" t="s">
        <v>275</v>
      </c>
      <c r="S602" t="s">
        <v>275</v>
      </c>
      <c r="T602" t="s">
        <v>275</v>
      </c>
      <c r="U602" t="s">
        <v>275</v>
      </c>
      <c r="V602" t="s">
        <v>275</v>
      </c>
      <c r="W602" t="s">
        <v>275</v>
      </c>
      <c r="X602" t="s">
        <v>275</v>
      </c>
      <c r="Y602" t="s">
        <v>275</v>
      </c>
      <c r="Z602" t="s">
        <v>275</v>
      </c>
      <c r="AA602" t="s">
        <v>275</v>
      </c>
      <c r="AB602" t="s">
        <v>275</v>
      </c>
      <c r="AC602" t="s">
        <v>275</v>
      </c>
      <c r="AD602" t="s">
        <v>275</v>
      </c>
    </row>
    <row r="603" spans="1:30">
      <c r="A603">
        <v>601</v>
      </c>
      <c r="B603" t="s">
        <v>1146</v>
      </c>
      <c r="C603" t="s">
        <v>1258</v>
      </c>
      <c r="D603" t="str">
        <f>IF(VLOOKUP(C603,'Capabilities Overview'!$A$2:$A$587,1)=C603,"","Not in UCL")</f>
        <v/>
      </c>
      <c r="E603" t="s">
        <v>1</v>
      </c>
      <c r="F603" t="s">
        <v>1</v>
      </c>
      <c r="G603" t="s">
        <v>275</v>
      </c>
      <c r="H603" t="s">
        <v>275</v>
      </c>
      <c r="I603" t="s">
        <v>275</v>
      </c>
      <c r="J603" t="s">
        <v>275</v>
      </c>
      <c r="K603" t="s">
        <v>275</v>
      </c>
      <c r="L603" t="s">
        <v>275</v>
      </c>
      <c r="M603" t="s">
        <v>1</v>
      </c>
      <c r="N603" t="s">
        <v>1</v>
      </c>
      <c r="O603" t="s">
        <v>1</v>
      </c>
      <c r="P603" t="s">
        <v>275</v>
      </c>
      <c r="Q603" t="s">
        <v>1</v>
      </c>
      <c r="R603" t="s">
        <v>1</v>
      </c>
      <c r="S603" t="s">
        <v>275</v>
      </c>
      <c r="T603" t="s">
        <v>275</v>
      </c>
      <c r="U603" t="s">
        <v>275</v>
      </c>
      <c r="V603" t="s">
        <v>275</v>
      </c>
      <c r="W603" t="s">
        <v>275</v>
      </c>
      <c r="X603" t="s">
        <v>275</v>
      </c>
      <c r="Y603" t="s">
        <v>275</v>
      </c>
      <c r="Z603" t="s">
        <v>275</v>
      </c>
      <c r="AA603" t="s">
        <v>275</v>
      </c>
      <c r="AB603" t="s">
        <v>275</v>
      </c>
      <c r="AC603" t="s">
        <v>275</v>
      </c>
      <c r="AD603" t="s">
        <v>275</v>
      </c>
    </row>
    <row r="604" spans="1:30">
      <c r="A604">
        <v>602</v>
      </c>
      <c r="B604" t="s">
        <v>144</v>
      </c>
      <c r="C604" t="s">
        <v>1259</v>
      </c>
      <c r="D604" t="str">
        <f>IF(VLOOKUP(C604,'Capabilities Overview'!$A$2:$A$587,1)=C604,"","Not in UCL")</f>
        <v/>
      </c>
      <c r="E604" t="s">
        <v>1</v>
      </c>
      <c r="F604" t="s">
        <v>1</v>
      </c>
      <c r="G604" t="s">
        <v>275</v>
      </c>
      <c r="H604" t="s">
        <v>275</v>
      </c>
      <c r="I604" t="s">
        <v>275</v>
      </c>
      <c r="J604" t="s">
        <v>275</v>
      </c>
      <c r="K604" t="s">
        <v>275</v>
      </c>
      <c r="L604" t="s">
        <v>275</v>
      </c>
      <c r="M604" t="s">
        <v>1</v>
      </c>
      <c r="N604" t="s">
        <v>1</v>
      </c>
      <c r="O604" t="s">
        <v>1</v>
      </c>
      <c r="P604" t="s">
        <v>275</v>
      </c>
      <c r="Q604" t="s">
        <v>1</v>
      </c>
      <c r="R604" t="s">
        <v>275</v>
      </c>
      <c r="S604" t="s">
        <v>275</v>
      </c>
      <c r="T604" t="s">
        <v>275</v>
      </c>
      <c r="U604" t="s">
        <v>275</v>
      </c>
      <c r="V604" t="s">
        <v>275</v>
      </c>
      <c r="W604" t="s">
        <v>275</v>
      </c>
      <c r="X604" t="s">
        <v>275</v>
      </c>
      <c r="Y604" t="s">
        <v>275</v>
      </c>
      <c r="Z604" t="s">
        <v>275</v>
      </c>
      <c r="AA604" t="s">
        <v>275</v>
      </c>
      <c r="AB604" t="s">
        <v>275</v>
      </c>
      <c r="AC604" t="s">
        <v>275</v>
      </c>
      <c r="AD604" t="s">
        <v>275</v>
      </c>
    </row>
    <row r="605" spans="1:30">
      <c r="A605">
        <v>603</v>
      </c>
      <c r="B605" t="s">
        <v>146</v>
      </c>
      <c r="C605" t="s">
        <v>1260</v>
      </c>
      <c r="D605" t="str">
        <f>IF(VLOOKUP(C605,'Capabilities Overview'!$A$2:$A$587,1)=C605,"","Not in UCL")</f>
        <v/>
      </c>
      <c r="E605" t="s">
        <v>1</v>
      </c>
      <c r="F605" t="s">
        <v>1</v>
      </c>
      <c r="G605" t="s">
        <v>275</v>
      </c>
      <c r="H605" t="s">
        <v>275</v>
      </c>
      <c r="I605" t="s">
        <v>275</v>
      </c>
      <c r="J605" t="s">
        <v>275</v>
      </c>
      <c r="K605" t="s">
        <v>275</v>
      </c>
      <c r="L605" t="s">
        <v>275</v>
      </c>
      <c r="M605" t="s">
        <v>1</v>
      </c>
      <c r="N605" t="s">
        <v>1</v>
      </c>
      <c r="O605" t="s">
        <v>1</v>
      </c>
      <c r="P605" t="s">
        <v>275</v>
      </c>
      <c r="Q605" t="s">
        <v>1</v>
      </c>
      <c r="R605" t="s">
        <v>275</v>
      </c>
      <c r="S605" t="s">
        <v>275</v>
      </c>
      <c r="T605" t="s">
        <v>275</v>
      </c>
      <c r="U605" t="s">
        <v>275</v>
      </c>
      <c r="V605" t="s">
        <v>275</v>
      </c>
      <c r="W605" t="s">
        <v>275</v>
      </c>
      <c r="X605" t="s">
        <v>275</v>
      </c>
      <c r="Y605" t="s">
        <v>275</v>
      </c>
      <c r="Z605" t="s">
        <v>275</v>
      </c>
      <c r="AA605" t="s">
        <v>275</v>
      </c>
      <c r="AB605" t="s">
        <v>275</v>
      </c>
      <c r="AC605" t="s">
        <v>275</v>
      </c>
      <c r="AD605" t="s">
        <v>275</v>
      </c>
    </row>
    <row r="606" spans="1:30">
      <c r="A606">
        <v>604</v>
      </c>
      <c r="B606" t="s">
        <v>1150</v>
      </c>
      <c r="C606" t="s">
        <v>1261</v>
      </c>
      <c r="D606" t="str">
        <f>IF(VLOOKUP(C606,'Capabilities Overview'!$A$2:$A$587,1)=C606,"","Not in UCL")</f>
        <v/>
      </c>
      <c r="E606" t="s">
        <v>1</v>
      </c>
      <c r="F606" t="s">
        <v>1</v>
      </c>
      <c r="G606" t="s">
        <v>275</v>
      </c>
      <c r="H606" t="s">
        <v>275</v>
      </c>
      <c r="I606" t="s">
        <v>275</v>
      </c>
      <c r="J606" t="s">
        <v>275</v>
      </c>
      <c r="K606" t="s">
        <v>275</v>
      </c>
      <c r="L606" t="s">
        <v>275</v>
      </c>
      <c r="M606" t="s">
        <v>1</v>
      </c>
      <c r="N606" t="s">
        <v>1</v>
      </c>
      <c r="O606" t="s">
        <v>1</v>
      </c>
      <c r="P606" t="s">
        <v>275</v>
      </c>
      <c r="Q606" t="s">
        <v>1</v>
      </c>
      <c r="R606" t="s">
        <v>1</v>
      </c>
      <c r="S606" t="s">
        <v>1</v>
      </c>
      <c r="T606" t="s">
        <v>275</v>
      </c>
      <c r="U606" t="s">
        <v>1</v>
      </c>
      <c r="V606" t="s">
        <v>275</v>
      </c>
      <c r="W606" t="s">
        <v>1</v>
      </c>
      <c r="X606" t="s">
        <v>275</v>
      </c>
      <c r="Y606" t="s">
        <v>275</v>
      </c>
      <c r="Z606" t="s">
        <v>275</v>
      </c>
      <c r="AA606" t="s">
        <v>275</v>
      </c>
      <c r="AB606" t="s">
        <v>275</v>
      </c>
      <c r="AC606" t="s">
        <v>275</v>
      </c>
      <c r="AD606" t="s">
        <v>275</v>
      </c>
    </row>
    <row r="607" spans="1:30">
      <c r="A607">
        <v>605</v>
      </c>
      <c r="B607" t="s">
        <v>1262</v>
      </c>
      <c r="C607" t="s">
        <v>1263</v>
      </c>
      <c r="D607" t="str">
        <f>IF(VLOOKUP(C607,'Capabilities Overview'!$A$2:$A$587,1)=C607,"","Not in UCL")</f>
        <v/>
      </c>
      <c r="E607" t="s">
        <v>1</v>
      </c>
      <c r="F607" t="s">
        <v>1</v>
      </c>
      <c r="G607" t="s">
        <v>275</v>
      </c>
      <c r="H607" t="s">
        <v>275</v>
      </c>
      <c r="I607" t="s">
        <v>275</v>
      </c>
      <c r="J607" t="s">
        <v>275</v>
      </c>
      <c r="K607" t="s">
        <v>275</v>
      </c>
      <c r="L607" t="s">
        <v>275</v>
      </c>
      <c r="M607" t="s">
        <v>1</v>
      </c>
      <c r="N607" t="s">
        <v>1</v>
      </c>
      <c r="O607" t="s">
        <v>1</v>
      </c>
      <c r="P607" t="s">
        <v>275</v>
      </c>
      <c r="Q607" t="s">
        <v>41</v>
      </c>
      <c r="R607" t="s">
        <v>41</v>
      </c>
      <c r="S607" t="s">
        <v>10</v>
      </c>
      <c r="T607" t="s">
        <v>275</v>
      </c>
      <c r="U607" t="s">
        <v>275</v>
      </c>
      <c r="V607" t="s">
        <v>275</v>
      </c>
      <c r="W607" t="s">
        <v>10</v>
      </c>
      <c r="X607" t="s">
        <v>275</v>
      </c>
      <c r="Y607" t="s">
        <v>275</v>
      </c>
      <c r="Z607" t="s">
        <v>275</v>
      </c>
      <c r="AA607" t="s">
        <v>275</v>
      </c>
      <c r="AB607" t="s">
        <v>275</v>
      </c>
      <c r="AC607" t="s">
        <v>275</v>
      </c>
      <c r="AD607" t="s">
        <v>275</v>
      </c>
    </row>
    <row r="608" spans="1:30">
      <c r="A608">
        <v>606</v>
      </c>
      <c r="B608" t="s">
        <v>1152</v>
      </c>
      <c r="C608" t="s">
        <v>1264</v>
      </c>
      <c r="D608" t="str">
        <f>IF(VLOOKUP(C608,'Capabilities Overview'!$A$2:$A$587,1)=C608,"","Not in UCL")</f>
        <v/>
      </c>
      <c r="E608" t="s">
        <v>1</v>
      </c>
      <c r="F608" t="s">
        <v>1</v>
      </c>
      <c r="G608" t="s">
        <v>275</v>
      </c>
      <c r="H608" t="s">
        <v>275</v>
      </c>
      <c r="I608" t="s">
        <v>275</v>
      </c>
      <c r="J608" t="s">
        <v>275</v>
      </c>
      <c r="K608" t="s">
        <v>275</v>
      </c>
      <c r="L608" t="s">
        <v>275</v>
      </c>
      <c r="M608" t="s">
        <v>1</v>
      </c>
      <c r="N608" t="s">
        <v>1</v>
      </c>
      <c r="O608" t="s">
        <v>1</v>
      </c>
      <c r="P608" t="s">
        <v>275</v>
      </c>
      <c r="Q608" t="s">
        <v>1</v>
      </c>
      <c r="R608" t="s">
        <v>275</v>
      </c>
      <c r="S608" t="s">
        <v>275</v>
      </c>
      <c r="T608" t="s">
        <v>275</v>
      </c>
      <c r="U608" t="s">
        <v>275</v>
      </c>
      <c r="V608" t="s">
        <v>275</v>
      </c>
      <c r="W608" t="s">
        <v>275</v>
      </c>
      <c r="X608" t="s">
        <v>275</v>
      </c>
      <c r="Y608" t="s">
        <v>275</v>
      </c>
      <c r="Z608" t="s">
        <v>275</v>
      </c>
      <c r="AA608" t="s">
        <v>275</v>
      </c>
      <c r="AB608" t="s">
        <v>275</v>
      </c>
      <c r="AC608" t="s">
        <v>275</v>
      </c>
      <c r="AD608" t="s">
        <v>275</v>
      </c>
    </row>
    <row r="609" spans="1:30">
      <c r="A609">
        <v>607</v>
      </c>
      <c r="B609" t="s">
        <v>1265</v>
      </c>
      <c r="C609" t="s">
        <v>1266</v>
      </c>
      <c r="D609" t="str">
        <f>IF(VLOOKUP(C609,'Capabilities Overview'!$A$2:$A$587,1)=C609,"","Not in UCL")</f>
        <v/>
      </c>
      <c r="E609" t="s">
        <v>1</v>
      </c>
      <c r="F609" t="s">
        <v>1</v>
      </c>
      <c r="G609" t="s">
        <v>275</v>
      </c>
      <c r="H609" t="s">
        <v>275</v>
      </c>
      <c r="I609" t="s">
        <v>275</v>
      </c>
      <c r="J609" t="s">
        <v>275</v>
      </c>
      <c r="K609" t="s">
        <v>275</v>
      </c>
      <c r="L609" t="s">
        <v>275</v>
      </c>
      <c r="M609" t="s">
        <v>1</v>
      </c>
      <c r="N609" t="s">
        <v>1</v>
      </c>
      <c r="O609" t="s">
        <v>1</v>
      </c>
      <c r="P609" t="s">
        <v>275</v>
      </c>
      <c r="Q609" t="s">
        <v>1</v>
      </c>
      <c r="R609" t="s">
        <v>41</v>
      </c>
      <c r="S609" t="s">
        <v>10</v>
      </c>
      <c r="T609" t="s">
        <v>275</v>
      </c>
      <c r="U609" t="s">
        <v>275</v>
      </c>
      <c r="V609" t="s">
        <v>275</v>
      </c>
      <c r="W609" t="s">
        <v>10</v>
      </c>
      <c r="X609" t="s">
        <v>275</v>
      </c>
      <c r="Y609" t="s">
        <v>275</v>
      </c>
      <c r="Z609" t="s">
        <v>275</v>
      </c>
      <c r="AA609" t="s">
        <v>275</v>
      </c>
      <c r="AB609" t="s">
        <v>275</v>
      </c>
      <c r="AC609" t="s">
        <v>275</v>
      </c>
      <c r="AD609" t="s">
        <v>275</v>
      </c>
    </row>
    <row r="610" spans="1:30">
      <c r="A610">
        <v>608</v>
      </c>
      <c r="B610" t="s">
        <v>1154</v>
      </c>
      <c r="C610" t="s">
        <v>1267</v>
      </c>
      <c r="D610" t="str">
        <f>IF(VLOOKUP(C610,'Capabilities Overview'!$A$2:$A$587,1)=C610,"","Not in UCL")</f>
        <v/>
      </c>
      <c r="E610" t="s">
        <v>1</v>
      </c>
      <c r="F610" t="s">
        <v>1</v>
      </c>
      <c r="G610" t="s">
        <v>275</v>
      </c>
      <c r="H610" t="s">
        <v>275</v>
      </c>
      <c r="I610" t="s">
        <v>275</v>
      </c>
      <c r="J610" t="s">
        <v>275</v>
      </c>
      <c r="K610" t="s">
        <v>275</v>
      </c>
      <c r="L610" t="s">
        <v>275</v>
      </c>
      <c r="M610" t="s">
        <v>1</v>
      </c>
      <c r="N610" t="s">
        <v>1</v>
      </c>
      <c r="O610" t="s">
        <v>1</v>
      </c>
      <c r="P610" t="s">
        <v>275</v>
      </c>
      <c r="Q610" t="s">
        <v>1</v>
      </c>
      <c r="R610" t="s">
        <v>275</v>
      </c>
      <c r="S610" t="s">
        <v>275</v>
      </c>
      <c r="T610" t="s">
        <v>275</v>
      </c>
      <c r="U610" t="s">
        <v>275</v>
      </c>
      <c r="V610" t="s">
        <v>275</v>
      </c>
      <c r="W610" t="s">
        <v>275</v>
      </c>
      <c r="X610" t="s">
        <v>275</v>
      </c>
      <c r="Y610" t="s">
        <v>275</v>
      </c>
      <c r="Z610" t="s">
        <v>275</v>
      </c>
      <c r="AA610" t="s">
        <v>275</v>
      </c>
      <c r="AB610" t="s">
        <v>275</v>
      </c>
      <c r="AC610" t="s">
        <v>275</v>
      </c>
      <c r="AD610" t="s">
        <v>275</v>
      </c>
    </row>
    <row r="611" spans="1:30">
      <c r="A611">
        <v>609</v>
      </c>
      <c r="B611" t="s">
        <v>142</v>
      </c>
      <c r="C611" t="s">
        <v>1268</v>
      </c>
      <c r="D611" t="str">
        <f>IF(VLOOKUP(C611,'Capabilities Overview'!$A$2:$A$587,1)=C611,"","Not in UCL")</f>
        <v/>
      </c>
      <c r="E611" t="s">
        <v>1</v>
      </c>
      <c r="F611" t="s">
        <v>1</v>
      </c>
      <c r="G611" t="s">
        <v>275</v>
      </c>
      <c r="H611" t="s">
        <v>275</v>
      </c>
      <c r="I611" t="s">
        <v>275</v>
      </c>
      <c r="J611" t="s">
        <v>275</v>
      </c>
      <c r="K611" t="s">
        <v>275</v>
      </c>
      <c r="L611" t="s">
        <v>275</v>
      </c>
      <c r="M611" t="s">
        <v>1</v>
      </c>
      <c r="N611" t="s">
        <v>1</v>
      </c>
      <c r="O611" t="s">
        <v>1</v>
      </c>
      <c r="P611" t="s">
        <v>275</v>
      </c>
      <c r="Q611" t="s">
        <v>1</v>
      </c>
      <c r="R611" t="s">
        <v>1</v>
      </c>
      <c r="S611" t="s">
        <v>275</v>
      </c>
      <c r="T611" t="s">
        <v>275</v>
      </c>
      <c r="U611" t="s">
        <v>275</v>
      </c>
      <c r="V611" t="s">
        <v>275</v>
      </c>
      <c r="W611" t="s">
        <v>275</v>
      </c>
      <c r="X611" t="s">
        <v>275</v>
      </c>
      <c r="Y611" t="s">
        <v>275</v>
      </c>
      <c r="Z611" t="s">
        <v>275</v>
      </c>
      <c r="AA611" t="s">
        <v>275</v>
      </c>
      <c r="AB611" t="s">
        <v>275</v>
      </c>
      <c r="AC611" t="s">
        <v>275</v>
      </c>
      <c r="AD611" t="s">
        <v>275</v>
      </c>
    </row>
    <row r="612" spans="1:30">
      <c r="A612">
        <v>610</v>
      </c>
      <c r="B612" t="s">
        <v>1157</v>
      </c>
      <c r="C612" t="s">
        <v>1269</v>
      </c>
      <c r="D612" t="str">
        <f>IF(VLOOKUP(C612,'Capabilities Overview'!$A$2:$A$587,1)=C612,"","Not in UCL")</f>
        <v/>
      </c>
      <c r="E612" t="s">
        <v>1</v>
      </c>
      <c r="F612" t="s">
        <v>1</v>
      </c>
      <c r="G612" t="s">
        <v>275</v>
      </c>
      <c r="H612" t="s">
        <v>275</v>
      </c>
      <c r="I612" t="s">
        <v>275</v>
      </c>
      <c r="J612" t="s">
        <v>275</v>
      </c>
      <c r="K612" t="s">
        <v>275</v>
      </c>
      <c r="L612" t="s">
        <v>275</v>
      </c>
      <c r="M612" t="s">
        <v>1</v>
      </c>
      <c r="N612" t="s">
        <v>1</v>
      </c>
      <c r="O612" t="s">
        <v>1</v>
      </c>
      <c r="P612" t="s">
        <v>275</v>
      </c>
      <c r="Q612" t="s">
        <v>1</v>
      </c>
      <c r="R612" t="s">
        <v>275</v>
      </c>
      <c r="S612" t="s">
        <v>275</v>
      </c>
      <c r="T612" t="s">
        <v>275</v>
      </c>
      <c r="U612" t="s">
        <v>275</v>
      </c>
      <c r="V612" t="s">
        <v>275</v>
      </c>
      <c r="W612" t="s">
        <v>275</v>
      </c>
      <c r="X612" t="s">
        <v>275</v>
      </c>
      <c r="Y612" t="s">
        <v>275</v>
      </c>
      <c r="Z612" t="s">
        <v>275</v>
      </c>
      <c r="AA612" t="s">
        <v>275</v>
      </c>
      <c r="AB612" t="s">
        <v>275</v>
      </c>
      <c r="AC612" t="s">
        <v>275</v>
      </c>
      <c r="AD612" t="s">
        <v>275</v>
      </c>
    </row>
    <row r="613" spans="1:30">
      <c r="A613">
        <v>611</v>
      </c>
      <c r="B613" t="s">
        <v>160</v>
      </c>
      <c r="C613" t="s">
        <v>161</v>
      </c>
      <c r="D613" t="str">
        <f>IF(VLOOKUP(C613,'Capabilities Overview'!$A$2:$A$587,1)=C613,"","Not in UCL")</f>
        <v/>
      </c>
      <c r="E613" t="s">
        <v>1</v>
      </c>
      <c r="F613" t="s">
        <v>1</v>
      </c>
      <c r="G613" t="s">
        <v>275</v>
      </c>
      <c r="H613" t="s">
        <v>275</v>
      </c>
      <c r="I613" t="s">
        <v>1</v>
      </c>
      <c r="J613" t="s">
        <v>1</v>
      </c>
      <c r="K613" t="s">
        <v>1</v>
      </c>
      <c r="L613" t="s">
        <v>1</v>
      </c>
      <c r="M613" t="s">
        <v>1</v>
      </c>
      <c r="N613" t="s">
        <v>1</v>
      </c>
      <c r="O613" t="s">
        <v>275</v>
      </c>
      <c r="P613" t="s">
        <v>275</v>
      </c>
      <c r="Q613" t="s">
        <v>275</v>
      </c>
      <c r="R613" t="s">
        <v>275</v>
      </c>
      <c r="S613" t="s">
        <v>1</v>
      </c>
      <c r="T613" t="s">
        <v>1</v>
      </c>
      <c r="U613" t="s">
        <v>275</v>
      </c>
      <c r="V613" t="s">
        <v>275</v>
      </c>
      <c r="W613" t="s">
        <v>10</v>
      </c>
      <c r="X613" t="s">
        <v>275</v>
      </c>
      <c r="Y613" t="s">
        <v>275</v>
      </c>
      <c r="Z613" t="s">
        <v>275</v>
      </c>
      <c r="AA613" t="s">
        <v>275</v>
      </c>
      <c r="AB613" t="s">
        <v>275</v>
      </c>
      <c r="AC613" t="s">
        <v>275</v>
      </c>
      <c r="AD613" t="s">
        <v>1</v>
      </c>
    </row>
    <row r="614" spans="1:30">
      <c r="A614">
        <v>612</v>
      </c>
      <c r="B614" t="s">
        <v>1270</v>
      </c>
      <c r="C614" t="s">
        <v>1271</v>
      </c>
      <c r="D614" t="str">
        <f>IF(VLOOKUP(C614,'Capabilities Overview'!$A$2:$A$587,1)=C614,"","Not in UCL")</f>
        <v>Not in UCL</v>
      </c>
      <c r="E614" t="s">
        <v>275</v>
      </c>
      <c r="F614" t="s">
        <v>275</v>
      </c>
      <c r="G614" t="s">
        <v>275</v>
      </c>
      <c r="H614" t="s">
        <v>275</v>
      </c>
      <c r="I614" t="s">
        <v>275</v>
      </c>
      <c r="J614" t="s">
        <v>275</v>
      </c>
      <c r="K614" t="s">
        <v>275</v>
      </c>
      <c r="L614" t="s">
        <v>275</v>
      </c>
      <c r="M614" t="s">
        <v>1</v>
      </c>
      <c r="N614" t="s">
        <v>1</v>
      </c>
      <c r="O614" t="s">
        <v>1</v>
      </c>
      <c r="P614" t="s">
        <v>275</v>
      </c>
      <c r="Q614" t="s">
        <v>1</v>
      </c>
      <c r="R614" t="s">
        <v>1</v>
      </c>
      <c r="S614" t="s">
        <v>275</v>
      </c>
      <c r="T614" t="s">
        <v>275</v>
      </c>
      <c r="U614" t="s">
        <v>275</v>
      </c>
      <c r="V614" t="s">
        <v>275</v>
      </c>
      <c r="W614" t="s">
        <v>275</v>
      </c>
      <c r="X614" t="s">
        <v>275</v>
      </c>
      <c r="Y614" t="s">
        <v>275</v>
      </c>
      <c r="Z614" t="s">
        <v>275</v>
      </c>
      <c r="AA614" t="s">
        <v>275</v>
      </c>
      <c r="AB614" t="s">
        <v>275</v>
      </c>
      <c r="AC614" t="s">
        <v>275</v>
      </c>
      <c r="AD614" t="s">
        <v>275</v>
      </c>
    </row>
    <row r="615" spans="1:30">
      <c r="A615">
        <v>613</v>
      </c>
      <c r="B615" t="s">
        <v>1272</v>
      </c>
      <c r="C615" t="s">
        <v>1273</v>
      </c>
      <c r="D615" t="str">
        <f>IF(VLOOKUP(C615,'Capabilities Overview'!$A$2:$A$587,1)=C615,"","Not in UCL")</f>
        <v>Not in UCL</v>
      </c>
      <c r="E615" t="s">
        <v>1</v>
      </c>
      <c r="F615" t="s">
        <v>275</v>
      </c>
      <c r="G615" t="s">
        <v>275</v>
      </c>
      <c r="H615" t="s">
        <v>275</v>
      </c>
      <c r="I615" t="s">
        <v>275</v>
      </c>
      <c r="J615" t="s">
        <v>275</v>
      </c>
      <c r="K615" t="s">
        <v>275</v>
      </c>
      <c r="L615" t="s">
        <v>275</v>
      </c>
      <c r="M615" t="s">
        <v>1</v>
      </c>
      <c r="N615" t="s">
        <v>1</v>
      </c>
      <c r="O615" t="s">
        <v>1</v>
      </c>
      <c r="P615" t="s">
        <v>275</v>
      </c>
      <c r="Q615" t="s">
        <v>1</v>
      </c>
      <c r="R615" t="s">
        <v>275</v>
      </c>
      <c r="S615" t="s">
        <v>275</v>
      </c>
      <c r="T615" t="s">
        <v>275</v>
      </c>
      <c r="U615" t="s">
        <v>275</v>
      </c>
      <c r="V615" t="s">
        <v>275</v>
      </c>
      <c r="W615" t="s">
        <v>275</v>
      </c>
      <c r="X615" t="s">
        <v>275</v>
      </c>
      <c r="Y615" t="s">
        <v>275</v>
      </c>
      <c r="Z615" t="s">
        <v>275</v>
      </c>
      <c r="AA615" t="s">
        <v>275</v>
      </c>
      <c r="AB615" t="s">
        <v>275</v>
      </c>
      <c r="AC615" t="s">
        <v>275</v>
      </c>
      <c r="AD615" t="s">
        <v>275</v>
      </c>
    </row>
    <row r="616" spans="1:30">
      <c r="A616">
        <v>614</v>
      </c>
      <c r="B616" t="s">
        <v>1274</v>
      </c>
      <c r="C616" t="s">
        <v>1275</v>
      </c>
      <c r="D616" t="str">
        <f>IF(VLOOKUP(C616,'Capabilities Overview'!$A$2:$A$587,1)=C616,"","Not in UCL")</f>
        <v/>
      </c>
      <c r="E616" t="s">
        <v>1</v>
      </c>
      <c r="F616" t="s">
        <v>1</v>
      </c>
      <c r="G616" t="s">
        <v>275</v>
      </c>
      <c r="H616" t="s">
        <v>275</v>
      </c>
      <c r="I616" t="s">
        <v>1</v>
      </c>
      <c r="J616" t="s">
        <v>1</v>
      </c>
      <c r="K616" t="s">
        <v>1</v>
      </c>
      <c r="L616" t="s">
        <v>275</v>
      </c>
      <c r="M616" t="s">
        <v>1</v>
      </c>
      <c r="N616" t="s">
        <v>1</v>
      </c>
      <c r="O616" t="s">
        <v>1</v>
      </c>
      <c r="P616" t="s">
        <v>275</v>
      </c>
      <c r="Q616" t="s">
        <v>275</v>
      </c>
      <c r="R616" t="s">
        <v>275</v>
      </c>
      <c r="S616" t="s">
        <v>275</v>
      </c>
      <c r="T616" t="s">
        <v>275</v>
      </c>
      <c r="U616" t="s">
        <v>275</v>
      </c>
      <c r="V616" t="s">
        <v>275</v>
      </c>
      <c r="W616" t="s">
        <v>10</v>
      </c>
      <c r="X616" t="s">
        <v>275</v>
      </c>
      <c r="Y616" t="s">
        <v>275</v>
      </c>
      <c r="Z616" t="s">
        <v>275</v>
      </c>
      <c r="AA616" t="s">
        <v>275</v>
      </c>
      <c r="AB616" t="s">
        <v>275</v>
      </c>
      <c r="AC616" t="s">
        <v>275</v>
      </c>
      <c r="AD616" t="s">
        <v>275</v>
      </c>
    </row>
    <row r="617" spans="1:30">
      <c r="A617">
        <v>615</v>
      </c>
      <c r="B617" t="s">
        <v>1276</v>
      </c>
      <c r="C617" t="s">
        <v>1277</v>
      </c>
      <c r="D617" t="str">
        <f>IF(VLOOKUP(C617,'Capabilities Overview'!$A$2:$A$587,1)=C617,"","Not in UCL")</f>
        <v/>
      </c>
      <c r="E617" t="s">
        <v>1</v>
      </c>
      <c r="F617" t="s">
        <v>1</v>
      </c>
      <c r="G617" t="s">
        <v>275</v>
      </c>
      <c r="H617" t="s">
        <v>275</v>
      </c>
      <c r="I617" t="s">
        <v>1</v>
      </c>
      <c r="J617" t="s">
        <v>1</v>
      </c>
      <c r="K617" t="s">
        <v>1</v>
      </c>
      <c r="L617" t="s">
        <v>275</v>
      </c>
      <c r="M617" t="s">
        <v>1</v>
      </c>
      <c r="N617" t="s">
        <v>1</v>
      </c>
      <c r="O617" t="s">
        <v>1</v>
      </c>
      <c r="P617" t="s">
        <v>275</v>
      </c>
      <c r="Q617" t="s">
        <v>1</v>
      </c>
      <c r="R617" t="s">
        <v>275</v>
      </c>
      <c r="S617" t="s">
        <v>275</v>
      </c>
      <c r="T617" t="s">
        <v>275</v>
      </c>
      <c r="U617" t="s">
        <v>275</v>
      </c>
      <c r="V617" t="s">
        <v>275</v>
      </c>
      <c r="W617" t="s">
        <v>10</v>
      </c>
      <c r="X617" t="s">
        <v>275</v>
      </c>
      <c r="Y617" t="s">
        <v>275</v>
      </c>
      <c r="Z617" t="s">
        <v>275</v>
      </c>
      <c r="AA617" t="s">
        <v>275</v>
      </c>
      <c r="AB617" t="s">
        <v>275</v>
      </c>
      <c r="AC617" t="s">
        <v>275</v>
      </c>
      <c r="AD617" t="s">
        <v>275</v>
      </c>
    </row>
    <row r="618" spans="1:30">
      <c r="A618">
        <v>616</v>
      </c>
      <c r="B618" t="s">
        <v>1278</v>
      </c>
      <c r="C618" t="s">
        <v>1279</v>
      </c>
      <c r="D618" t="str">
        <f>IF(VLOOKUP(C618,'Capabilities Overview'!$A$2:$A$587,1)=C618,"","Not in UCL")</f>
        <v>Not in UCL</v>
      </c>
      <c r="E618" t="s">
        <v>1</v>
      </c>
      <c r="F618" t="s">
        <v>275</v>
      </c>
      <c r="G618" t="s">
        <v>275</v>
      </c>
      <c r="H618" t="s">
        <v>275</v>
      </c>
      <c r="I618" t="s">
        <v>275</v>
      </c>
      <c r="J618" t="s">
        <v>275</v>
      </c>
      <c r="K618" t="s">
        <v>275</v>
      </c>
      <c r="L618" t="s">
        <v>275</v>
      </c>
      <c r="M618" t="s">
        <v>1</v>
      </c>
      <c r="N618" t="s">
        <v>1</v>
      </c>
      <c r="O618" t="s">
        <v>1</v>
      </c>
      <c r="P618" t="s">
        <v>275</v>
      </c>
      <c r="Q618" t="s">
        <v>1</v>
      </c>
      <c r="R618" t="s">
        <v>1</v>
      </c>
      <c r="S618" t="s">
        <v>1</v>
      </c>
      <c r="T618" t="s">
        <v>275</v>
      </c>
      <c r="U618" t="s">
        <v>275</v>
      </c>
      <c r="V618" t="s">
        <v>275</v>
      </c>
      <c r="W618" t="s">
        <v>1</v>
      </c>
      <c r="X618" t="s">
        <v>275</v>
      </c>
      <c r="Y618" t="s">
        <v>275</v>
      </c>
      <c r="Z618" t="s">
        <v>275</v>
      </c>
      <c r="AA618" t="s">
        <v>275</v>
      </c>
      <c r="AB618" t="s">
        <v>275</v>
      </c>
      <c r="AC618" t="s">
        <v>275</v>
      </c>
      <c r="AD618" t="s">
        <v>275</v>
      </c>
    </row>
    <row r="619" spans="1:30">
      <c r="A619">
        <v>617</v>
      </c>
      <c r="B619" t="s">
        <v>1280</v>
      </c>
      <c r="C619" t="s">
        <v>1281</v>
      </c>
      <c r="D619" t="str">
        <f>IF(VLOOKUP(C619,'Capabilities Overview'!$A$2:$A$587,1)=C619,"","Not in UCL")</f>
        <v>Not in UCL</v>
      </c>
      <c r="E619" t="s">
        <v>1</v>
      </c>
      <c r="F619" t="s">
        <v>275</v>
      </c>
      <c r="G619" t="s">
        <v>275</v>
      </c>
      <c r="H619" t="s">
        <v>275</v>
      </c>
      <c r="I619" t="s">
        <v>275</v>
      </c>
      <c r="J619" t="s">
        <v>275</v>
      </c>
      <c r="K619" t="s">
        <v>275</v>
      </c>
      <c r="L619" t="s">
        <v>275</v>
      </c>
      <c r="M619" t="s">
        <v>1</v>
      </c>
      <c r="N619" t="s">
        <v>1</v>
      </c>
      <c r="O619" t="s">
        <v>1</v>
      </c>
      <c r="P619" t="s">
        <v>275</v>
      </c>
      <c r="Q619" t="s">
        <v>275</v>
      </c>
      <c r="R619" t="s">
        <v>275</v>
      </c>
      <c r="S619" t="s">
        <v>275</v>
      </c>
      <c r="T619" t="s">
        <v>275</v>
      </c>
      <c r="U619" t="s">
        <v>275</v>
      </c>
      <c r="V619" t="s">
        <v>275</v>
      </c>
      <c r="W619" t="s">
        <v>275</v>
      </c>
      <c r="X619" t="s">
        <v>275</v>
      </c>
      <c r="Y619" t="s">
        <v>275</v>
      </c>
      <c r="Z619" t="s">
        <v>275</v>
      </c>
      <c r="AA619" t="s">
        <v>275</v>
      </c>
      <c r="AB619" t="s">
        <v>275</v>
      </c>
      <c r="AC619" t="s">
        <v>275</v>
      </c>
      <c r="AD619" t="s">
        <v>275</v>
      </c>
    </row>
    <row r="620" spans="1:30">
      <c r="A620">
        <v>618</v>
      </c>
      <c r="B620" t="s">
        <v>1282</v>
      </c>
      <c r="C620" t="s">
        <v>1283</v>
      </c>
      <c r="D620" t="str">
        <f>IF(VLOOKUP(C620,'Capabilities Overview'!$A$2:$A$587,1)=C620,"","Not in UCL")</f>
        <v>Not in UCL</v>
      </c>
      <c r="E620" t="s">
        <v>1</v>
      </c>
      <c r="F620" t="s">
        <v>275</v>
      </c>
      <c r="G620" t="s">
        <v>275</v>
      </c>
      <c r="H620" t="s">
        <v>275</v>
      </c>
      <c r="I620" t="s">
        <v>275</v>
      </c>
      <c r="J620" t="s">
        <v>275</v>
      </c>
      <c r="K620" t="s">
        <v>275</v>
      </c>
      <c r="L620" t="s">
        <v>275</v>
      </c>
      <c r="M620" t="s">
        <v>1</v>
      </c>
      <c r="N620" t="s">
        <v>1</v>
      </c>
      <c r="O620" t="s">
        <v>1</v>
      </c>
      <c r="P620" t="s">
        <v>275</v>
      </c>
      <c r="Q620" t="s">
        <v>275</v>
      </c>
      <c r="R620" t="s">
        <v>275</v>
      </c>
      <c r="S620" t="s">
        <v>275</v>
      </c>
      <c r="T620" t="s">
        <v>275</v>
      </c>
      <c r="U620" t="s">
        <v>275</v>
      </c>
      <c r="V620" t="s">
        <v>275</v>
      </c>
      <c r="W620" t="s">
        <v>275</v>
      </c>
      <c r="X620" t="s">
        <v>275</v>
      </c>
      <c r="Y620" t="s">
        <v>275</v>
      </c>
      <c r="Z620" t="s">
        <v>275</v>
      </c>
      <c r="AA620" t="s">
        <v>275</v>
      </c>
      <c r="AB620" t="s">
        <v>275</v>
      </c>
      <c r="AC620" t="s">
        <v>275</v>
      </c>
      <c r="AD620" t="s">
        <v>275</v>
      </c>
    </row>
    <row r="621" spans="1:30">
      <c r="A621">
        <v>619</v>
      </c>
      <c r="B621" t="s">
        <v>1284</v>
      </c>
      <c r="C621" t="s">
        <v>1285</v>
      </c>
      <c r="D621" t="str">
        <f>IF(VLOOKUP(C621,'Capabilities Overview'!$A$2:$A$587,1)=C621,"","Not in UCL")</f>
        <v>Not in UCL</v>
      </c>
      <c r="E621" t="s">
        <v>1</v>
      </c>
      <c r="F621" t="s">
        <v>275</v>
      </c>
      <c r="G621" t="s">
        <v>275</v>
      </c>
      <c r="H621" t="s">
        <v>275</v>
      </c>
      <c r="I621" t="s">
        <v>275</v>
      </c>
      <c r="J621" t="s">
        <v>275</v>
      </c>
      <c r="K621" t="s">
        <v>275</v>
      </c>
      <c r="L621" t="s">
        <v>275</v>
      </c>
      <c r="M621" t="s">
        <v>1</v>
      </c>
      <c r="N621" t="s">
        <v>1</v>
      </c>
      <c r="O621" t="s">
        <v>1</v>
      </c>
      <c r="P621" t="s">
        <v>275</v>
      </c>
      <c r="Q621" t="s">
        <v>1</v>
      </c>
      <c r="R621" t="s">
        <v>1</v>
      </c>
      <c r="S621" t="s">
        <v>275</v>
      </c>
      <c r="T621" t="s">
        <v>275</v>
      </c>
      <c r="U621" t="s">
        <v>275</v>
      </c>
      <c r="V621" t="s">
        <v>275</v>
      </c>
      <c r="W621" t="s">
        <v>275</v>
      </c>
      <c r="X621" t="s">
        <v>275</v>
      </c>
      <c r="Y621" t="s">
        <v>275</v>
      </c>
      <c r="Z621" t="s">
        <v>275</v>
      </c>
      <c r="AA621" t="s">
        <v>275</v>
      </c>
      <c r="AB621" t="s">
        <v>275</v>
      </c>
      <c r="AC621" t="s">
        <v>275</v>
      </c>
      <c r="AD621" t="s">
        <v>275</v>
      </c>
    </row>
    <row r="622" spans="1:30">
      <c r="A622">
        <v>620</v>
      </c>
      <c r="B622" t="s">
        <v>1286</v>
      </c>
      <c r="C622" t="s">
        <v>1287</v>
      </c>
      <c r="D622" t="str">
        <f>IF(VLOOKUP(C622,'Capabilities Overview'!$A$2:$A$587,1)=C622,"","Not in UCL")</f>
        <v>Not in UCL</v>
      </c>
      <c r="E622" t="s">
        <v>1</v>
      </c>
      <c r="F622" t="s">
        <v>275</v>
      </c>
      <c r="G622" t="s">
        <v>275</v>
      </c>
      <c r="H622" t="s">
        <v>275</v>
      </c>
      <c r="I622" t="s">
        <v>275</v>
      </c>
      <c r="J622" t="s">
        <v>275</v>
      </c>
      <c r="K622" t="s">
        <v>275</v>
      </c>
      <c r="L622" t="s">
        <v>275</v>
      </c>
      <c r="M622" t="s">
        <v>1</v>
      </c>
      <c r="N622" t="s">
        <v>1</v>
      </c>
      <c r="O622" t="s">
        <v>1</v>
      </c>
      <c r="P622" t="s">
        <v>275</v>
      </c>
      <c r="Q622" t="s">
        <v>1</v>
      </c>
      <c r="R622" t="s">
        <v>1</v>
      </c>
      <c r="S622" t="s">
        <v>1</v>
      </c>
      <c r="T622" t="s">
        <v>275</v>
      </c>
      <c r="U622" t="s">
        <v>275</v>
      </c>
      <c r="V622" t="s">
        <v>275</v>
      </c>
      <c r="W622" t="s">
        <v>1</v>
      </c>
      <c r="X622" t="s">
        <v>275</v>
      </c>
      <c r="Y622" t="s">
        <v>275</v>
      </c>
      <c r="Z622" t="s">
        <v>275</v>
      </c>
      <c r="AA622" t="s">
        <v>275</v>
      </c>
      <c r="AB622" t="s">
        <v>275</v>
      </c>
      <c r="AC622" t="s">
        <v>275</v>
      </c>
      <c r="AD622" t="s">
        <v>275</v>
      </c>
    </row>
    <row r="623" spans="1:30">
      <c r="A623">
        <v>621</v>
      </c>
      <c r="B623" t="s">
        <v>1288</v>
      </c>
      <c r="C623" t="s">
        <v>1289</v>
      </c>
      <c r="D623" t="str">
        <f>IF(VLOOKUP(C623,'Capabilities Overview'!$A$2:$A$587,1)=C623,"","Not in UCL")</f>
        <v/>
      </c>
      <c r="E623" t="s">
        <v>1</v>
      </c>
      <c r="F623" t="s">
        <v>1</v>
      </c>
      <c r="G623" t="s">
        <v>275</v>
      </c>
      <c r="H623" t="s">
        <v>275</v>
      </c>
      <c r="I623" t="s">
        <v>275</v>
      </c>
      <c r="J623" t="s">
        <v>275</v>
      </c>
      <c r="K623" t="s">
        <v>275</v>
      </c>
      <c r="L623" t="s">
        <v>275</v>
      </c>
      <c r="M623" t="s">
        <v>1</v>
      </c>
      <c r="N623" t="s">
        <v>1</v>
      </c>
      <c r="O623" t="s">
        <v>1</v>
      </c>
      <c r="P623" t="s">
        <v>275</v>
      </c>
      <c r="Q623" t="s">
        <v>1</v>
      </c>
      <c r="R623" t="s">
        <v>275</v>
      </c>
      <c r="S623" t="s">
        <v>275</v>
      </c>
      <c r="T623" t="s">
        <v>275</v>
      </c>
      <c r="U623" t="s">
        <v>275</v>
      </c>
      <c r="V623" t="s">
        <v>275</v>
      </c>
      <c r="W623" t="s">
        <v>10</v>
      </c>
      <c r="X623" t="s">
        <v>275</v>
      </c>
      <c r="Y623" t="s">
        <v>275</v>
      </c>
      <c r="Z623" t="s">
        <v>275</v>
      </c>
      <c r="AA623" t="s">
        <v>275</v>
      </c>
      <c r="AB623" t="s">
        <v>275</v>
      </c>
      <c r="AC623" t="s">
        <v>275</v>
      </c>
      <c r="AD623" t="s">
        <v>275</v>
      </c>
    </row>
    <row r="624" spans="1:30">
      <c r="A624">
        <v>622</v>
      </c>
      <c r="B624" t="s">
        <v>1290</v>
      </c>
      <c r="C624" t="s">
        <v>1291</v>
      </c>
      <c r="D624" t="str">
        <f>IF(VLOOKUP(C624,'Capabilities Overview'!$A$2:$A$587,1)=C624,"","Not in UCL")</f>
        <v/>
      </c>
      <c r="E624" t="s">
        <v>1</v>
      </c>
      <c r="F624" t="s">
        <v>1</v>
      </c>
      <c r="G624" t="s">
        <v>275</v>
      </c>
      <c r="H624" t="s">
        <v>275</v>
      </c>
      <c r="I624" t="s">
        <v>275</v>
      </c>
      <c r="J624" t="s">
        <v>275</v>
      </c>
      <c r="K624" t="s">
        <v>275</v>
      </c>
      <c r="L624" t="s">
        <v>275</v>
      </c>
      <c r="M624" t="s">
        <v>1</v>
      </c>
      <c r="N624" t="s">
        <v>1</v>
      </c>
      <c r="O624" t="s">
        <v>1</v>
      </c>
      <c r="P624" t="s">
        <v>275</v>
      </c>
      <c r="Q624" t="s">
        <v>1</v>
      </c>
      <c r="R624" t="s">
        <v>275</v>
      </c>
      <c r="S624" t="s">
        <v>275</v>
      </c>
      <c r="T624" t="s">
        <v>275</v>
      </c>
      <c r="U624" t="s">
        <v>275</v>
      </c>
      <c r="V624" t="s">
        <v>275</v>
      </c>
      <c r="W624" t="s">
        <v>10</v>
      </c>
      <c r="X624" t="s">
        <v>275</v>
      </c>
      <c r="Y624" t="s">
        <v>275</v>
      </c>
      <c r="Z624" t="s">
        <v>275</v>
      </c>
      <c r="AA624" t="s">
        <v>275</v>
      </c>
      <c r="AB624" t="s">
        <v>275</v>
      </c>
      <c r="AC624" t="s">
        <v>275</v>
      </c>
      <c r="AD624" t="s">
        <v>275</v>
      </c>
    </row>
    <row r="625" spans="1:30">
      <c r="A625">
        <v>623</v>
      </c>
      <c r="B625" t="s">
        <v>1292</v>
      </c>
      <c r="C625" t="s">
        <v>1293</v>
      </c>
      <c r="D625" t="str">
        <f>IF(VLOOKUP(C625,'Capabilities Overview'!$A$2:$A$587,1)=C625,"","Not in UCL")</f>
        <v/>
      </c>
      <c r="E625" t="s">
        <v>1</v>
      </c>
      <c r="F625" t="s">
        <v>1</v>
      </c>
      <c r="G625" t="s">
        <v>275</v>
      </c>
      <c r="H625" t="s">
        <v>275</v>
      </c>
      <c r="I625" t="s">
        <v>275</v>
      </c>
      <c r="J625" t="s">
        <v>275</v>
      </c>
      <c r="K625" t="s">
        <v>275</v>
      </c>
      <c r="L625" t="s">
        <v>275</v>
      </c>
      <c r="M625" t="s">
        <v>1</v>
      </c>
      <c r="N625" t="s">
        <v>1</v>
      </c>
      <c r="O625" t="s">
        <v>1</v>
      </c>
      <c r="P625" t="s">
        <v>275</v>
      </c>
      <c r="Q625" t="s">
        <v>1</v>
      </c>
      <c r="R625" t="s">
        <v>1</v>
      </c>
      <c r="S625" t="s">
        <v>1</v>
      </c>
      <c r="T625" t="s">
        <v>275</v>
      </c>
      <c r="U625" t="s">
        <v>275</v>
      </c>
      <c r="V625" t="s">
        <v>275</v>
      </c>
      <c r="W625" t="s">
        <v>1</v>
      </c>
      <c r="X625" t="s">
        <v>275</v>
      </c>
      <c r="Y625" t="s">
        <v>275</v>
      </c>
      <c r="Z625" t="s">
        <v>275</v>
      </c>
      <c r="AA625" t="s">
        <v>275</v>
      </c>
      <c r="AB625" t="s">
        <v>275</v>
      </c>
      <c r="AC625" t="s">
        <v>275</v>
      </c>
      <c r="AD625" t="s">
        <v>275</v>
      </c>
    </row>
    <row r="626" spans="1:30">
      <c r="A626">
        <v>624</v>
      </c>
      <c r="B626" t="s">
        <v>1294</v>
      </c>
      <c r="C626" t="s">
        <v>1295</v>
      </c>
      <c r="D626" t="str">
        <f>IF(VLOOKUP(C626,'Capabilities Overview'!$A$2:$A$587,1)=C626,"","Not in UCL")</f>
        <v>Not in UCL</v>
      </c>
      <c r="E626" t="s">
        <v>1</v>
      </c>
      <c r="F626" t="s">
        <v>275</v>
      </c>
      <c r="G626" t="s">
        <v>275</v>
      </c>
      <c r="H626" t="s">
        <v>275</v>
      </c>
      <c r="I626" t="s">
        <v>275</v>
      </c>
      <c r="J626" t="s">
        <v>275</v>
      </c>
      <c r="K626" t="s">
        <v>275</v>
      </c>
      <c r="L626" t="s">
        <v>275</v>
      </c>
      <c r="M626" t="s">
        <v>1</v>
      </c>
      <c r="N626" t="s">
        <v>1</v>
      </c>
      <c r="O626" t="s">
        <v>1</v>
      </c>
      <c r="P626" t="s">
        <v>275</v>
      </c>
      <c r="Q626" t="s">
        <v>1</v>
      </c>
      <c r="R626" t="s">
        <v>275</v>
      </c>
      <c r="S626" t="s">
        <v>275</v>
      </c>
      <c r="T626" t="s">
        <v>275</v>
      </c>
      <c r="U626" t="s">
        <v>275</v>
      </c>
      <c r="V626" t="s">
        <v>275</v>
      </c>
      <c r="W626" t="s">
        <v>275</v>
      </c>
      <c r="X626" t="s">
        <v>275</v>
      </c>
      <c r="Y626" t="s">
        <v>275</v>
      </c>
      <c r="Z626" t="s">
        <v>275</v>
      </c>
      <c r="AA626" t="s">
        <v>275</v>
      </c>
      <c r="AB626" t="s">
        <v>275</v>
      </c>
      <c r="AC626" t="s">
        <v>275</v>
      </c>
      <c r="AD626" t="s">
        <v>275</v>
      </c>
    </row>
    <row r="627" spans="1:30">
      <c r="A627">
        <v>625</v>
      </c>
      <c r="B627" t="s">
        <v>1296</v>
      </c>
      <c r="C627" t="s">
        <v>1297</v>
      </c>
      <c r="D627" t="str">
        <f>IF(VLOOKUP(C627,'Capabilities Overview'!$A$2:$A$587,1)=C627,"","Not in UCL")</f>
        <v>Not in UCL</v>
      </c>
      <c r="E627" t="s">
        <v>275</v>
      </c>
      <c r="F627" t="s">
        <v>275</v>
      </c>
      <c r="G627" t="s">
        <v>275</v>
      </c>
      <c r="H627" t="s">
        <v>275</v>
      </c>
      <c r="I627" t="s">
        <v>275</v>
      </c>
      <c r="J627" t="s">
        <v>275</v>
      </c>
      <c r="K627" t="s">
        <v>275</v>
      </c>
      <c r="L627" t="s">
        <v>275</v>
      </c>
      <c r="M627" t="s">
        <v>275</v>
      </c>
      <c r="N627" t="s">
        <v>275</v>
      </c>
      <c r="O627" t="s">
        <v>275</v>
      </c>
      <c r="P627" t="s">
        <v>275</v>
      </c>
      <c r="Q627" t="s">
        <v>275</v>
      </c>
      <c r="R627" t="s">
        <v>1</v>
      </c>
      <c r="S627" t="s">
        <v>275</v>
      </c>
      <c r="T627" t="s">
        <v>275</v>
      </c>
      <c r="U627" t="s">
        <v>275</v>
      </c>
      <c r="V627" t="s">
        <v>275</v>
      </c>
      <c r="W627" t="s">
        <v>275</v>
      </c>
      <c r="X627" t="s">
        <v>275</v>
      </c>
      <c r="Y627" t="s">
        <v>275</v>
      </c>
      <c r="Z627" t="s">
        <v>275</v>
      </c>
      <c r="AA627" t="s">
        <v>275</v>
      </c>
      <c r="AB627" t="s">
        <v>275</v>
      </c>
      <c r="AC627" t="s">
        <v>275</v>
      </c>
      <c r="AD627" t="s">
        <v>275</v>
      </c>
    </row>
    <row r="628" spans="1:30">
      <c r="A628">
        <v>626</v>
      </c>
      <c r="B628" t="s">
        <v>1298</v>
      </c>
      <c r="C628" t="s">
        <v>1299</v>
      </c>
      <c r="D628" t="str">
        <f>IF(VLOOKUP(C628,'Capabilities Overview'!$A$2:$A$587,1)=C628,"","Not in UCL")</f>
        <v>Not in UCL</v>
      </c>
      <c r="E628" t="s">
        <v>1</v>
      </c>
      <c r="F628" t="s">
        <v>275</v>
      </c>
      <c r="G628" t="s">
        <v>275</v>
      </c>
      <c r="H628" t="s">
        <v>275</v>
      </c>
      <c r="I628" t="s">
        <v>275</v>
      </c>
      <c r="J628" t="s">
        <v>275</v>
      </c>
      <c r="K628" t="s">
        <v>275</v>
      </c>
      <c r="L628" t="s">
        <v>275</v>
      </c>
      <c r="M628" t="s">
        <v>1</v>
      </c>
      <c r="N628" t="s">
        <v>1</v>
      </c>
      <c r="O628" t="s">
        <v>1</v>
      </c>
      <c r="P628" t="s">
        <v>275</v>
      </c>
      <c r="Q628" t="s">
        <v>1</v>
      </c>
      <c r="R628" t="s">
        <v>1</v>
      </c>
      <c r="S628" t="s">
        <v>1</v>
      </c>
      <c r="T628" t="s">
        <v>275</v>
      </c>
      <c r="U628" t="s">
        <v>275</v>
      </c>
      <c r="V628" t="s">
        <v>275</v>
      </c>
      <c r="W628" t="s">
        <v>1</v>
      </c>
      <c r="X628" t="s">
        <v>275</v>
      </c>
      <c r="Y628" t="s">
        <v>275</v>
      </c>
      <c r="Z628" t="s">
        <v>275</v>
      </c>
      <c r="AA628" t="s">
        <v>275</v>
      </c>
      <c r="AB628" t="s">
        <v>275</v>
      </c>
      <c r="AC628" t="s">
        <v>275</v>
      </c>
      <c r="AD628" t="s">
        <v>275</v>
      </c>
    </row>
    <row r="629" spans="1:30">
      <c r="A629">
        <v>627</v>
      </c>
      <c r="B629" t="s">
        <v>162</v>
      </c>
      <c r="C629" t="s">
        <v>163</v>
      </c>
      <c r="D629" t="str">
        <f>IF(VLOOKUP(C629,'Capabilities Overview'!$A$2:$A$587,1)=C629,"","Not in UCL")</f>
        <v>Not in UCL</v>
      </c>
      <c r="E629" t="s">
        <v>275</v>
      </c>
      <c r="F629" t="s">
        <v>275</v>
      </c>
      <c r="G629" t="s">
        <v>275</v>
      </c>
      <c r="H629" t="s">
        <v>275</v>
      </c>
      <c r="I629" t="s">
        <v>275</v>
      </c>
      <c r="J629" t="s">
        <v>275</v>
      </c>
      <c r="K629" t="s">
        <v>275</v>
      </c>
      <c r="L629" t="s">
        <v>275</v>
      </c>
      <c r="M629" t="s">
        <v>275</v>
      </c>
      <c r="N629" t="s">
        <v>275</v>
      </c>
      <c r="O629" t="s">
        <v>275</v>
      </c>
      <c r="P629" t="s">
        <v>275</v>
      </c>
      <c r="Q629" t="s">
        <v>275</v>
      </c>
      <c r="R629" t="s">
        <v>275</v>
      </c>
      <c r="S629" t="s">
        <v>1</v>
      </c>
      <c r="T629" t="s">
        <v>1</v>
      </c>
      <c r="U629" t="s">
        <v>275</v>
      </c>
      <c r="V629" t="s">
        <v>275</v>
      </c>
      <c r="W629" t="s">
        <v>1</v>
      </c>
      <c r="X629" t="s">
        <v>275</v>
      </c>
      <c r="Y629" t="s">
        <v>275</v>
      </c>
      <c r="Z629" t="s">
        <v>275</v>
      </c>
      <c r="AA629" t="s">
        <v>275</v>
      </c>
      <c r="AB629" t="s">
        <v>275</v>
      </c>
      <c r="AC629" t="s">
        <v>275</v>
      </c>
      <c r="AD629" t="s">
        <v>1</v>
      </c>
    </row>
    <row r="630" spans="1:30">
      <c r="A630">
        <v>628</v>
      </c>
      <c r="B630" t="s">
        <v>1300</v>
      </c>
      <c r="C630" t="s">
        <v>1301</v>
      </c>
      <c r="D630" t="str">
        <f>IF(VLOOKUP(C630,'Capabilities Overview'!$A$2:$A$587,1)=C630,"","Not in UCL")</f>
        <v>Not in UCL</v>
      </c>
      <c r="E630" t="s">
        <v>275</v>
      </c>
      <c r="F630" t="s">
        <v>275</v>
      </c>
      <c r="G630" t="s">
        <v>275</v>
      </c>
      <c r="H630" t="s">
        <v>275</v>
      </c>
      <c r="I630" t="s">
        <v>275</v>
      </c>
      <c r="J630" t="s">
        <v>275</v>
      </c>
      <c r="K630" t="s">
        <v>275</v>
      </c>
      <c r="L630" t="s">
        <v>275</v>
      </c>
      <c r="M630" t="s">
        <v>1</v>
      </c>
      <c r="N630" t="s">
        <v>1</v>
      </c>
      <c r="O630" t="s">
        <v>1</v>
      </c>
      <c r="P630" t="s">
        <v>275</v>
      </c>
      <c r="Q630" t="s">
        <v>275</v>
      </c>
      <c r="R630" t="s">
        <v>275</v>
      </c>
      <c r="S630" t="s">
        <v>275</v>
      </c>
      <c r="T630" t="s">
        <v>275</v>
      </c>
      <c r="U630" t="s">
        <v>275</v>
      </c>
      <c r="V630" t="s">
        <v>275</v>
      </c>
      <c r="W630" t="s">
        <v>275</v>
      </c>
      <c r="X630" t="s">
        <v>275</v>
      </c>
      <c r="Y630" t="s">
        <v>275</v>
      </c>
      <c r="Z630" t="s">
        <v>275</v>
      </c>
      <c r="AA630" t="s">
        <v>275</v>
      </c>
      <c r="AB630" t="s">
        <v>275</v>
      </c>
      <c r="AC630" t="s">
        <v>275</v>
      </c>
      <c r="AD630" t="s">
        <v>275</v>
      </c>
    </row>
    <row r="631" spans="1:30">
      <c r="A631">
        <v>629</v>
      </c>
      <c r="B631" t="s">
        <v>1302</v>
      </c>
      <c r="C631" t="s">
        <v>1303</v>
      </c>
      <c r="D631" t="str">
        <f>IF(VLOOKUP(C631,'Capabilities Overview'!$A$2:$A$587,1)=C631,"","Not in UCL")</f>
        <v>Not in UCL</v>
      </c>
      <c r="E631" t="s">
        <v>275</v>
      </c>
      <c r="F631" t="s">
        <v>275</v>
      </c>
      <c r="G631" t="s">
        <v>275</v>
      </c>
      <c r="H631" t="s">
        <v>275</v>
      </c>
      <c r="I631" t="s">
        <v>275</v>
      </c>
      <c r="J631" t="s">
        <v>275</v>
      </c>
      <c r="K631" t="s">
        <v>275</v>
      </c>
      <c r="L631" t="s">
        <v>275</v>
      </c>
      <c r="M631" t="s">
        <v>1</v>
      </c>
      <c r="N631" t="s">
        <v>1</v>
      </c>
      <c r="O631" t="s">
        <v>1</v>
      </c>
      <c r="P631" t="s">
        <v>275</v>
      </c>
      <c r="Q631" t="s">
        <v>1</v>
      </c>
      <c r="R631" t="s">
        <v>1</v>
      </c>
      <c r="S631" t="s">
        <v>275</v>
      </c>
      <c r="T631" t="s">
        <v>275</v>
      </c>
      <c r="U631" t="s">
        <v>275</v>
      </c>
      <c r="V631" t="s">
        <v>275</v>
      </c>
      <c r="W631" t="s">
        <v>275</v>
      </c>
      <c r="X631" t="s">
        <v>275</v>
      </c>
      <c r="Y631" t="s">
        <v>275</v>
      </c>
      <c r="Z631" t="s">
        <v>275</v>
      </c>
      <c r="AA631" t="s">
        <v>275</v>
      </c>
      <c r="AB631" t="s">
        <v>275</v>
      </c>
      <c r="AC631" t="s">
        <v>275</v>
      </c>
      <c r="AD631" t="s">
        <v>275</v>
      </c>
    </row>
    <row r="632" spans="1:30">
      <c r="A632">
        <v>630</v>
      </c>
      <c r="B632" t="s">
        <v>1128</v>
      </c>
      <c r="C632" t="s">
        <v>1304</v>
      </c>
      <c r="D632" t="str">
        <f>IF(VLOOKUP(C632,'Capabilities Overview'!$A$2:$A$587,1)=C632,"","Not in UCL")</f>
        <v>Not in UCL</v>
      </c>
      <c r="E632" t="s">
        <v>1</v>
      </c>
      <c r="F632" t="s">
        <v>275</v>
      </c>
      <c r="G632" t="s">
        <v>275</v>
      </c>
      <c r="H632" t="s">
        <v>275</v>
      </c>
      <c r="I632" t="s">
        <v>275</v>
      </c>
      <c r="J632" t="s">
        <v>275</v>
      </c>
      <c r="K632" t="s">
        <v>275</v>
      </c>
      <c r="L632" t="s">
        <v>275</v>
      </c>
      <c r="M632" t="s">
        <v>1</v>
      </c>
      <c r="N632" t="s">
        <v>1</v>
      </c>
      <c r="O632" t="s">
        <v>1</v>
      </c>
      <c r="P632" t="s">
        <v>275</v>
      </c>
      <c r="Q632" t="s">
        <v>1</v>
      </c>
      <c r="R632" t="s">
        <v>1</v>
      </c>
      <c r="S632" t="s">
        <v>275</v>
      </c>
      <c r="T632" t="s">
        <v>275</v>
      </c>
      <c r="U632" t="s">
        <v>275</v>
      </c>
      <c r="V632" t="s">
        <v>275</v>
      </c>
      <c r="W632" t="s">
        <v>275</v>
      </c>
      <c r="X632" t="s">
        <v>275</v>
      </c>
      <c r="Y632" t="s">
        <v>275</v>
      </c>
      <c r="Z632" t="s">
        <v>275</v>
      </c>
      <c r="AA632" t="s">
        <v>275</v>
      </c>
      <c r="AB632" t="s">
        <v>275</v>
      </c>
      <c r="AC632" t="s">
        <v>275</v>
      </c>
      <c r="AD632" t="s">
        <v>275</v>
      </c>
    </row>
    <row r="633" spans="1:30">
      <c r="A633">
        <v>631</v>
      </c>
      <c r="B633" t="s">
        <v>1130</v>
      </c>
      <c r="C633" t="s">
        <v>1305</v>
      </c>
      <c r="D633" t="str">
        <f>IF(VLOOKUP(C633,'Capabilities Overview'!$A$2:$A$587,1)=C633,"","Not in UCL")</f>
        <v>Not in UCL</v>
      </c>
      <c r="E633" t="s">
        <v>1</v>
      </c>
      <c r="F633" t="s">
        <v>275</v>
      </c>
      <c r="G633" t="s">
        <v>275</v>
      </c>
      <c r="H633" t="s">
        <v>275</v>
      </c>
      <c r="I633" t="s">
        <v>275</v>
      </c>
      <c r="J633" t="s">
        <v>275</v>
      </c>
      <c r="K633" t="s">
        <v>275</v>
      </c>
      <c r="L633" t="s">
        <v>275</v>
      </c>
      <c r="M633" t="s">
        <v>1</v>
      </c>
      <c r="N633" t="s">
        <v>1</v>
      </c>
      <c r="O633" t="s">
        <v>1</v>
      </c>
      <c r="P633" t="s">
        <v>275</v>
      </c>
      <c r="Q633" t="s">
        <v>1</v>
      </c>
      <c r="R633" t="s">
        <v>1</v>
      </c>
      <c r="S633" t="s">
        <v>275</v>
      </c>
      <c r="T633" t="s">
        <v>275</v>
      </c>
      <c r="U633" t="s">
        <v>275</v>
      </c>
      <c r="V633" t="s">
        <v>275</v>
      </c>
      <c r="W633" t="s">
        <v>275</v>
      </c>
      <c r="X633" t="s">
        <v>275</v>
      </c>
      <c r="Y633" t="s">
        <v>275</v>
      </c>
      <c r="Z633" t="s">
        <v>275</v>
      </c>
      <c r="AA633" t="s">
        <v>275</v>
      </c>
      <c r="AB633" t="s">
        <v>275</v>
      </c>
      <c r="AC633" t="s">
        <v>275</v>
      </c>
      <c r="AD633" t="s">
        <v>275</v>
      </c>
    </row>
    <row r="634" spans="1:30">
      <c r="A634">
        <v>632</v>
      </c>
      <c r="B634" t="s">
        <v>1306</v>
      </c>
      <c r="C634" t="s">
        <v>1307</v>
      </c>
      <c r="D634" t="str">
        <f>IF(VLOOKUP(C634,'Capabilities Overview'!$A$2:$A$587,1)=C634,"","Not in UCL")</f>
        <v>Not in UCL</v>
      </c>
      <c r="E634" t="s">
        <v>1</v>
      </c>
      <c r="F634" t="s">
        <v>275</v>
      </c>
      <c r="G634" t="s">
        <v>275</v>
      </c>
      <c r="H634" t="s">
        <v>275</v>
      </c>
      <c r="I634" t="s">
        <v>275</v>
      </c>
      <c r="J634" t="s">
        <v>275</v>
      </c>
      <c r="K634" t="s">
        <v>275</v>
      </c>
      <c r="L634" t="s">
        <v>275</v>
      </c>
      <c r="M634" t="s">
        <v>1</v>
      </c>
      <c r="N634" t="s">
        <v>1</v>
      </c>
      <c r="O634" t="s">
        <v>1</v>
      </c>
      <c r="P634" t="s">
        <v>275</v>
      </c>
      <c r="Q634" t="s">
        <v>1</v>
      </c>
      <c r="R634" t="s">
        <v>275</v>
      </c>
      <c r="S634" t="s">
        <v>275</v>
      </c>
      <c r="T634" t="s">
        <v>275</v>
      </c>
      <c r="U634" t="s">
        <v>275</v>
      </c>
      <c r="V634" t="s">
        <v>275</v>
      </c>
      <c r="W634" t="s">
        <v>275</v>
      </c>
      <c r="X634" t="s">
        <v>275</v>
      </c>
      <c r="Y634" t="s">
        <v>275</v>
      </c>
      <c r="Z634" t="s">
        <v>275</v>
      </c>
      <c r="AA634" t="s">
        <v>275</v>
      </c>
      <c r="AB634" t="s">
        <v>275</v>
      </c>
      <c r="AC634" t="s">
        <v>275</v>
      </c>
      <c r="AD634" t="s">
        <v>275</v>
      </c>
    </row>
    <row r="635" spans="1:30">
      <c r="A635">
        <v>633</v>
      </c>
      <c r="B635" t="s">
        <v>1030</v>
      </c>
      <c r="C635" t="s">
        <v>1308</v>
      </c>
      <c r="D635" t="str">
        <f>IF(VLOOKUP(C635,'Capabilities Overview'!$A$2:$A$587,1)=C635,"","Not in UCL")</f>
        <v>Not in UCL</v>
      </c>
      <c r="E635" t="s">
        <v>275</v>
      </c>
      <c r="F635" t="s">
        <v>275</v>
      </c>
      <c r="G635" t="s">
        <v>275</v>
      </c>
      <c r="H635" t="s">
        <v>275</v>
      </c>
      <c r="I635" t="s">
        <v>275</v>
      </c>
      <c r="J635" t="s">
        <v>275</v>
      </c>
      <c r="K635" t="s">
        <v>275</v>
      </c>
      <c r="L635" t="s">
        <v>275</v>
      </c>
      <c r="M635" t="s">
        <v>1</v>
      </c>
      <c r="N635" t="s">
        <v>1</v>
      </c>
      <c r="O635" t="s">
        <v>1</v>
      </c>
      <c r="P635" t="s">
        <v>275</v>
      </c>
      <c r="Q635" t="s">
        <v>1</v>
      </c>
      <c r="R635" t="s">
        <v>275</v>
      </c>
      <c r="S635" t="s">
        <v>275</v>
      </c>
      <c r="T635" t="s">
        <v>275</v>
      </c>
      <c r="U635" t="s">
        <v>275</v>
      </c>
      <c r="V635" t="s">
        <v>275</v>
      </c>
      <c r="W635" t="s">
        <v>275</v>
      </c>
      <c r="X635" t="s">
        <v>275</v>
      </c>
      <c r="Y635" t="s">
        <v>275</v>
      </c>
      <c r="Z635" t="s">
        <v>275</v>
      </c>
      <c r="AA635" t="s">
        <v>275</v>
      </c>
      <c r="AB635" t="s">
        <v>275</v>
      </c>
      <c r="AC635" t="s">
        <v>275</v>
      </c>
      <c r="AD635" t="s">
        <v>275</v>
      </c>
    </row>
    <row r="636" spans="1:30">
      <c r="A636">
        <v>634</v>
      </c>
      <c r="B636" t="s">
        <v>1309</v>
      </c>
      <c r="C636" t="s">
        <v>1310</v>
      </c>
      <c r="D636" t="str">
        <f>IF(VLOOKUP(C636,'Capabilities Overview'!$A$2:$A$587,1)=C636,"","Not in UCL")</f>
        <v>Not in UCL</v>
      </c>
      <c r="E636" t="s">
        <v>275</v>
      </c>
      <c r="F636" t="s">
        <v>275</v>
      </c>
      <c r="G636" t="s">
        <v>275</v>
      </c>
      <c r="H636" t="s">
        <v>275</v>
      </c>
      <c r="I636" t="s">
        <v>275</v>
      </c>
      <c r="J636" t="s">
        <v>275</v>
      </c>
      <c r="K636" t="s">
        <v>275</v>
      </c>
      <c r="L636" t="s">
        <v>275</v>
      </c>
      <c r="M636" t="s">
        <v>1</v>
      </c>
      <c r="N636" t="s">
        <v>1</v>
      </c>
      <c r="O636" t="s">
        <v>1</v>
      </c>
      <c r="P636" t="s">
        <v>275</v>
      </c>
      <c r="Q636" t="s">
        <v>1</v>
      </c>
      <c r="R636" t="s">
        <v>275</v>
      </c>
      <c r="S636" t="s">
        <v>275</v>
      </c>
      <c r="T636" t="s">
        <v>275</v>
      </c>
      <c r="U636" t="s">
        <v>275</v>
      </c>
      <c r="V636" t="s">
        <v>275</v>
      </c>
      <c r="W636" t="s">
        <v>275</v>
      </c>
      <c r="X636" t="s">
        <v>275</v>
      </c>
      <c r="Y636" t="s">
        <v>275</v>
      </c>
      <c r="Z636" t="s">
        <v>275</v>
      </c>
      <c r="AA636" t="s">
        <v>275</v>
      </c>
      <c r="AB636" t="s">
        <v>275</v>
      </c>
      <c r="AC636" t="s">
        <v>275</v>
      </c>
      <c r="AD636" t="s">
        <v>275</v>
      </c>
    </row>
    <row r="637" spans="1:30">
      <c r="A637">
        <v>635</v>
      </c>
      <c r="B637" t="s">
        <v>1311</v>
      </c>
      <c r="C637" t="s">
        <v>1312</v>
      </c>
      <c r="D637" t="str">
        <f>IF(VLOOKUP(C637,'Capabilities Overview'!$A$2:$A$587,1)=C637,"","Not in UCL")</f>
        <v>Not in UCL</v>
      </c>
      <c r="E637" t="s">
        <v>275</v>
      </c>
      <c r="F637" t="s">
        <v>275</v>
      </c>
      <c r="G637" t="s">
        <v>275</v>
      </c>
      <c r="H637" t="s">
        <v>275</v>
      </c>
      <c r="I637" t="s">
        <v>275</v>
      </c>
      <c r="J637" t="s">
        <v>275</v>
      </c>
      <c r="K637" t="s">
        <v>275</v>
      </c>
      <c r="L637" t="s">
        <v>275</v>
      </c>
      <c r="M637" t="s">
        <v>1</v>
      </c>
      <c r="N637" t="s">
        <v>1</v>
      </c>
      <c r="O637" t="s">
        <v>1</v>
      </c>
      <c r="P637" t="s">
        <v>275</v>
      </c>
      <c r="Q637" t="s">
        <v>1</v>
      </c>
      <c r="R637" t="s">
        <v>275</v>
      </c>
      <c r="S637" t="s">
        <v>275</v>
      </c>
      <c r="T637" t="s">
        <v>275</v>
      </c>
      <c r="U637" t="s">
        <v>275</v>
      </c>
      <c r="V637" t="s">
        <v>275</v>
      </c>
      <c r="W637" t="s">
        <v>275</v>
      </c>
      <c r="X637" t="s">
        <v>275</v>
      </c>
      <c r="Y637" t="s">
        <v>275</v>
      </c>
      <c r="Z637" t="s">
        <v>275</v>
      </c>
      <c r="AA637" t="s">
        <v>275</v>
      </c>
      <c r="AB637" t="s">
        <v>275</v>
      </c>
      <c r="AC637" t="s">
        <v>275</v>
      </c>
      <c r="AD637" t="s">
        <v>275</v>
      </c>
    </row>
    <row r="638" spans="1:30">
      <c r="A638">
        <v>636</v>
      </c>
      <c r="B638" t="s">
        <v>1313</v>
      </c>
      <c r="C638" t="s">
        <v>1314</v>
      </c>
      <c r="D638" t="str">
        <f>IF(VLOOKUP(C638,'Capabilities Overview'!$A$2:$A$587,1)=C638,"","Not in UCL")</f>
        <v>Not in UCL</v>
      </c>
      <c r="E638" t="s">
        <v>275</v>
      </c>
      <c r="F638" t="s">
        <v>275</v>
      </c>
      <c r="G638" t="s">
        <v>275</v>
      </c>
      <c r="H638" t="s">
        <v>275</v>
      </c>
      <c r="I638" t="s">
        <v>275</v>
      </c>
      <c r="J638" t="s">
        <v>275</v>
      </c>
      <c r="K638" t="s">
        <v>275</v>
      </c>
      <c r="L638" t="s">
        <v>275</v>
      </c>
      <c r="M638" t="s">
        <v>1</v>
      </c>
      <c r="N638" t="s">
        <v>1</v>
      </c>
      <c r="O638" t="s">
        <v>1</v>
      </c>
      <c r="P638" t="s">
        <v>275</v>
      </c>
      <c r="Q638" t="s">
        <v>1</v>
      </c>
      <c r="R638" t="s">
        <v>1</v>
      </c>
      <c r="S638" t="s">
        <v>275</v>
      </c>
      <c r="T638" t="s">
        <v>275</v>
      </c>
      <c r="U638" t="s">
        <v>275</v>
      </c>
      <c r="V638" t="s">
        <v>275</v>
      </c>
      <c r="W638" t="s">
        <v>275</v>
      </c>
      <c r="X638" t="s">
        <v>275</v>
      </c>
      <c r="Y638" t="s">
        <v>275</v>
      </c>
      <c r="Z638" t="s">
        <v>275</v>
      </c>
      <c r="AA638" t="s">
        <v>275</v>
      </c>
      <c r="AB638" t="s">
        <v>275</v>
      </c>
      <c r="AC638" t="s">
        <v>275</v>
      </c>
      <c r="AD638" t="s">
        <v>275</v>
      </c>
    </row>
    <row r="639" spans="1:30">
      <c r="A639">
        <v>637</v>
      </c>
      <c r="B639" t="s">
        <v>1315</v>
      </c>
      <c r="C639" t="s">
        <v>1316</v>
      </c>
      <c r="D639" t="str">
        <f>IF(VLOOKUP(C639,'Capabilities Overview'!$A$2:$A$587,1)=C639,"","Not in UCL")</f>
        <v>Not in UCL</v>
      </c>
      <c r="E639" t="s">
        <v>275</v>
      </c>
      <c r="F639" t="s">
        <v>275</v>
      </c>
      <c r="G639" t="s">
        <v>275</v>
      </c>
      <c r="H639" t="s">
        <v>275</v>
      </c>
      <c r="I639" t="s">
        <v>275</v>
      </c>
      <c r="J639" t="s">
        <v>275</v>
      </c>
      <c r="K639" t="s">
        <v>275</v>
      </c>
      <c r="L639" t="s">
        <v>275</v>
      </c>
      <c r="M639" t="s">
        <v>1</v>
      </c>
      <c r="N639" t="s">
        <v>1</v>
      </c>
      <c r="O639" t="s">
        <v>1</v>
      </c>
      <c r="P639" t="s">
        <v>275</v>
      </c>
      <c r="Q639" t="s">
        <v>1</v>
      </c>
      <c r="R639" t="s">
        <v>1</v>
      </c>
      <c r="S639" t="s">
        <v>275</v>
      </c>
      <c r="T639" t="s">
        <v>275</v>
      </c>
      <c r="U639" t="s">
        <v>275</v>
      </c>
      <c r="V639" t="s">
        <v>275</v>
      </c>
      <c r="W639" t="s">
        <v>275</v>
      </c>
      <c r="X639" t="s">
        <v>275</v>
      </c>
      <c r="Y639" t="s">
        <v>275</v>
      </c>
      <c r="Z639" t="s">
        <v>275</v>
      </c>
      <c r="AA639" t="s">
        <v>275</v>
      </c>
      <c r="AB639" t="s">
        <v>275</v>
      </c>
      <c r="AC639" t="s">
        <v>275</v>
      </c>
      <c r="AD639" t="s">
        <v>275</v>
      </c>
    </row>
    <row r="640" spans="1:30">
      <c r="A640">
        <v>638</v>
      </c>
      <c r="B640" t="s">
        <v>1317</v>
      </c>
      <c r="C640" t="s">
        <v>1318</v>
      </c>
      <c r="D640" t="str">
        <f>IF(VLOOKUP(C640,'Capabilities Overview'!$A$2:$A$587,1)=C640,"","Not in UCL")</f>
        <v>Not in UCL</v>
      </c>
      <c r="E640" t="s">
        <v>275</v>
      </c>
      <c r="F640" t="s">
        <v>275</v>
      </c>
      <c r="G640" t="s">
        <v>275</v>
      </c>
      <c r="H640" t="s">
        <v>275</v>
      </c>
      <c r="I640" t="s">
        <v>275</v>
      </c>
      <c r="J640" t="s">
        <v>275</v>
      </c>
      <c r="K640" t="s">
        <v>275</v>
      </c>
      <c r="L640" t="s">
        <v>275</v>
      </c>
      <c r="M640" t="s">
        <v>1</v>
      </c>
      <c r="N640" t="s">
        <v>1</v>
      </c>
      <c r="O640" t="s">
        <v>1</v>
      </c>
      <c r="P640" t="s">
        <v>275</v>
      </c>
      <c r="Q640" t="s">
        <v>1</v>
      </c>
      <c r="R640" t="s">
        <v>275</v>
      </c>
      <c r="S640" t="s">
        <v>275</v>
      </c>
      <c r="T640" t="s">
        <v>275</v>
      </c>
      <c r="U640" t="s">
        <v>275</v>
      </c>
      <c r="V640" t="s">
        <v>275</v>
      </c>
      <c r="W640" t="s">
        <v>275</v>
      </c>
      <c r="X640" t="s">
        <v>275</v>
      </c>
      <c r="Y640" t="s">
        <v>275</v>
      </c>
      <c r="Z640" t="s">
        <v>275</v>
      </c>
      <c r="AA640" t="s">
        <v>275</v>
      </c>
      <c r="AB640" t="s">
        <v>275</v>
      </c>
      <c r="AC640" t="s">
        <v>275</v>
      </c>
      <c r="AD640" t="s">
        <v>275</v>
      </c>
    </row>
    <row r="641" spans="1:30">
      <c r="A641">
        <v>639</v>
      </c>
      <c r="B641" t="s">
        <v>1319</v>
      </c>
      <c r="C641" t="s">
        <v>1320</v>
      </c>
      <c r="D641" t="str">
        <f>IF(VLOOKUP(C641,'Capabilities Overview'!$A$2:$A$587,1)=C641,"","Not in UCL")</f>
        <v>Not in UCL</v>
      </c>
      <c r="E641" t="s">
        <v>1</v>
      </c>
      <c r="F641" t="s">
        <v>275</v>
      </c>
      <c r="G641" t="s">
        <v>275</v>
      </c>
      <c r="H641" t="s">
        <v>275</v>
      </c>
      <c r="I641" t="s">
        <v>275</v>
      </c>
      <c r="J641" t="s">
        <v>275</v>
      </c>
      <c r="K641" t="s">
        <v>275</v>
      </c>
      <c r="L641" t="s">
        <v>275</v>
      </c>
      <c r="M641" t="s">
        <v>1</v>
      </c>
      <c r="N641" t="s">
        <v>1</v>
      </c>
      <c r="O641" t="s">
        <v>1</v>
      </c>
      <c r="P641" t="s">
        <v>275</v>
      </c>
      <c r="Q641" t="s">
        <v>1</v>
      </c>
      <c r="R641" t="s">
        <v>275</v>
      </c>
      <c r="S641" t="s">
        <v>275</v>
      </c>
      <c r="T641" t="s">
        <v>275</v>
      </c>
      <c r="U641" t="s">
        <v>275</v>
      </c>
      <c r="V641" t="s">
        <v>275</v>
      </c>
      <c r="W641" t="s">
        <v>275</v>
      </c>
      <c r="X641" t="s">
        <v>275</v>
      </c>
      <c r="Y641" t="s">
        <v>275</v>
      </c>
      <c r="Z641" t="s">
        <v>275</v>
      </c>
      <c r="AA641" t="s">
        <v>275</v>
      </c>
      <c r="AB641" t="s">
        <v>275</v>
      </c>
      <c r="AC641" t="s">
        <v>275</v>
      </c>
      <c r="AD641" t="s">
        <v>275</v>
      </c>
    </row>
    <row r="642" spans="1:30">
      <c r="A642">
        <v>640</v>
      </c>
      <c r="B642" t="s">
        <v>1321</v>
      </c>
      <c r="C642" t="s">
        <v>1322</v>
      </c>
      <c r="D642" t="str">
        <f>IF(VLOOKUP(C642,'Capabilities Overview'!$A$2:$A$587,1)=C642,"","Not in UCL")</f>
        <v>Not in UCL</v>
      </c>
      <c r="E642" t="s">
        <v>1</v>
      </c>
      <c r="F642" t="s">
        <v>275</v>
      </c>
      <c r="G642" t="s">
        <v>1</v>
      </c>
      <c r="H642" t="s">
        <v>275</v>
      </c>
      <c r="I642" t="s">
        <v>275</v>
      </c>
      <c r="J642" t="s">
        <v>275</v>
      </c>
      <c r="K642" t="s">
        <v>275</v>
      </c>
      <c r="L642" t="s">
        <v>275</v>
      </c>
      <c r="M642" t="s">
        <v>1</v>
      </c>
      <c r="N642" t="s">
        <v>1</v>
      </c>
      <c r="O642" t="s">
        <v>1</v>
      </c>
      <c r="P642" t="s">
        <v>275</v>
      </c>
      <c r="Q642" t="s">
        <v>1</v>
      </c>
      <c r="R642" t="s">
        <v>275</v>
      </c>
      <c r="S642" t="s">
        <v>275</v>
      </c>
      <c r="T642" t="s">
        <v>275</v>
      </c>
      <c r="U642" t="s">
        <v>275</v>
      </c>
      <c r="V642" t="s">
        <v>275</v>
      </c>
      <c r="W642" t="s">
        <v>275</v>
      </c>
      <c r="X642" t="s">
        <v>275</v>
      </c>
      <c r="Y642" t="s">
        <v>275</v>
      </c>
      <c r="Z642" t="s">
        <v>275</v>
      </c>
      <c r="AA642" t="s">
        <v>275</v>
      </c>
      <c r="AB642" t="s">
        <v>275</v>
      </c>
      <c r="AC642" t="s">
        <v>275</v>
      </c>
      <c r="AD642" t="s">
        <v>275</v>
      </c>
    </row>
    <row r="643" spans="1:30">
      <c r="A643">
        <v>641</v>
      </c>
      <c r="B643" t="s">
        <v>1323</v>
      </c>
      <c r="C643" t="s">
        <v>1324</v>
      </c>
      <c r="D643" t="str">
        <f>IF(VLOOKUP(C643,'Capabilities Overview'!$A$2:$A$587,1)=C643,"","Not in UCL")</f>
        <v>Not in UCL</v>
      </c>
      <c r="E643" t="s">
        <v>1</v>
      </c>
      <c r="F643" t="s">
        <v>275</v>
      </c>
      <c r="G643" t="s">
        <v>1</v>
      </c>
      <c r="H643" t="s">
        <v>275</v>
      </c>
      <c r="I643" t="s">
        <v>275</v>
      </c>
      <c r="J643" t="s">
        <v>275</v>
      </c>
      <c r="K643" t="s">
        <v>275</v>
      </c>
      <c r="L643" t="s">
        <v>275</v>
      </c>
      <c r="M643" t="s">
        <v>1</v>
      </c>
      <c r="N643" t="s">
        <v>1</v>
      </c>
      <c r="O643" t="s">
        <v>1</v>
      </c>
      <c r="P643" t="s">
        <v>275</v>
      </c>
      <c r="Q643" t="s">
        <v>1</v>
      </c>
      <c r="R643" t="s">
        <v>275</v>
      </c>
      <c r="S643" t="s">
        <v>275</v>
      </c>
      <c r="T643" t="s">
        <v>275</v>
      </c>
      <c r="U643" t="s">
        <v>275</v>
      </c>
      <c r="V643" t="s">
        <v>275</v>
      </c>
      <c r="W643" t="s">
        <v>275</v>
      </c>
      <c r="X643" t="s">
        <v>275</v>
      </c>
      <c r="Y643" t="s">
        <v>275</v>
      </c>
      <c r="Z643" t="s">
        <v>275</v>
      </c>
      <c r="AA643" t="s">
        <v>275</v>
      </c>
      <c r="AB643" t="s">
        <v>275</v>
      </c>
      <c r="AC643" t="s">
        <v>275</v>
      </c>
      <c r="AD643" t="s">
        <v>275</v>
      </c>
    </row>
    <row r="644" spans="1:30">
      <c r="A644">
        <v>642</v>
      </c>
      <c r="B644" t="s">
        <v>1325</v>
      </c>
      <c r="C644" t="s">
        <v>1326</v>
      </c>
      <c r="D644" t="str">
        <f>IF(VLOOKUP(C644,'Capabilities Overview'!$A$2:$A$587,1)=C644,"","Not in UCL")</f>
        <v>Not in UCL</v>
      </c>
      <c r="E644" t="s">
        <v>1</v>
      </c>
      <c r="F644" t="s">
        <v>275</v>
      </c>
      <c r="G644" t="s">
        <v>1</v>
      </c>
      <c r="H644" t="s">
        <v>275</v>
      </c>
      <c r="I644" t="s">
        <v>275</v>
      </c>
      <c r="J644" t="s">
        <v>275</v>
      </c>
      <c r="K644" t="s">
        <v>275</v>
      </c>
      <c r="L644" t="s">
        <v>275</v>
      </c>
      <c r="M644" t="s">
        <v>1</v>
      </c>
      <c r="N644" t="s">
        <v>1</v>
      </c>
      <c r="O644" t="s">
        <v>1</v>
      </c>
      <c r="P644" t="s">
        <v>275</v>
      </c>
      <c r="Q644" t="s">
        <v>1</v>
      </c>
      <c r="R644" t="s">
        <v>275</v>
      </c>
      <c r="S644" t="s">
        <v>275</v>
      </c>
      <c r="T644" t="s">
        <v>275</v>
      </c>
      <c r="U644" t="s">
        <v>275</v>
      </c>
      <c r="V644" t="s">
        <v>275</v>
      </c>
      <c r="W644" t="s">
        <v>275</v>
      </c>
      <c r="X644" t="s">
        <v>275</v>
      </c>
      <c r="Y644" t="s">
        <v>275</v>
      </c>
      <c r="Z644" t="s">
        <v>275</v>
      </c>
      <c r="AA644" t="s">
        <v>275</v>
      </c>
      <c r="AB644" t="s">
        <v>275</v>
      </c>
      <c r="AC644" t="s">
        <v>275</v>
      </c>
      <c r="AD644" t="s">
        <v>275</v>
      </c>
    </row>
    <row r="645" spans="1:30">
      <c r="A645">
        <v>643</v>
      </c>
      <c r="B645" t="s">
        <v>1327</v>
      </c>
      <c r="C645" t="s">
        <v>1328</v>
      </c>
      <c r="D645" t="str">
        <f>IF(VLOOKUP(C645,'Capabilities Overview'!$A$2:$A$587,1)=C645,"","Not in UCL")</f>
        <v>Not in UCL</v>
      </c>
      <c r="E645" t="s">
        <v>1</v>
      </c>
      <c r="F645" t="s">
        <v>275</v>
      </c>
      <c r="G645" t="s">
        <v>1</v>
      </c>
      <c r="H645" t="s">
        <v>275</v>
      </c>
      <c r="I645" t="s">
        <v>275</v>
      </c>
      <c r="J645" t="s">
        <v>275</v>
      </c>
      <c r="K645" t="s">
        <v>275</v>
      </c>
      <c r="L645" t="s">
        <v>275</v>
      </c>
      <c r="M645" t="s">
        <v>1</v>
      </c>
      <c r="N645" t="s">
        <v>1</v>
      </c>
      <c r="O645" t="s">
        <v>1</v>
      </c>
      <c r="P645" t="s">
        <v>275</v>
      </c>
      <c r="Q645" t="s">
        <v>1</v>
      </c>
      <c r="R645" t="s">
        <v>1</v>
      </c>
      <c r="S645" t="s">
        <v>275</v>
      </c>
      <c r="T645" t="s">
        <v>275</v>
      </c>
      <c r="U645" t="s">
        <v>275</v>
      </c>
      <c r="V645" t="s">
        <v>275</v>
      </c>
      <c r="W645" t="s">
        <v>275</v>
      </c>
      <c r="X645" t="s">
        <v>275</v>
      </c>
      <c r="Y645" t="s">
        <v>275</v>
      </c>
      <c r="Z645" t="s">
        <v>275</v>
      </c>
      <c r="AA645" t="s">
        <v>275</v>
      </c>
      <c r="AB645" t="s">
        <v>275</v>
      </c>
      <c r="AC645" t="s">
        <v>275</v>
      </c>
      <c r="AD645" t="s">
        <v>275</v>
      </c>
    </row>
    <row r="646" spans="1:30">
      <c r="A646">
        <v>644</v>
      </c>
      <c r="B646" t="s">
        <v>1329</v>
      </c>
      <c r="C646" t="s">
        <v>1330</v>
      </c>
      <c r="D646" t="str">
        <f>IF(VLOOKUP(C646,'Capabilities Overview'!$A$2:$A$587,1)=C646,"","Not in UCL")</f>
        <v>Not in UCL</v>
      </c>
      <c r="E646" t="s">
        <v>1</v>
      </c>
      <c r="F646" t="s">
        <v>275</v>
      </c>
      <c r="G646" t="s">
        <v>1</v>
      </c>
      <c r="H646" t="s">
        <v>275</v>
      </c>
      <c r="I646" t="s">
        <v>275</v>
      </c>
      <c r="J646" t="s">
        <v>275</v>
      </c>
      <c r="K646" t="s">
        <v>275</v>
      </c>
      <c r="L646" t="s">
        <v>275</v>
      </c>
      <c r="M646" t="s">
        <v>1</v>
      </c>
      <c r="N646" t="s">
        <v>1</v>
      </c>
      <c r="O646" t="s">
        <v>1</v>
      </c>
      <c r="P646" t="s">
        <v>275</v>
      </c>
      <c r="Q646" t="s">
        <v>1</v>
      </c>
      <c r="R646" t="s">
        <v>275</v>
      </c>
      <c r="S646" t="s">
        <v>275</v>
      </c>
      <c r="T646" t="s">
        <v>275</v>
      </c>
      <c r="U646" t="s">
        <v>275</v>
      </c>
      <c r="V646" t="s">
        <v>275</v>
      </c>
      <c r="W646" t="s">
        <v>275</v>
      </c>
      <c r="X646" t="s">
        <v>275</v>
      </c>
      <c r="Y646" t="s">
        <v>275</v>
      </c>
      <c r="Z646" t="s">
        <v>275</v>
      </c>
      <c r="AA646" t="s">
        <v>275</v>
      </c>
      <c r="AB646" t="s">
        <v>275</v>
      </c>
      <c r="AC646" t="s">
        <v>275</v>
      </c>
      <c r="AD646" t="s">
        <v>275</v>
      </c>
    </row>
    <row r="647" spans="1:30">
      <c r="A647">
        <v>645</v>
      </c>
      <c r="B647" t="s">
        <v>1331</v>
      </c>
      <c r="C647" t="s">
        <v>1332</v>
      </c>
      <c r="D647" t="str">
        <f>IF(VLOOKUP(C647,'Capabilities Overview'!$A$2:$A$587,1)=C647,"","Not in UCL")</f>
        <v>Not in UCL</v>
      </c>
      <c r="E647" t="s">
        <v>1</v>
      </c>
      <c r="F647" t="s">
        <v>275</v>
      </c>
      <c r="G647" t="s">
        <v>275</v>
      </c>
      <c r="H647" t="s">
        <v>275</v>
      </c>
      <c r="I647" t="s">
        <v>275</v>
      </c>
      <c r="J647" t="s">
        <v>275</v>
      </c>
      <c r="K647" t="s">
        <v>275</v>
      </c>
      <c r="L647" t="s">
        <v>275</v>
      </c>
      <c r="M647" t="s">
        <v>1</v>
      </c>
      <c r="N647" t="s">
        <v>1</v>
      </c>
      <c r="O647" t="s">
        <v>1</v>
      </c>
      <c r="P647" t="s">
        <v>275</v>
      </c>
      <c r="Q647" t="s">
        <v>1</v>
      </c>
      <c r="R647" t="s">
        <v>275</v>
      </c>
      <c r="S647" t="s">
        <v>275</v>
      </c>
      <c r="T647" t="s">
        <v>275</v>
      </c>
      <c r="U647" t="s">
        <v>275</v>
      </c>
      <c r="V647" t="s">
        <v>275</v>
      </c>
      <c r="W647" t="s">
        <v>275</v>
      </c>
      <c r="X647" t="s">
        <v>275</v>
      </c>
      <c r="Y647" t="s">
        <v>275</v>
      </c>
      <c r="Z647" t="s">
        <v>275</v>
      </c>
      <c r="AA647" t="s">
        <v>275</v>
      </c>
      <c r="AB647" t="s">
        <v>275</v>
      </c>
      <c r="AC647" t="s">
        <v>275</v>
      </c>
      <c r="AD647" t="s">
        <v>275</v>
      </c>
    </row>
    <row r="648" spans="1:30">
      <c r="A648">
        <v>646</v>
      </c>
      <c r="B648" t="s">
        <v>1333</v>
      </c>
      <c r="C648" t="s">
        <v>1334</v>
      </c>
      <c r="D648" t="str">
        <f>IF(VLOOKUP(C648,'Capabilities Overview'!$A$2:$A$587,1)=C648,"","Not in UCL")</f>
        <v>Not in UCL</v>
      </c>
      <c r="E648" t="s">
        <v>275</v>
      </c>
      <c r="F648" t="s">
        <v>275</v>
      </c>
      <c r="G648" t="s">
        <v>275</v>
      </c>
      <c r="H648" t="s">
        <v>275</v>
      </c>
      <c r="I648" t="s">
        <v>275</v>
      </c>
      <c r="J648" t="s">
        <v>275</v>
      </c>
      <c r="K648" t="s">
        <v>275</v>
      </c>
      <c r="L648" t="s">
        <v>275</v>
      </c>
      <c r="M648" t="s">
        <v>275</v>
      </c>
      <c r="N648" t="s">
        <v>275</v>
      </c>
      <c r="O648" t="s">
        <v>275</v>
      </c>
      <c r="P648" t="s">
        <v>275</v>
      </c>
      <c r="Q648" t="s">
        <v>275</v>
      </c>
      <c r="R648" t="s">
        <v>275</v>
      </c>
      <c r="S648" t="s">
        <v>275</v>
      </c>
      <c r="T648" t="s">
        <v>275</v>
      </c>
      <c r="U648" t="s">
        <v>275</v>
      </c>
      <c r="V648" t="s">
        <v>275</v>
      </c>
      <c r="W648" t="s">
        <v>275</v>
      </c>
      <c r="X648" t="s">
        <v>275</v>
      </c>
      <c r="Y648" t="s">
        <v>275</v>
      </c>
      <c r="Z648" t="s">
        <v>275</v>
      </c>
      <c r="AA648" t="s">
        <v>275</v>
      </c>
      <c r="AB648" t="s">
        <v>275</v>
      </c>
      <c r="AC648" t="s">
        <v>275</v>
      </c>
      <c r="AD648" t="s">
        <v>275</v>
      </c>
    </row>
    <row r="649" spans="1:30">
      <c r="A649">
        <v>647</v>
      </c>
      <c r="B649" t="s">
        <v>1335</v>
      </c>
      <c r="C649" t="s">
        <v>1336</v>
      </c>
      <c r="D649" t="str">
        <f>IF(VLOOKUP(C649,'Capabilities Overview'!$A$2:$A$587,1)=C649,"","Not in UCL")</f>
        <v>Not in UCL</v>
      </c>
      <c r="E649" t="s">
        <v>1</v>
      </c>
      <c r="F649" t="s">
        <v>275</v>
      </c>
      <c r="G649" t="s">
        <v>1</v>
      </c>
      <c r="H649" t="s">
        <v>275</v>
      </c>
      <c r="I649" t="s">
        <v>275</v>
      </c>
      <c r="J649" t="s">
        <v>275</v>
      </c>
      <c r="K649" t="s">
        <v>275</v>
      </c>
      <c r="L649" t="s">
        <v>275</v>
      </c>
      <c r="M649" t="s">
        <v>1</v>
      </c>
      <c r="N649" t="s">
        <v>1</v>
      </c>
      <c r="O649" t="s">
        <v>1</v>
      </c>
      <c r="P649" t="s">
        <v>275</v>
      </c>
      <c r="Q649" t="s">
        <v>1</v>
      </c>
      <c r="R649" t="s">
        <v>275</v>
      </c>
      <c r="S649" t="s">
        <v>275</v>
      </c>
      <c r="T649" t="s">
        <v>275</v>
      </c>
      <c r="U649" t="s">
        <v>275</v>
      </c>
      <c r="V649" t="s">
        <v>275</v>
      </c>
      <c r="W649" t="s">
        <v>275</v>
      </c>
      <c r="X649" t="s">
        <v>275</v>
      </c>
      <c r="Y649" t="s">
        <v>275</v>
      </c>
      <c r="Z649" t="s">
        <v>275</v>
      </c>
      <c r="AA649" t="s">
        <v>275</v>
      </c>
      <c r="AB649" t="s">
        <v>275</v>
      </c>
      <c r="AC649" t="s">
        <v>275</v>
      </c>
      <c r="AD649" t="s">
        <v>275</v>
      </c>
    </row>
    <row r="650" spans="1:30">
      <c r="A650">
        <v>648</v>
      </c>
      <c r="B650" t="s">
        <v>1337</v>
      </c>
      <c r="C650" t="s">
        <v>1338</v>
      </c>
      <c r="D650" t="str">
        <f>IF(VLOOKUP(C650,'Capabilities Overview'!$A$2:$A$587,1)=C650,"","Not in UCL")</f>
        <v>Not in UCL</v>
      </c>
      <c r="E650" t="s">
        <v>1</v>
      </c>
      <c r="F650" t="s">
        <v>275</v>
      </c>
      <c r="G650" t="s">
        <v>1</v>
      </c>
      <c r="H650" t="s">
        <v>275</v>
      </c>
      <c r="I650" t="s">
        <v>275</v>
      </c>
      <c r="J650" t="s">
        <v>275</v>
      </c>
      <c r="K650" t="s">
        <v>275</v>
      </c>
      <c r="L650" t="s">
        <v>275</v>
      </c>
      <c r="M650" t="s">
        <v>1</v>
      </c>
      <c r="N650" t="s">
        <v>1</v>
      </c>
      <c r="O650" t="s">
        <v>1</v>
      </c>
      <c r="P650" t="s">
        <v>275</v>
      </c>
      <c r="Q650" t="s">
        <v>1</v>
      </c>
      <c r="R650" t="s">
        <v>1</v>
      </c>
      <c r="S650" t="s">
        <v>275</v>
      </c>
      <c r="T650" t="s">
        <v>275</v>
      </c>
      <c r="U650" t="s">
        <v>275</v>
      </c>
      <c r="V650" t="s">
        <v>275</v>
      </c>
      <c r="W650" t="s">
        <v>275</v>
      </c>
      <c r="X650" t="s">
        <v>275</v>
      </c>
      <c r="Y650" t="s">
        <v>275</v>
      </c>
      <c r="Z650" t="s">
        <v>275</v>
      </c>
      <c r="AA650" t="s">
        <v>275</v>
      </c>
      <c r="AB650" t="s">
        <v>275</v>
      </c>
      <c r="AC650" t="s">
        <v>275</v>
      </c>
      <c r="AD650" t="s">
        <v>275</v>
      </c>
    </row>
    <row r="651" spans="1:30">
      <c r="A651">
        <v>649</v>
      </c>
      <c r="B651" t="s">
        <v>1339</v>
      </c>
      <c r="C651" t="s">
        <v>1340</v>
      </c>
      <c r="D651" t="str">
        <f>IF(VLOOKUP(C651,'Capabilities Overview'!$A$2:$A$587,1)=C651,"","Not in UCL")</f>
        <v>Not in UCL</v>
      </c>
      <c r="E651" t="s">
        <v>1</v>
      </c>
      <c r="F651" t="s">
        <v>275</v>
      </c>
      <c r="G651" t="s">
        <v>1</v>
      </c>
      <c r="H651" t="s">
        <v>275</v>
      </c>
      <c r="I651" t="s">
        <v>275</v>
      </c>
      <c r="J651" t="s">
        <v>275</v>
      </c>
      <c r="K651" t="s">
        <v>275</v>
      </c>
      <c r="L651" t="s">
        <v>275</v>
      </c>
      <c r="M651" t="s">
        <v>1</v>
      </c>
      <c r="N651" t="s">
        <v>1</v>
      </c>
      <c r="O651" t="s">
        <v>1</v>
      </c>
      <c r="P651" t="s">
        <v>275</v>
      </c>
      <c r="Q651" t="s">
        <v>275</v>
      </c>
      <c r="R651" t="s">
        <v>275</v>
      </c>
      <c r="S651" t="s">
        <v>275</v>
      </c>
      <c r="T651" t="s">
        <v>275</v>
      </c>
      <c r="U651" t="s">
        <v>275</v>
      </c>
      <c r="V651" t="s">
        <v>275</v>
      </c>
      <c r="W651" t="s">
        <v>275</v>
      </c>
      <c r="X651" t="s">
        <v>275</v>
      </c>
      <c r="Y651" t="s">
        <v>275</v>
      </c>
      <c r="Z651" t="s">
        <v>275</v>
      </c>
      <c r="AA651" t="s">
        <v>275</v>
      </c>
      <c r="AB651" t="s">
        <v>275</v>
      </c>
      <c r="AC651" t="s">
        <v>275</v>
      </c>
      <c r="AD651" t="s">
        <v>275</v>
      </c>
    </row>
    <row r="652" spans="1:30">
      <c r="A652">
        <v>650</v>
      </c>
      <c r="B652" t="s">
        <v>1341</v>
      </c>
      <c r="C652" t="s">
        <v>1342</v>
      </c>
      <c r="D652" t="str">
        <f>IF(VLOOKUP(C652,'Capabilities Overview'!$A$2:$A$587,1)=C652,"","Not in UCL")</f>
        <v>Not in UCL</v>
      </c>
      <c r="E652" t="s">
        <v>1</v>
      </c>
      <c r="F652" t="s">
        <v>275</v>
      </c>
      <c r="G652" t="s">
        <v>1</v>
      </c>
      <c r="H652" t="s">
        <v>275</v>
      </c>
      <c r="I652" t="s">
        <v>275</v>
      </c>
      <c r="J652" t="s">
        <v>275</v>
      </c>
      <c r="K652" t="s">
        <v>275</v>
      </c>
      <c r="L652" t="s">
        <v>275</v>
      </c>
      <c r="M652" t="s">
        <v>1</v>
      </c>
      <c r="N652" t="s">
        <v>1</v>
      </c>
      <c r="O652" t="s">
        <v>1</v>
      </c>
      <c r="P652" t="s">
        <v>275</v>
      </c>
      <c r="Q652" t="s">
        <v>1</v>
      </c>
      <c r="R652" t="s">
        <v>275</v>
      </c>
      <c r="S652" t="s">
        <v>275</v>
      </c>
      <c r="T652" t="s">
        <v>275</v>
      </c>
      <c r="U652" t="s">
        <v>275</v>
      </c>
      <c r="V652" t="s">
        <v>275</v>
      </c>
      <c r="W652" t="s">
        <v>275</v>
      </c>
      <c r="X652" t="s">
        <v>275</v>
      </c>
      <c r="Y652" t="s">
        <v>275</v>
      </c>
      <c r="Z652" t="s">
        <v>275</v>
      </c>
      <c r="AA652" t="s">
        <v>275</v>
      </c>
      <c r="AB652" t="s">
        <v>275</v>
      </c>
      <c r="AC652" t="s">
        <v>275</v>
      </c>
      <c r="AD652" t="s">
        <v>275</v>
      </c>
    </row>
    <row r="653" spans="1:30">
      <c r="A653">
        <v>651</v>
      </c>
      <c r="B653" t="s">
        <v>1343</v>
      </c>
      <c r="C653" t="s">
        <v>1344</v>
      </c>
      <c r="D653" t="str">
        <f>IF(VLOOKUP(C653,'Capabilities Overview'!$A$2:$A$587,1)=C653,"","Not in UCL")</f>
        <v>Not in UCL</v>
      </c>
      <c r="E653" t="s">
        <v>1</v>
      </c>
      <c r="F653" t="s">
        <v>275</v>
      </c>
      <c r="G653" t="s">
        <v>275</v>
      </c>
      <c r="H653" t="s">
        <v>275</v>
      </c>
      <c r="I653" t="s">
        <v>275</v>
      </c>
      <c r="J653" t="s">
        <v>275</v>
      </c>
      <c r="K653" t="s">
        <v>275</v>
      </c>
      <c r="L653" t="s">
        <v>275</v>
      </c>
      <c r="M653" t="s">
        <v>1</v>
      </c>
      <c r="N653" t="s">
        <v>1</v>
      </c>
      <c r="O653" t="s">
        <v>1</v>
      </c>
      <c r="P653" t="s">
        <v>275</v>
      </c>
      <c r="Q653" t="s">
        <v>1</v>
      </c>
      <c r="R653" t="s">
        <v>275</v>
      </c>
      <c r="S653" t="s">
        <v>275</v>
      </c>
      <c r="T653" t="s">
        <v>275</v>
      </c>
      <c r="U653" t="s">
        <v>275</v>
      </c>
      <c r="V653" t="s">
        <v>275</v>
      </c>
      <c r="W653" t="s">
        <v>275</v>
      </c>
      <c r="X653" t="s">
        <v>275</v>
      </c>
      <c r="Y653" t="s">
        <v>275</v>
      </c>
      <c r="Z653" t="s">
        <v>275</v>
      </c>
      <c r="AA653" t="s">
        <v>275</v>
      </c>
      <c r="AB653" t="s">
        <v>275</v>
      </c>
      <c r="AC653" t="s">
        <v>275</v>
      </c>
      <c r="AD653" t="s">
        <v>275</v>
      </c>
    </row>
    <row r="654" spans="1:30">
      <c r="A654">
        <v>652</v>
      </c>
      <c r="B654" t="s">
        <v>164</v>
      </c>
      <c r="C654" t="s">
        <v>165</v>
      </c>
      <c r="D654" t="str">
        <f>IF(VLOOKUP(C654,'Capabilities Overview'!$A$2:$A$587,1)=C654,"","Not in UCL")</f>
        <v/>
      </c>
      <c r="E654" t="s">
        <v>1</v>
      </c>
      <c r="F654" t="s">
        <v>1</v>
      </c>
      <c r="G654" t="s">
        <v>275</v>
      </c>
      <c r="H654" t="s">
        <v>275</v>
      </c>
      <c r="I654" t="s">
        <v>1</v>
      </c>
      <c r="J654" t="s">
        <v>1</v>
      </c>
      <c r="K654" t="s">
        <v>1</v>
      </c>
      <c r="L654" t="s">
        <v>1</v>
      </c>
      <c r="M654" t="s">
        <v>1</v>
      </c>
      <c r="N654" t="s">
        <v>1</v>
      </c>
      <c r="O654" t="s">
        <v>275</v>
      </c>
      <c r="P654" t="s">
        <v>275</v>
      </c>
      <c r="Q654" t="s">
        <v>275</v>
      </c>
      <c r="R654" t="s">
        <v>275</v>
      </c>
      <c r="S654" t="s">
        <v>1</v>
      </c>
      <c r="T654" t="s">
        <v>1</v>
      </c>
      <c r="U654" t="s">
        <v>275</v>
      </c>
      <c r="V654" t="s">
        <v>275</v>
      </c>
      <c r="W654" t="s">
        <v>1</v>
      </c>
      <c r="X654" t="s">
        <v>275</v>
      </c>
      <c r="Y654" t="s">
        <v>275</v>
      </c>
      <c r="Z654" t="s">
        <v>275</v>
      </c>
      <c r="AA654" t="s">
        <v>275</v>
      </c>
      <c r="AB654" t="s">
        <v>275</v>
      </c>
      <c r="AC654" t="s">
        <v>275</v>
      </c>
      <c r="AD654" t="s">
        <v>1</v>
      </c>
    </row>
    <row r="655" spans="1:30">
      <c r="A655">
        <v>653</v>
      </c>
      <c r="B655" t="s">
        <v>1345</v>
      </c>
      <c r="C655" t="s">
        <v>1346</v>
      </c>
      <c r="D655" t="str">
        <f>IF(VLOOKUP(C655,'Capabilities Overview'!$A$2:$A$587,1)=C655,"","Not in UCL")</f>
        <v/>
      </c>
      <c r="E655" t="s">
        <v>1</v>
      </c>
      <c r="F655" t="s">
        <v>275</v>
      </c>
      <c r="G655" t="s">
        <v>1</v>
      </c>
      <c r="H655" t="s">
        <v>275</v>
      </c>
      <c r="I655" t="s">
        <v>275</v>
      </c>
      <c r="J655" t="s">
        <v>275</v>
      </c>
      <c r="K655" t="s">
        <v>275</v>
      </c>
      <c r="L655" t="s">
        <v>275</v>
      </c>
      <c r="M655" t="s">
        <v>275</v>
      </c>
      <c r="N655" t="s">
        <v>275</v>
      </c>
      <c r="O655" t="s">
        <v>275</v>
      </c>
      <c r="P655" t="s">
        <v>275</v>
      </c>
      <c r="Q655" t="s">
        <v>275</v>
      </c>
      <c r="R655" t="s">
        <v>275</v>
      </c>
      <c r="S655" t="s">
        <v>275</v>
      </c>
      <c r="T655" t="s">
        <v>275</v>
      </c>
      <c r="U655" t="s">
        <v>275</v>
      </c>
      <c r="V655" t="s">
        <v>275</v>
      </c>
      <c r="W655" t="s">
        <v>275</v>
      </c>
      <c r="X655" t="s">
        <v>275</v>
      </c>
      <c r="Y655" t="s">
        <v>275</v>
      </c>
      <c r="Z655" t="s">
        <v>275</v>
      </c>
      <c r="AA655" t="s">
        <v>275</v>
      </c>
      <c r="AB655" t="s">
        <v>275</v>
      </c>
      <c r="AC655" t="s">
        <v>275</v>
      </c>
      <c r="AD655" t="s">
        <v>275</v>
      </c>
    </row>
    <row r="656" spans="1:30">
      <c r="A656">
        <v>654</v>
      </c>
      <c r="B656" t="s">
        <v>1347</v>
      </c>
      <c r="C656" t="s">
        <v>1348</v>
      </c>
      <c r="D656" t="str">
        <f>IF(VLOOKUP(C656,'Capabilities Overview'!$A$2:$A$587,1)=C656,"","Not in UCL")</f>
        <v/>
      </c>
      <c r="E656" t="s">
        <v>1</v>
      </c>
      <c r="F656" t="s">
        <v>275</v>
      </c>
      <c r="G656" t="s">
        <v>1</v>
      </c>
      <c r="H656" t="s">
        <v>275</v>
      </c>
      <c r="I656" t="s">
        <v>275</v>
      </c>
      <c r="J656" t="s">
        <v>275</v>
      </c>
      <c r="K656" t="s">
        <v>275</v>
      </c>
      <c r="L656" t="s">
        <v>275</v>
      </c>
      <c r="M656" t="s">
        <v>275</v>
      </c>
      <c r="N656" t="s">
        <v>275</v>
      </c>
      <c r="O656" t="s">
        <v>275</v>
      </c>
      <c r="P656" t="s">
        <v>275</v>
      </c>
      <c r="Q656" t="s">
        <v>275</v>
      </c>
      <c r="R656" t="s">
        <v>275</v>
      </c>
      <c r="S656" t="s">
        <v>275</v>
      </c>
      <c r="T656" t="s">
        <v>275</v>
      </c>
      <c r="U656" t="s">
        <v>275</v>
      </c>
      <c r="V656" t="s">
        <v>275</v>
      </c>
      <c r="W656" t="s">
        <v>275</v>
      </c>
      <c r="X656" t="s">
        <v>275</v>
      </c>
      <c r="Y656" t="s">
        <v>275</v>
      </c>
      <c r="Z656" t="s">
        <v>275</v>
      </c>
      <c r="AA656" t="s">
        <v>275</v>
      </c>
      <c r="AB656" t="s">
        <v>275</v>
      </c>
      <c r="AC656" t="s">
        <v>275</v>
      </c>
      <c r="AD656" t="s">
        <v>275</v>
      </c>
    </row>
    <row r="657" spans="1:30">
      <c r="A657">
        <v>655</v>
      </c>
      <c r="B657" t="s">
        <v>1349</v>
      </c>
      <c r="C657" t="s">
        <v>1350</v>
      </c>
      <c r="D657" t="str">
        <f>IF(VLOOKUP(C657,'Capabilities Overview'!$A$2:$A$587,1)=C657,"","Not in UCL")</f>
        <v/>
      </c>
      <c r="E657" t="s">
        <v>1</v>
      </c>
      <c r="F657" t="s">
        <v>275</v>
      </c>
      <c r="G657" t="s">
        <v>275</v>
      </c>
      <c r="H657" t="s">
        <v>275</v>
      </c>
      <c r="I657" t="s">
        <v>275</v>
      </c>
      <c r="J657" t="s">
        <v>275</v>
      </c>
      <c r="K657" t="s">
        <v>275</v>
      </c>
      <c r="L657" t="s">
        <v>275</v>
      </c>
      <c r="M657" t="s">
        <v>1</v>
      </c>
      <c r="N657" t="s">
        <v>1</v>
      </c>
      <c r="O657" t="s">
        <v>1</v>
      </c>
      <c r="P657" t="s">
        <v>275</v>
      </c>
      <c r="Q657" t="s">
        <v>275</v>
      </c>
      <c r="R657" t="s">
        <v>275</v>
      </c>
      <c r="S657" t="s">
        <v>275</v>
      </c>
      <c r="T657" t="s">
        <v>275</v>
      </c>
      <c r="U657" t="s">
        <v>275</v>
      </c>
      <c r="V657" t="s">
        <v>275</v>
      </c>
      <c r="W657" t="s">
        <v>275</v>
      </c>
      <c r="X657" t="s">
        <v>275</v>
      </c>
      <c r="Y657" t="s">
        <v>275</v>
      </c>
      <c r="Z657" t="s">
        <v>275</v>
      </c>
      <c r="AA657" t="s">
        <v>275</v>
      </c>
      <c r="AB657" t="s">
        <v>275</v>
      </c>
      <c r="AC657" t="s">
        <v>275</v>
      </c>
      <c r="AD657" t="s">
        <v>275</v>
      </c>
    </row>
    <row r="658" spans="1:30">
      <c r="A658">
        <v>656</v>
      </c>
      <c r="B658" t="s">
        <v>1351</v>
      </c>
      <c r="C658" t="s">
        <v>1352</v>
      </c>
      <c r="D658" t="str">
        <f>IF(VLOOKUP(C658,'Capabilities Overview'!$A$2:$A$587,1)=C658,"","Not in UCL")</f>
        <v/>
      </c>
      <c r="E658" t="s">
        <v>1</v>
      </c>
      <c r="F658" t="s">
        <v>275</v>
      </c>
      <c r="G658" t="s">
        <v>275</v>
      </c>
      <c r="H658" t="s">
        <v>275</v>
      </c>
      <c r="I658" t="s">
        <v>275</v>
      </c>
      <c r="J658" t="s">
        <v>275</v>
      </c>
      <c r="K658" t="s">
        <v>275</v>
      </c>
      <c r="L658" t="s">
        <v>275</v>
      </c>
      <c r="M658" t="s">
        <v>1</v>
      </c>
      <c r="N658" t="s">
        <v>1</v>
      </c>
      <c r="O658" t="s">
        <v>1</v>
      </c>
      <c r="P658" t="s">
        <v>275</v>
      </c>
      <c r="Q658" t="s">
        <v>1</v>
      </c>
      <c r="R658" t="s">
        <v>275</v>
      </c>
      <c r="S658" t="s">
        <v>275</v>
      </c>
      <c r="T658" t="s">
        <v>275</v>
      </c>
      <c r="U658" t="s">
        <v>275</v>
      </c>
      <c r="V658" t="s">
        <v>275</v>
      </c>
      <c r="W658" t="s">
        <v>275</v>
      </c>
      <c r="X658" t="s">
        <v>275</v>
      </c>
      <c r="Y658" t="s">
        <v>275</v>
      </c>
      <c r="Z658" t="s">
        <v>275</v>
      </c>
      <c r="AA658" t="s">
        <v>275</v>
      </c>
      <c r="AB658" t="s">
        <v>275</v>
      </c>
      <c r="AC658" t="s">
        <v>275</v>
      </c>
      <c r="AD658" t="s">
        <v>275</v>
      </c>
    </row>
    <row r="659" spans="1:30">
      <c r="A659">
        <v>657</v>
      </c>
      <c r="B659" t="s">
        <v>1353</v>
      </c>
      <c r="C659" t="s">
        <v>1354</v>
      </c>
      <c r="D659" t="str">
        <f>IF(VLOOKUP(C659,'Capabilities Overview'!$A$2:$A$587,1)=C659,"","Not in UCL")</f>
        <v/>
      </c>
      <c r="E659" t="s">
        <v>1</v>
      </c>
      <c r="F659" t="s">
        <v>275</v>
      </c>
      <c r="G659" t="s">
        <v>1</v>
      </c>
      <c r="H659" t="s">
        <v>275</v>
      </c>
      <c r="I659" t="s">
        <v>275</v>
      </c>
      <c r="J659" t="s">
        <v>275</v>
      </c>
      <c r="K659" t="s">
        <v>275</v>
      </c>
      <c r="L659" t="s">
        <v>275</v>
      </c>
      <c r="M659" t="s">
        <v>1</v>
      </c>
      <c r="N659" t="s">
        <v>1</v>
      </c>
      <c r="O659" t="s">
        <v>1</v>
      </c>
      <c r="P659" t="s">
        <v>275</v>
      </c>
      <c r="Q659" t="s">
        <v>275</v>
      </c>
      <c r="R659" t="s">
        <v>275</v>
      </c>
      <c r="S659" t="s">
        <v>275</v>
      </c>
      <c r="T659" t="s">
        <v>275</v>
      </c>
      <c r="U659" t="s">
        <v>275</v>
      </c>
      <c r="V659" t="s">
        <v>275</v>
      </c>
      <c r="W659" t="s">
        <v>275</v>
      </c>
      <c r="X659" t="s">
        <v>275</v>
      </c>
      <c r="Y659" t="s">
        <v>275</v>
      </c>
      <c r="Z659" t="s">
        <v>275</v>
      </c>
      <c r="AA659" t="s">
        <v>275</v>
      </c>
      <c r="AB659" t="s">
        <v>275</v>
      </c>
      <c r="AC659" t="s">
        <v>275</v>
      </c>
      <c r="AD659" t="s">
        <v>275</v>
      </c>
    </row>
    <row r="660" spans="1:30">
      <c r="A660">
        <v>658</v>
      </c>
      <c r="B660" t="s">
        <v>1355</v>
      </c>
      <c r="C660" t="s">
        <v>1356</v>
      </c>
      <c r="D660" t="str">
        <f>IF(VLOOKUP(C660,'Capabilities Overview'!$A$2:$A$587,1)=C660,"","Not in UCL")</f>
        <v/>
      </c>
      <c r="E660" t="s">
        <v>1</v>
      </c>
      <c r="F660" t="s">
        <v>275</v>
      </c>
      <c r="G660" t="s">
        <v>1</v>
      </c>
      <c r="H660" t="s">
        <v>275</v>
      </c>
      <c r="I660" t="s">
        <v>275</v>
      </c>
      <c r="J660" t="s">
        <v>275</v>
      </c>
      <c r="K660" t="s">
        <v>275</v>
      </c>
      <c r="L660" t="s">
        <v>275</v>
      </c>
      <c r="M660" t="s">
        <v>1</v>
      </c>
      <c r="N660" t="s">
        <v>1</v>
      </c>
      <c r="O660" t="s">
        <v>1</v>
      </c>
      <c r="P660" t="s">
        <v>275</v>
      </c>
      <c r="Q660" t="s">
        <v>275</v>
      </c>
      <c r="R660" t="s">
        <v>275</v>
      </c>
      <c r="S660" t="s">
        <v>275</v>
      </c>
      <c r="T660" t="s">
        <v>275</v>
      </c>
      <c r="U660" t="s">
        <v>275</v>
      </c>
      <c r="V660" t="s">
        <v>275</v>
      </c>
      <c r="W660" t="s">
        <v>275</v>
      </c>
      <c r="X660" t="s">
        <v>275</v>
      </c>
      <c r="Y660" t="s">
        <v>275</v>
      </c>
      <c r="Z660" t="s">
        <v>275</v>
      </c>
      <c r="AA660" t="s">
        <v>275</v>
      </c>
      <c r="AB660" t="s">
        <v>275</v>
      </c>
      <c r="AC660" t="s">
        <v>275</v>
      </c>
      <c r="AD660" t="s">
        <v>275</v>
      </c>
    </row>
    <row r="661" spans="1:30">
      <c r="A661">
        <v>659</v>
      </c>
      <c r="B661" t="s">
        <v>1357</v>
      </c>
      <c r="C661" t="s">
        <v>1358</v>
      </c>
      <c r="D661" t="str">
        <f>IF(VLOOKUP(C661,'Capabilities Overview'!$A$2:$A$587,1)=C661,"","Not in UCL")</f>
        <v/>
      </c>
      <c r="E661" t="s">
        <v>1</v>
      </c>
      <c r="F661" t="s">
        <v>275</v>
      </c>
      <c r="G661" t="s">
        <v>275</v>
      </c>
      <c r="H661" t="s">
        <v>275</v>
      </c>
      <c r="I661" t="s">
        <v>275</v>
      </c>
      <c r="J661" t="s">
        <v>275</v>
      </c>
      <c r="K661" t="s">
        <v>275</v>
      </c>
      <c r="L661" t="s">
        <v>275</v>
      </c>
      <c r="M661" t="s">
        <v>1</v>
      </c>
      <c r="N661" t="s">
        <v>1</v>
      </c>
      <c r="O661" t="s">
        <v>1</v>
      </c>
      <c r="P661" t="s">
        <v>275</v>
      </c>
      <c r="Q661" t="s">
        <v>1</v>
      </c>
      <c r="R661" t="s">
        <v>275</v>
      </c>
      <c r="S661" t="s">
        <v>275</v>
      </c>
      <c r="T661" t="s">
        <v>275</v>
      </c>
      <c r="U661" t="s">
        <v>275</v>
      </c>
      <c r="V661" t="s">
        <v>275</v>
      </c>
      <c r="W661" t="s">
        <v>275</v>
      </c>
      <c r="X661" t="s">
        <v>275</v>
      </c>
      <c r="Y661" t="s">
        <v>275</v>
      </c>
      <c r="Z661" t="s">
        <v>275</v>
      </c>
      <c r="AA661" t="s">
        <v>275</v>
      </c>
      <c r="AB661" t="s">
        <v>275</v>
      </c>
      <c r="AC661" t="s">
        <v>275</v>
      </c>
      <c r="AD661" t="s">
        <v>275</v>
      </c>
    </row>
    <row r="662" spans="1:30">
      <c r="A662">
        <v>660</v>
      </c>
      <c r="B662" t="s">
        <v>1359</v>
      </c>
      <c r="C662" t="s">
        <v>1360</v>
      </c>
      <c r="D662" t="str">
        <f>IF(VLOOKUP(C662,'Capabilities Overview'!$A$2:$A$587,1)=C662,"","Not in UCL")</f>
        <v/>
      </c>
      <c r="E662" t="s">
        <v>1</v>
      </c>
      <c r="F662" t="s">
        <v>275</v>
      </c>
      <c r="G662" t="s">
        <v>1</v>
      </c>
      <c r="H662" t="s">
        <v>275</v>
      </c>
      <c r="I662" t="s">
        <v>275</v>
      </c>
      <c r="J662" t="s">
        <v>275</v>
      </c>
      <c r="K662" t="s">
        <v>275</v>
      </c>
      <c r="L662" t="s">
        <v>275</v>
      </c>
      <c r="M662" t="s">
        <v>1</v>
      </c>
      <c r="N662" t="s">
        <v>1</v>
      </c>
      <c r="O662" t="s">
        <v>1</v>
      </c>
      <c r="P662" t="s">
        <v>275</v>
      </c>
      <c r="Q662" t="s">
        <v>1</v>
      </c>
      <c r="R662" t="s">
        <v>275</v>
      </c>
      <c r="S662" t="s">
        <v>275</v>
      </c>
      <c r="T662" t="s">
        <v>275</v>
      </c>
      <c r="U662" t="s">
        <v>275</v>
      </c>
      <c r="V662" t="s">
        <v>275</v>
      </c>
      <c r="W662" t="s">
        <v>275</v>
      </c>
      <c r="X662" t="s">
        <v>275</v>
      </c>
      <c r="Y662" t="s">
        <v>275</v>
      </c>
      <c r="Z662" t="s">
        <v>275</v>
      </c>
      <c r="AA662" t="s">
        <v>275</v>
      </c>
      <c r="AB662" t="s">
        <v>275</v>
      </c>
      <c r="AC662" t="s">
        <v>275</v>
      </c>
      <c r="AD662" t="s">
        <v>275</v>
      </c>
    </row>
    <row r="663" spans="1:30">
      <c r="A663">
        <v>661</v>
      </c>
      <c r="B663" t="s">
        <v>1361</v>
      </c>
      <c r="C663" t="s">
        <v>1362</v>
      </c>
      <c r="D663" t="str">
        <f>IF(VLOOKUP(C663,'Capabilities Overview'!$A$2:$A$587,1)=C663,"","Not in UCL")</f>
        <v/>
      </c>
      <c r="E663" t="s">
        <v>1</v>
      </c>
      <c r="F663" t="s">
        <v>275</v>
      </c>
      <c r="G663" t="s">
        <v>1</v>
      </c>
      <c r="H663" t="s">
        <v>275</v>
      </c>
      <c r="I663" t="s">
        <v>275</v>
      </c>
      <c r="J663" t="s">
        <v>275</v>
      </c>
      <c r="K663" t="s">
        <v>275</v>
      </c>
      <c r="L663" t="s">
        <v>275</v>
      </c>
      <c r="M663" t="s">
        <v>1</v>
      </c>
      <c r="N663" t="s">
        <v>1</v>
      </c>
      <c r="O663" t="s">
        <v>1</v>
      </c>
      <c r="P663" t="s">
        <v>275</v>
      </c>
      <c r="Q663" t="s">
        <v>1</v>
      </c>
      <c r="R663" t="s">
        <v>1</v>
      </c>
      <c r="S663" t="s">
        <v>275</v>
      </c>
      <c r="T663" t="s">
        <v>275</v>
      </c>
      <c r="U663" t="s">
        <v>275</v>
      </c>
      <c r="V663" t="s">
        <v>275</v>
      </c>
      <c r="W663" t="s">
        <v>275</v>
      </c>
      <c r="X663" t="s">
        <v>275</v>
      </c>
      <c r="Y663" t="s">
        <v>275</v>
      </c>
      <c r="Z663" t="s">
        <v>275</v>
      </c>
      <c r="AA663" t="s">
        <v>275</v>
      </c>
      <c r="AB663" t="s">
        <v>275</v>
      </c>
      <c r="AC663" t="s">
        <v>275</v>
      </c>
      <c r="AD663" t="s">
        <v>275</v>
      </c>
    </row>
    <row r="664" spans="1:30">
      <c r="A664">
        <v>662</v>
      </c>
      <c r="B664" t="s">
        <v>1363</v>
      </c>
      <c r="C664" t="s">
        <v>1364</v>
      </c>
      <c r="D664" t="str">
        <f>IF(VLOOKUP(C664,'Capabilities Overview'!$A$2:$A$587,1)=C664,"","Not in UCL")</f>
        <v/>
      </c>
      <c r="E664" t="s">
        <v>1</v>
      </c>
      <c r="F664" t="s">
        <v>275</v>
      </c>
      <c r="G664" t="s">
        <v>275</v>
      </c>
      <c r="H664" t="s">
        <v>275</v>
      </c>
      <c r="I664" t="s">
        <v>275</v>
      </c>
      <c r="J664" t="s">
        <v>275</v>
      </c>
      <c r="K664" t="s">
        <v>275</v>
      </c>
      <c r="L664" t="s">
        <v>275</v>
      </c>
      <c r="M664" t="s">
        <v>1</v>
      </c>
      <c r="N664" t="s">
        <v>1</v>
      </c>
      <c r="O664" t="s">
        <v>1</v>
      </c>
      <c r="P664" t="s">
        <v>275</v>
      </c>
      <c r="Q664" t="s">
        <v>1</v>
      </c>
      <c r="R664" t="s">
        <v>275</v>
      </c>
      <c r="S664" t="s">
        <v>275</v>
      </c>
      <c r="T664" t="s">
        <v>275</v>
      </c>
      <c r="U664" t="s">
        <v>275</v>
      </c>
      <c r="V664" t="s">
        <v>275</v>
      </c>
      <c r="W664" t="s">
        <v>275</v>
      </c>
      <c r="X664" t="s">
        <v>275</v>
      </c>
      <c r="Y664" t="s">
        <v>275</v>
      </c>
      <c r="Z664" t="s">
        <v>275</v>
      </c>
      <c r="AA664" t="s">
        <v>275</v>
      </c>
      <c r="AB664" t="s">
        <v>275</v>
      </c>
      <c r="AC664" t="s">
        <v>275</v>
      </c>
      <c r="AD664" t="s">
        <v>275</v>
      </c>
    </row>
    <row r="665" spans="1:30">
      <c r="A665">
        <v>663</v>
      </c>
      <c r="B665" t="s">
        <v>1365</v>
      </c>
      <c r="C665" t="s">
        <v>1366</v>
      </c>
      <c r="D665" t="str">
        <f>IF(VLOOKUP(C665,'Capabilities Overview'!$A$2:$A$587,1)=C665,"","Not in UCL")</f>
        <v/>
      </c>
      <c r="E665" t="s">
        <v>1</v>
      </c>
      <c r="F665" t="s">
        <v>275</v>
      </c>
      <c r="G665" t="s">
        <v>275</v>
      </c>
      <c r="H665" t="s">
        <v>275</v>
      </c>
      <c r="I665" t="s">
        <v>275</v>
      </c>
      <c r="J665" t="s">
        <v>275</v>
      </c>
      <c r="K665" t="s">
        <v>275</v>
      </c>
      <c r="L665" t="s">
        <v>275</v>
      </c>
      <c r="M665" t="s">
        <v>1</v>
      </c>
      <c r="N665" t="s">
        <v>1</v>
      </c>
      <c r="O665" t="s">
        <v>1</v>
      </c>
      <c r="P665" t="s">
        <v>275</v>
      </c>
      <c r="Q665" t="s">
        <v>1</v>
      </c>
      <c r="R665" t="s">
        <v>275</v>
      </c>
      <c r="S665" t="s">
        <v>275</v>
      </c>
      <c r="T665" t="s">
        <v>275</v>
      </c>
      <c r="U665" t="s">
        <v>275</v>
      </c>
      <c r="V665" t="s">
        <v>275</v>
      </c>
      <c r="W665" t="s">
        <v>275</v>
      </c>
      <c r="X665" t="s">
        <v>275</v>
      </c>
      <c r="Y665" t="s">
        <v>275</v>
      </c>
      <c r="Z665" t="s">
        <v>275</v>
      </c>
      <c r="AA665" t="s">
        <v>275</v>
      </c>
      <c r="AB665" t="s">
        <v>275</v>
      </c>
      <c r="AC665" t="s">
        <v>275</v>
      </c>
      <c r="AD665" t="s">
        <v>275</v>
      </c>
    </row>
    <row r="666" spans="1:30">
      <c r="A666">
        <v>664</v>
      </c>
      <c r="B666" t="s">
        <v>1367</v>
      </c>
      <c r="C666" t="s">
        <v>1368</v>
      </c>
      <c r="D666" t="str">
        <f>IF(VLOOKUP(C666,'Capabilities Overview'!$A$2:$A$587,1)=C666,"","Not in UCL")</f>
        <v/>
      </c>
      <c r="E666" t="s">
        <v>1</v>
      </c>
      <c r="F666" t="s">
        <v>275</v>
      </c>
      <c r="G666" t="s">
        <v>275</v>
      </c>
      <c r="H666" t="s">
        <v>275</v>
      </c>
      <c r="I666" t="s">
        <v>275</v>
      </c>
      <c r="J666" t="s">
        <v>275</v>
      </c>
      <c r="K666" t="s">
        <v>275</v>
      </c>
      <c r="L666" t="s">
        <v>275</v>
      </c>
      <c r="M666" t="s">
        <v>275</v>
      </c>
      <c r="N666" t="s">
        <v>275</v>
      </c>
      <c r="O666" t="s">
        <v>275</v>
      </c>
      <c r="P666" t="s">
        <v>275</v>
      </c>
      <c r="Q666" t="s">
        <v>275</v>
      </c>
      <c r="R666" t="s">
        <v>1</v>
      </c>
      <c r="S666" t="s">
        <v>275</v>
      </c>
      <c r="T666" t="s">
        <v>275</v>
      </c>
      <c r="U666" t="s">
        <v>275</v>
      </c>
      <c r="V666" t="s">
        <v>275</v>
      </c>
      <c r="W666" t="s">
        <v>275</v>
      </c>
      <c r="X666" t="s">
        <v>275</v>
      </c>
      <c r="Y666" t="s">
        <v>275</v>
      </c>
      <c r="Z666" t="s">
        <v>275</v>
      </c>
      <c r="AA666" t="s">
        <v>275</v>
      </c>
      <c r="AB666" t="s">
        <v>275</v>
      </c>
      <c r="AC666" t="s">
        <v>275</v>
      </c>
      <c r="AD666" t="s">
        <v>275</v>
      </c>
    </row>
    <row r="667" spans="1:30">
      <c r="A667">
        <v>665</v>
      </c>
      <c r="B667" t="s">
        <v>1369</v>
      </c>
      <c r="C667" t="s">
        <v>1370</v>
      </c>
      <c r="D667" t="str">
        <f>IF(VLOOKUP(C667,'Capabilities Overview'!$A$2:$A$587,1)=C667,"","Not in UCL")</f>
        <v/>
      </c>
      <c r="E667" t="s">
        <v>1</v>
      </c>
      <c r="F667" t="s">
        <v>275</v>
      </c>
      <c r="G667" t="s">
        <v>275</v>
      </c>
      <c r="H667" t="s">
        <v>275</v>
      </c>
      <c r="I667" t="s">
        <v>275</v>
      </c>
      <c r="J667" t="s">
        <v>275</v>
      </c>
      <c r="K667" t="s">
        <v>275</v>
      </c>
      <c r="L667" t="s">
        <v>275</v>
      </c>
      <c r="M667" t="s">
        <v>275</v>
      </c>
      <c r="N667" t="s">
        <v>275</v>
      </c>
      <c r="O667" t="s">
        <v>275</v>
      </c>
      <c r="P667" t="s">
        <v>275</v>
      </c>
      <c r="Q667" t="s">
        <v>275</v>
      </c>
      <c r="R667" t="s">
        <v>1</v>
      </c>
      <c r="S667" t="s">
        <v>275</v>
      </c>
      <c r="T667" t="s">
        <v>275</v>
      </c>
      <c r="U667" t="s">
        <v>275</v>
      </c>
      <c r="V667" t="s">
        <v>275</v>
      </c>
      <c r="W667" t="s">
        <v>275</v>
      </c>
      <c r="X667" t="s">
        <v>275</v>
      </c>
      <c r="Y667" t="s">
        <v>275</v>
      </c>
      <c r="Z667" t="s">
        <v>275</v>
      </c>
      <c r="AA667" t="s">
        <v>275</v>
      </c>
      <c r="AB667" t="s">
        <v>275</v>
      </c>
      <c r="AC667" t="s">
        <v>275</v>
      </c>
      <c r="AD667" t="s">
        <v>275</v>
      </c>
    </row>
    <row r="668" spans="1:30">
      <c r="A668">
        <v>666</v>
      </c>
      <c r="B668" t="s">
        <v>1371</v>
      </c>
      <c r="C668" t="s">
        <v>1372</v>
      </c>
      <c r="D668" t="str">
        <f>IF(VLOOKUP(C668,'Capabilities Overview'!$A$2:$A$587,1)=C668,"","Not in UCL")</f>
        <v/>
      </c>
      <c r="E668" t="s">
        <v>1</v>
      </c>
      <c r="F668" t="s">
        <v>275</v>
      </c>
      <c r="G668" t="s">
        <v>1</v>
      </c>
      <c r="H668" t="s">
        <v>275</v>
      </c>
      <c r="I668" t="s">
        <v>275</v>
      </c>
      <c r="J668" t="s">
        <v>275</v>
      </c>
      <c r="K668" t="s">
        <v>275</v>
      </c>
      <c r="L668" t="s">
        <v>275</v>
      </c>
      <c r="M668" t="s">
        <v>1</v>
      </c>
      <c r="N668" t="s">
        <v>1</v>
      </c>
      <c r="O668" t="s">
        <v>1</v>
      </c>
      <c r="P668" t="s">
        <v>275</v>
      </c>
      <c r="Q668" t="s">
        <v>1</v>
      </c>
      <c r="R668" t="s">
        <v>1</v>
      </c>
      <c r="S668" t="s">
        <v>1</v>
      </c>
      <c r="T668" t="s">
        <v>275</v>
      </c>
      <c r="U668" t="s">
        <v>275</v>
      </c>
      <c r="V668" t="s">
        <v>275</v>
      </c>
      <c r="W668" t="s">
        <v>1</v>
      </c>
      <c r="X668" t="s">
        <v>275</v>
      </c>
      <c r="Y668" t="s">
        <v>275</v>
      </c>
      <c r="Z668" t="s">
        <v>275</v>
      </c>
      <c r="AA668" t="s">
        <v>275</v>
      </c>
      <c r="AB668" t="s">
        <v>275</v>
      </c>
      <c r="AC668" t="s">
        <v>275</v>
      </c>
      <c r="AD668" t="s">
        <v>275</v>
      </c>
    </row>
    <row r="669" spans="1:30">
      <c r="A669">
        <v>667</v>
      </c>
      <c r="B669" t="s">
        <v>1373</v>
      </c>
      <c r="C669" t="s">
        <v>1374</v>
      </c>
      <c r="D669" t="str">
        <f>IF(VLOOKUP(C669,'Capabilities Overview'!$A$2:$A$587,1)=C669,"","Not in UCL")</f>
        <v/>
      </c>
      <c r="E669" t="s">
        <v>1</v>
      </c>
      <c r="F669" t="s">
        <v>275</v>
      </c>
      <c r="G669" t="s">
        <v>275</v>
      </c>
      <c r="H669" t="s">
        <v>275</v>
      </c>
      <c r="I669" t="s">
        <v>275</v>
      </c>
      <c r="J669" t="s">
        <v>275</v>
      </c>
      <c r="K669" t="s">
        <v>275</v>
      </c>
      <c r="L669" t="s">
        <v>275</v>
      </c>
      <c r="M669" t="s">
        <v>1</v>
      </c>
      <c r="N669" t="s">
        <v>1</v>
      </c>
      <c r="O669" t="s">
        <v>1</v>
      </c>
      <c r="P669" t="s">
        <v>275</v>
      </c>
      <c r="Q669" t="s">
        <v>1</v>
      </c>
      <c r="R669" t="s">
        <v>275</v>
      </c>
      <c r="S669" t="s">
        <v>275</v>
      </c>
      <c r="T669" t="s">
        <v>275</v>
      </c>
      <c r="U669" t="s">
        <v>275</v>
      </c>
      <c r="V669" t="s">
        <v>275</v>
      </c>
      <c r="W669" t="s">
        <v>275</v>
      </c>
      <c r="X669" t="s">
        <v>275</v>
      </c>
      <c r="Y669" t="s">
        <v>275</v>
      </c>
      <c r="Z669" t="s">
        <v>275</v>
      </c>
      <c r="AA669" t="s">
        <v>275</v>
      </c>
      <c r="AB669" t="s">
        <v>275</v>
      </c>
      <c r="AC669" t="s">
        <v>275</v>
      </c>
      <c r="AD669" t="s">
        <v>275</v>
      </c>
    </row>
    <row r="670" spans="1:30">
      <c r="A670">
        <v>668</v>
      </c>
      <c r="B670" t="s">
        <v>1375</v>
      </c>
      <c r="C670" t="s">
        <v>1376</v>
      </c>
      <c r="D670" t="str">
        <f>IF(VLOOKUP(C670,'Capabilities Overview'!$A$2:$A$587,1)=C670,"","Not in UCL")</f>
        <v/>
      </c>
      <c r="E670" t="s">
        <v>275</v>
      </c>
      <c r="F670" t="s">
        <v>275</v>
      </c>
      <c r="G670" t="s">
        <v>275</v>
      </c>
      <c r="H670" t="s">
        <v>275</v>
      </c>
      <c r="I670" t="s">
        <v>275</v>
      </c>
      <c r="J670" t="s">
        <v>275</v>
      </c>
      <c r="K670" t="s">
        <v>275</v>
      </c>
      <c r="L670" t="s">
        <v>275</v>
      </c>
      <c r="M670" t="s">
        <v>275</v>
      </c>
      <c r="N670" t="s">
        <v>275</v>
      </c>
      <c r="O670" t="s">
        <v>275</v>
      </c>
      <c r="P670" t="s">
        <v>275</v>
      </c>
      <c r="Q670" t="s">
        <v>275</v>
      </c>
      <c r="R670" t="s">
        <v>1</v>
      </c>
      <c r="S670" t="s">
        <v>275</v>
      </c>
      <c r="T670" t="s">
        <v>275</v>
      </c>
      <c r="U670" t="s">
        <v>275</v>
      </c>
      <c r="V670" t="s">
        <v>275</v>
      </c>
      <c r="W670" t="s">
        <v>10</v>
      </c>
      <c r="X670" t="s">
        <v>275</v>
      </c>
      <c r="Y670" t="s">
        <v>275</v>
      </c>
      <c r="Z670" t="s">
        <v>275</v>
      </c>
      <c r="AA670" t="s">
        <v>275</v>
      </c>
      <c r="AB670" t="s">
        <v>275</v>
      </c>
      <c r="AC670" t="s">
        <v>275</v>
      </c>
      <c r="AD670" t="s">
        <v>275</v>
      </c>
    </row>
    <row r="671" spans="1:30">
      <c r="A671">
        <v>669</v>
      </c>
      <c r="B671" t="s">
        <v>1377</v>
      </c>
      <c r="C671" t="s">
        <v>1378</v>
      </c>
      <c r="D671" t="str">
        <f>IF(VLOOKUP(C671,'Capabilities Overview'!$A$2:$A$587,1)=C671,"","Not in UCL")</f>
        <v/>
      </c>
      <c r="E671" t="s">
        <v>1</v>
      </c>
      <c r="F671" t="s">
        <v>1</v>
      </c>
      <c r="G671" t="s">
        <v>275</v>
      </c>
      <c r="H671" t="s">
        <v>275</v>
      </c>
      <c r="I671" t="s">
        <v>275</v>
      </c>
      <c r="J671" t="s">
        <v>275</v>
      </c>
      <c r="K671" t="s">
        <v>275</v>
      </c>
      <c r="L671" t="s">
        <v>275</v>
      </c>
      <c r="M671" t="s">
        <v>1</v>
      </c>
      <c r="N671" t="s">
        <v>1</v>
      </c>
      <c r="O671" t="s">
        <v>1</v>
      </c>
      <c r="P671" t="s">
        <v>275</v>
      </c>
      <c r="Q671" t="s">
        <v>275</v>
      </c>
      <c r="R671" t="s">
        <v>275</v>
      </c>
      <c r="S671" t="s">
        <v>275</v>
      </c>
      <c r="T671" t="s">
        <v>275</v>
      </c>
      <c r="U671" t="s">
        <v>275</v>
      </c>
      <c r="V671" t="s">
        <v>275</v>
      </c>
      <c r="W671" t="s">
        <v>10</v>
      </c>
      <c r="X671" t="s">
        <v>275</v>
      </c>
      <c r="Y671" t="s">
        <v>275</v>
      </c>
      <c r="Z671" t="s">
        <v>275</v>
      </c>
      <c r="AA671" t="s">
        <v>275</v>
      </c>
      <c r="AB671" t="s">
        <v>275</v>
      </c>
      <c r="AC671" t="s">
        <v>275</v>
      </c>
      <c r="AD671" t="s">
        <v>275</v>
      </c>
    </row>
    <row r="672" spans="1:30">
      <c r="A672">
        <v>670</v>
      </c>
      <c r="B672" t="s">
        <v>1379</v>
      </c>
      <c r="C672" t="s">
        <v>1380</v>
      </c>
      <c r="D672" t="str">
        <f>IF(VLOOKUP(C672,'Capabilities Overview'!$A$2:$A$587,1)=C672,"","Not in UCL")</f>
        <v/>
      </c>
      <c r="E672" t="s">
        <v>275</v>
      </c>
      <c r="F672" t="s">
        <v>275</v>
      </c>
      <c r="G672" t="s">
        <v>275</v>
      </c>
      <c r="H672" t="s">
        <v>275</v>
      </c>
      <c r="I672" t="s">
        <v>275</v>
      </c>
      <c r="J672" t="s">
        <v>275</v>
      </c>
      <c r="K672" t="s">
        <v>275</v>
      </c>
      <c r="L672" t="s">
        <v>275</v>
      </c>
      <c r="M672" t="s">
        <v>275</v>
      </c>
      <c r="N672" t="s">
        <v>275</v>
      </c>
      <c r="O672" t="s">
        <v>275</v>
      </c>
      <c r="P672" t="s">
        <v>275</v>
      </c>
      <c r="Q672" t="s">
        <v>275</v>
      </c>
      <c r="R672" t="s">
        <v>275</v>
      </c>
      <c r="S672" t="s">
        <v>275</v>
      </c>
      <c r="T672" t="s">
        <v>275</v>
      </c>
      <c r="U672" t="s">
        <v>275</v>
      </c>
      <c r="V672" t="s">
        <v>275</v>
      </c>
      <c r="W672" t="s">
        <v>10</v>
      </c>
      <c r="X672" t="s">
        <v>275</v>
      </c>
      <c r="Y672" t="s">
        <v>275</v>
      </c>
      <c r="Z672" t="s">
        <v>275</v>
      </c>
      <c r="AA672" t="s">
        <v>275</v>
      </c>
      <c r="AB672" t="s">
        <v>275</v>
      </c>
      <c r="AC672" t="s">
        <v>275</v>
      </c>
      <c r="AD672" t="s">
        <v>275</v>
      </c>
    </row>
    <row r="673" spans="1:30">
      <c r="A673">
        <v>671</v>
      </c>
      <c r="B673" t="s">
        <v>1381</v>
      </c>
      <c r="C673" t="s">
        <v>1382</v>
      </c>
      <c r="D673" t="str">
        <f>IF(VLOOKUP(C673,'Capabilities Overview'!$A$2:$A$587,1)=C673,"","Not in UCL")</f>
        <v/>
      </c>
      <c r="E673" t="s">
        <v>275</v>
      </c>
      <c r="F673" t="s">
        <v>275</v>
      </c>
      <c r="G673" t="s">
        <v>275</v>
      </c>
      <c r="H673" t="s">
        <v>275</v>
      </c>
      <c r="I673" t="s">
        <v>275</v>
      </c>
      <c r="J673" t="s">
        <v>275</v>
      </c>
      <c r="K673" t="s">
        <v>275</v>
      </c>
      <c r="L673" t="s">
        <v>275</v>
      </c>
      <c r="M673" t="s">
        <v>275</v>
      </c>
      <c r="N673" t="s">
        <v>275</v>
      </c>
      <c r="O673" t="s">
        <v>275</v>
      </c>
      <c r="P673" t="s">
        <v>275</v>
      </c>
      <c r="Q673" t="s">
        <v>275</v>
      </c>
      <c r="R673" t="s">
        <v>275</v>
      </c>
      <c r="S673" t="s">
        <v>275</v>
      </c>
      <c r="T673" t="s">
        <v>275</v>
      </c>
      <c r="U673" t="s">
        <v>275</v>
      </c>
      <c r="V673" t="s">
        <v>275</v>
      </c>
      <c r="W673" t="s">
        <v>10</v>
      </c>
      <c r="X673" t="s">
        <v>275</v>
      </c>
      <c r="Y673" t="s">
        <v>275</v>
      </c>
      <c r="Z673" t="s">
        <v>275</v>
      </c>
      <c r="AA673" t="s">
        <v>275</v>
      </c>
      <c r="AB673" t="s">
        <v>275</v>
      </c>
      <c r="AC673" t="s">
        <v>275</v>
      </c>
      <c r="AD673" t="s">
        <v>275</v>
      </c>
    </row>
    <row r="674" spans="1:30">
      <c r="A674">
        <v>672</v>
      </c>
      <c r="B674" t="s">
        <v>1383</v>
      </c>
      <c r="C674" t="s">
        <v>1384</v>
      </c>
      <c r="D674" t="str">
        <f>IF(VLOOKUP(C674,'Capabilities Overview'!$A$2:$A$587,1)=C674,"","Not in UCL")</f>
        <v/>
      </c>
      <c r="E674" t="s">
        <v>275</v>
      </c>
      <c r="F674" t="s">
        <v>275</v>
      </c>
      <c r="G674" t="s">
        <v>275</v>
      </c>
      <c r="H674" t="s">
        <v>275</v>
      </c>
      <c r="I674" t="s">
        <v>275</v>
      </c>
      <c r="J674" t="s">
        <v>275</v>
      </c>
      <c r="K674" t="s">
        <v>275</v>
      </c>
      <c r="L674" t="s">
        <v>275</v>
      </c>
      <c r="M674" t="s">
        <v>275</v>
      </c>
      <c r="N674" t="s">
        <v>275</v>
      </c>
      <c r="O674" t="s">
        <v>275</v>
      </c>
      <c r="P674" t="s">
        <v>275</v>
      </c>
      <c r="Q674" t="s">
        <v>275</v>
      </c>
      <c r="R674" t="s">
        <v>275</v>
      </c>
      <c r="S674" t="s">
        <v>275</v>
      </c>
      <c r="T674" t="s">
        <v>275</v>
      </c>
      <c r="U674" t="s">
        <v>275</v>
      </c>
      <c r="V674" t="s">
        <v>275</v>
      </c>
      <c r="W674" t="s">
        <v>275</v>
      </c>
      <c r="X674" t="s">
        <v>275</v>
      </c>
      <c r="Y674" t="s">
        <v>275</v>
      </c>
      <c r="Z674" t="s">
        <v>275</v>
      </c>
      <c r="AA674" t="s">
        <v>275</v>
      </c>
      <c r="AB674" t="s">
        <v>275</v>
      </c>
      <c r="AC674" t="s">
        <v>275</v>
      </c>
      <c r="AD674" t="s">
        <v>275</v>
      </c>
    </row>
    <row r="675" spans="1:30">
      <c r="A675">
        <v>673</v>
      </c>
      <c r="B675" t="s">
        <v>1385</v>
      </c>
      <c r="C675" t="s">
        <v>1386</v>
      </c>
      <c r="D675" t="str">
        <f>IF(VLOOKUP(C675,'Capabilities Overview'!$A$2:$A$587,1)=C675,"","Not in UCL")</f>
        <v/>
      </c>
      <c r="E675" t="s">
        <v>1</v>
      </c>
      <c r="F675" t="s">
        <v>1</v>
      </c>
      <c r="G675" t="s">
        <v>275</v>
      </c>
      <c r="H675" t="s">
        <v>275</v>
      </c>
      <c r="I675" t="s">
        <v>275</v>
      </c>
      <c r="J675" t="s">
        <v>275</v>
      </c>
      <c r="K675" t="s">
        <v>275</v>
      </c>
      <c r="L675" t="s">
        <v>275</v>
      </c>
      <c r="M675" t="s">
        <v>1</v>
      </c>
      <c r="N675" t="s">
        <v>1</v>
      </c>
      <c r="O675" t="s">
        <v>1</v>
      </c>
      <c r="P675" t="s">
        <v>275</v>
      </c>
      <c r="Q675" t="s">
        <v>1</v>
      </c>
      <c r="R675" t="s">
        <v>275</v>
      </c>
      <c r="S675" t="s">
        <v>275</v>
      </c>
      <c r="T675" t="s">
        <v>275</v>
      </c>
      <c r="U675" t="s">
        <v>275</v>
      </c>
      <c r="V675" t="s">
        <v>275</v>
      </c>
      <c r="W675" t="s">
        <v>10</v>
      </c>
      <c r="X675" t="s">
        <v>275</v>
      </c>
      <c r="Y675" t="s">
        <v>275</v>
      </c>
      <c r="Z675" t="s">
        <v>275</v>
      </c>
      <c r="AA675" t="s">
        <v>275</v>
      </c>
      <c r="AB675" t="s">
        <v>275</v>
      </c>
      <c r="AC675" t="s">
        <v>275</v>
      </c>
      <c r="AD675" t="s">
        <v>275</v>
      </c>
    </row>
    <row r="676" spans="1:30">
      <c r="A676">
        <v>674</v>
      </c>
      <c r="B676" t="s">
        <v>1387</v>
      </c>
      <c r="C676" t="s">
        <v>1388</v>
      </c>
      <c r="D676" t="str">
        <f>IF(VLOOKUP(C676,'Capabilities Overview'!$A$2:$A$587,1)=C676,"","Not in UCL")</f>
        <v/>
      </c>
      <c r="E676" t="s">
        <v>275</v>
      </c>
      <c r="F676" t="s">
        <v>1</v>
      </c>
      <c r="G676" t="s">
        <v>275</v>
      </c>
      <c r="H676" t="s">
        <v>275</v>
      </c>
      <c r="I676" t="s">
        <v>275</v>
      </c>
      <c r="J676" t="s">
        <v>275</v>
      </c>
      <c r="K676" t="s">
        <v>275</v>
      </c>
      <c r="L676" t="s">
        <v>275</v>
      </c>
      <c r="M676" t="s">
        <v>1</v>
      </c>
      <c r="N676" t="s">
        <v>1</v>
      </c>
      <c r="O676" t="s">
        <v>275</v>
      </c>
      <c r="P676" t="s">
        <v>275</v>
      </c>
      <c r="Q676" t="s">
        <v>275</v>
      </c>
      <c r="R676" t="s">
        <v>275</v>
      </c>
      <c r="S676" t="s">
        <v>275</v>
      </c>
      <c r="T676" t="s">
        <v>275</v>
      </c>
      <c r="U676" t="s">
        <v>275</v>
      </c>
      <c r="V676" t="s">
        <v>275</v>
      </c>
      <c r="W676" t="s">
        <v>10</v>
      </c>
      <c r="X676" t="s">
        <v>275</v>
      </c>
      <c r="Y676" t="s">
        <v>275</v>
      </c>
      <c r="Z676" t="s">
        <v>275</v>
      </c>
      <c r="AA676" t="s">
        <v>275</v>
      </c>
      <c r="AB676" t="s">
        <v>275</v>
      </c>
      <c r="AC676" t="s">
        <v>275</v>
      </c>
      <c r="AD676" t="s">
        <v>275</v>
      </c>
    </row>
    <row r="677" spans="1:30">
      <c r="A677">
        <v>675</v>
      </c>
      <c r="B677" t="s">
        <v>1389</v>
      </c>
      <c r="C677" t="s">
        <v>1390</v>
      </c>
      <c r="D677" t="str">
        <f>IF(VLOOKUP(C677,'Capabilities Overview'!$A$2:$A$587,1)=C677,"","Not in UCL")</f>
        <v/>
      </c>
      <c r="E677" t="s">
        <v>1</v>
      </c>
      <c r="F677" t="s">
        <v>1</v>
      </c>
      <c r="G677" t="s">
        <v>275</v>
      </c>
      <c r="H677" t="s">
        <v>275</v>
      </c>
      <c r="I677" t="s">
        <v>275</v>
      </c>
      <c r="J677" t="s">
        <v>275</v>
      </c>
      <c r="K677" t="s">
        <v>275</v>
      </c>
      <c r="L677" t="s">
        <v>275</v>
      </c>
      <c r="M677" t="s">
        <v>1</v>
      </c>
      <c r="N677" t="s">
        <v>1</v>
      </c>
      <c r="O677" t="s">
        <v>1</v>
      </c>
      <c r="P677" t="s">
        <v>275</v>
      </c>
      <c r="Q677" t="s">
        <v>275</v>
      </c>
      <c r="R677" t="s">
        <v>275</v>
      </c>
      <c r="S677" t="s">
        <v>275</v>
      </c>
      <c r="T677" t="s">
        <v>275</v>
      </c>
      <c r="U677" t="s">
        <v>275</v>
      </c>
      <c r="V677" t="s">
        <v>275</v>
      </c>
      <c r="W677" t="s">
        <v>10</v>
      </c>
      <c r="X677" t="s">
        <v>275</v>
      </c>
      <c r="Y677" t="s">
        <v>275</v>
      </c>
      <c r="Z677" t="s">
        <v>275</v>
      </c>
      <c r="AA677" t="s">
        <v>275</v>
      </c>
      <c r="AB677" t="s">
        <v>275</v>
      </c>
      <c r="AC677" t="s">
        <v>275</v>
      </c>
      <c r="AD677" t="s">
        <v>275</v>
      </c>
    </row>
    <row r="678" spans="1:30">
      <c r="A678">
        <v>676</v>
      </c>
      <c r="B678" t="s">
        <v>1391</v>
      </c>
      <c r="C678" t="s">
        <v>1392</v>
      </c>
      <c r="D678" t="str">
        <f>IF(VLOOKUP(C678,'Capabilities Overview'!$A$2:$A$587,1)=C678,"","Not in UCL")</f>
        <v/>
      </c>
      <c r="E678" t="s">
        <v>1</v>
      </c>
      <c r="F678" t="s">
        <v>1</v>
      </c>
      <c r="G678" t="s">
        <v>275</v>
      </c>
      <c r="H678" t="s">
        <v>275</v>
      </c>
      <c r="I678" t="s">
        <v>275</v>
      </c>
      <c r="J678" t="s">
        <v>275</v>
      </c>
      <c r="K678" t="s">
        <v>275</v>
      </c>
      <c r="L678" t="s">
        <v>275</v>
      </c>
      <c r="M678" t="s">
        <v>1</v>
      </c>
      <c r="N678" t="s">
        <v>1</v>
      </c>
      <c r="O678" t="s">
        <v>1</v>
      </c>
      <c r="P678" t="s">
        <v>275</v>
      </c>
      <c r="Q678" t="s">
        <v>275</v>
      </c>
      <c r="R678" t="s">
        <v>275</v>
      </c>
      <c r="S678" t="s">
        <v>275</v>
      </c>
      <c r="T678" t="s">
        <v>275</v>
      </c>
      <c r="U678" t="s">
        <v>275</v>
      </c>
      <c r="V678" t="s">
        <v>275</v>
      </c>
      <c r="W678" t="s">
        <v>10</v>
      </c>
      <c r="X678" t="s">
        <v>275</v>
      </c>
      <c r="Y678" t="s">
        <v>275</v>
      </c>
      <c r="Z678" t="s">
        <v>275</v>
      </c>
      <c r="AA678" t="s">
        <v>275</v>
      </c>
      <c r="AB678" t="s">
        <v>275</v>
      </c>
      <c r="AC678" t="s">
        <v>275</v>
      </c>
      <c r="AD678" t="s">
        <v>275</v>
      </c>
    </row>
    <row r="679" spans="1:30">
      <c r="A679">
        <v>677</v>
      </c>
      <c r="B679" t="s">
        <v>1393</v>
      </c>
      <c r="C679" t="s">
        <v>1394</v>
      </c>
      <c r="D679" t="str">
        <f>IF(VLOOKUP(C679,'Capabilities Overview'!$A$2:$A$587,1)=C679,"","Not in UCL")</f>
        <v/>
      </c>
      <c r="E679" t="s">
        <v>1</v>
      </c>
      <c r="F679" t="s">
        <v>1</v>
      </c>
      <c r="G679" t="s">
        <v>275</v>
      </c>
      <c r="H679" t="s">
        <v>275</v>
      </c>
      <c r="I679" t="s">
        <v>275</v>
      </c>
      <c r="J679" t="s">
        <v>275</v>
      </c>
      <c r="K679" t="s">
        <v>275</v>
      </c>
      <c r="L679" t="s">
        <v>275</v>
      </c>
      <c r="M679" t="s">
        <v>1</v>
      </c>
      <c r="N679" t="s">
        <v>1</v>
      </c>
      <c r="O679" t="s">
        <v>1</v>
      </c>
      <c r="P679" t="s">
        <v>275</v>
      </c>
      <c r="Q679" t="s">
        <v>1</v>
      </c>
      <c r="R679" t="s">
        <v>275</v>
      </c>
      <c r="S679" t="s">
        <v>275</v>
      </c>
      <c r="T679" t="s">
        <v>275</v>
      </c>
      <c r="U679" t="s">
        <v>275</v>
      </c>
      <c r="V679" t="s">
        <v>275</v>
      </c>
      <c r="W679" t="s">
        <v>10</v>
      </c>
      <c r="X679" t="s">
        <v>275</v>
      </c>
      <c r="Y679" t="s">
        <v>275</v>
      </c>
      <c r="Z679" t="s">
        <v>275</v>
      </c>
      <c r="AA679" t="s">
        <v>275</v>
      </c>
      <c r="AB679" t="s">
        <v>275</v>
      </c>
      <c r="AC679" t="s">
        <v>275</v>
      </c>
      <c r="AD679" t="s">
        <v>275</v>
      </c>
    </row>
    <row r="680" spans="1:30">
      <c r="A680">
        <v>678</v>
      </c>
      <c r="B680" t="s">
        <v>1395</v>
      </c>
      <c r="C680" t="s">
        <v>1396</v>
      </c>
      <c r="D680" t="str">
        <f>IF(VLOOKUP(C680,'Capabilities Overview'!$A$2:$A$587,1)=C680,"","Not in UCL")</f>
        <v/>
      </c>
      <c r="E680" t="s">
        <v>1</v>
      </c>
      <c r="F680" t="s">
        <v>1</v>
      </c>
      <c r="G680" t="s">
        <v>275</v>
      </c>
      <c r="H680" t="s">
        <v>275</v>
      </c>
      <c r="I680" t="s">
        <v>275</v>
      </c>
      <c r="J680" t="s">
        <v>275</v>
      </c>
      <c r="K680" t="s">
        <v>275</v>
      </c>
      <c r="L680" t="s">
        <v>275</v>
      </c>
      <c r="M680" t="s">
        <v>1</v>
      </c>
      <c r="N680" t="s">
        <v>1</v>
      </c>
      <c r="O680" t="s">
        <v>1</v>
      </c>
      <c r="P680" t="s">
        <v>275</v>
      </c>
      <c r="Q680" t="s">
        <v>1</v>
      </c>
      <c r="R680" t="s">
        <v>275</v>
      </c>
      <c r="S680" t="s">
        <v>275</v>
      </c>
      <c r="T680" t="s">
        <v>275</v>
      </c>
      <c r="U680" t="s">
        <v>275</v>
      </c>
      <c r="V680" t="s">
        <v>275</v>
      </c>
      <c r="W680" t="s">
        <v>10</v>
      </c>
      <c r="X680" t="s">
        <v>275</v>
      </c>
      <c r="Y680" t="s">
        <v>275</v>
      </c>
      <c r="Z680" t="s">
        <v>275</v>
      </c>
      <c r="AA680" t="s">
        <v>275</v>
      </c>
      <c r="AB680" t="s">
        <v>275</v>
      </c>
      <c r="AC680" t="s">
        <v>275</v>
      </c>
      <c r="AD680" t="s">
        <v>275</v>
      </c>
    </row>
    <row r="681" spans="1:30">
      <c r="A681">
        <v>679</v>
      </c>
      <c r="B681" t="s">
        <v>1397</v>
      </c>
      <c r="C681" t="s">
        <v>1398</v>
      </c>
      <c r="D681" t="str">
        <f>IF(VLOOKUP(C681,'Capabilities Overview'!$A$2:$A$587,1)=C681,"","Not in UCL")</f>
        <v/>
      </c>
      <c r="E681" t="s">
        <v>275</v>
      </c>
      <c r="F681" t="s">
        <v>275</v>
      </c>
      <c r="G681" t="s">
        <v>275</v>
      </c>
      <c r="H681" t="s">
        <v>275</v>
      </c>
      <c r="I681" t="s">
        <v>275</v>
      </c>
      <c r="J681" t="s">
        <v>275</v>
      </c>
      <c r="K681" t="s">
        <v>275</v>
      </c>
      <c r="L681" t="s">
        <v>275</v>
      </c>
      <c r="M681" t="s">
        <v>275</v>
      </c>
      <c r="N681" t="s">
        <v>275</v>
      </c>
      <c r="O681" t="s">
        <v>275</v>
      </c>
      <c r="P681" t="s">
        <v>275</v>
      </c>
      <c r="Q681" t="s">
        <v>275</v>
      </c>
      <c r="R681" t="s">
        <v>1</v>
      </c>
      <c r="S681" t="s">
        <v>275</v>
      </c>
      <c r="T681" t="s">
        <v>275</v>
      </c>
      <c r="U681" t="s">
        <v>275</v>
      </c>
      <c r="V681" t="s">
        <v>275</v>
      </c>
      <c r="W681" t="s">
        <v>10</v>
      </c>
      <c r="X681" t="s">
        <v>275</v>
      </c>
      <c r="Y681" t="s">
        <v>275</v>
      </c>
      <c r="Z681" t="s">
        <v>275</v>
      </c>
      <c r="AA681" t="s">
        <v>275</v>
      </c>
      <c r="AB681" t="s">
        <v>275</v>
      </c>
      <c r="AC681" t="s">
        <v>275</v>
      </c>
      <c r="AD681" t="s">
        <v>275</v>
      </c>
    </row>
    <row r="682" spans="1:30">
      <c r="A682">
        <v>680</v>
      </c>
      <c r="B682" t="s">
        <v>1399</v>
      </c>
      <c r="C682" t="s">
        <v>1400</v>
      </c>
      <c r="D682" t="str">
        <f>IF(VLOOKUP(C682,'Capabilities Overview'!$A$2:$A$587,1)=C682,"","Not in UCL")</f>
        <v/>
      </c>
      <c r="E682" t="s">
        <v>1</v>
      </c>
      <c r="F682" t="s">
        <v>1</v>
      </c>
      <c r="G682" t="s">
        <v>275</v>
      </c>
      <c r="H682" t="s">
        <v>275</v>
      </c>
      <c r="I682" t="s">
        <v>1</v>
      </c>
      <c r="J682" t="s">
        <v>275</v>
      </c>
      <c r="K682" t="s">
        <v>275</v>
      </c>
      <c r="L682" t="s">
        <v>1</v>
      </c>
      <c r="M682" t="s">
        <v>1</v>
      </c>
      <c r="N682" t="s">
        <v>1</v>
      </c>
      <c r="O682" t="s">
        <v>1</v>
      </c>
      <c r="P682" t="s">
        <v>275</v>
      </c>
      <c r="Q682" t="s">
        <v>1</v>
      </c>
      <c r="R682" t="s">
        <v>1</v>
      </c>
      <c r="S682" t="s">
        <v>1</v>
      </c>
      <c r="T682" t="s">
        <v>275</v>
      </c>
      <c r="U682" t="s">
        <v>275</v>
      </c>
      <c r="V682" t="s">
        <v>275</v>
      </c>
      <c r="W682" t="s">
        <v>275</v>
      </c>
      <c r="X682" t="s">
        <v>275</v>
      </c>
      <c r="Y682" t="s">
        <v>275</v>
      </c>
      <c r="Z682" t="s">
        <v>275</v>
      </c>
      <c r="AA682" t="s">
        <v>275</v>
      </c>
      <c r="AB682" t="s">
        <v>275</v>
      </c>
      <c r="AC682" t="s">
        <v>275</v>
      </c>
      <c r="AD682" t="s">
        <v>275</v>
      </c>
    </row>
    <row r="683" spans="1:30">
      <c r="A683">
        <v>681</v>
      </c>
      <c r="B683" t="s">
        <v>1401</v>
      </c>
      <c r="C683" t="s">
        <v>1402</v>
      </c>
      <c r="D683" t="str">
        <f>IF(VLOOKUP(C683,'Capabilities Overview'!$A$2:$A$587,1)=C683,"","Not in UCL")</f>
        <v/>
      </c>
      <c r="E683" t="s">
        <v>1</v>
      </c>
      <c r="F683" t="s">
        <v>275</v>
      </c>
      <c r="G683" t="s">
        <v>275</v>
      </c>
      <c r="H683" t="s">
        <v>275</v>
      </c>
      <c r="I683" t="s">
        <v>1</v>
      </c>
      <c r="J683" t="s">
        <v>275</v>
      </c>
      <c r="K683" t="s">
        <v>275</v>
      </c>
      <c r="L683" t="s">
        <v>1</v>
      </c>
      <c r="M683" t="s">
        <v>1</v>
      </c>
      <c r="N683" t="s">
        <v>1</v>
      </c>
      <c r="O683" t="s">
        <v>1</v>
      </c>
      <c r="P683" t="s">
        <v>275</v>
      </c>
      <c r="Q683" t="s">
        <v>1</v>
      </c>
      <c r="R683" t="s">
        <v>275</v>
      </c>
      <c r="S683" t="s">
        <v>275</v>
      </c>
      <c r="T683" t="s">
        <v>275</v>
      </c>
      <c r="U683" t="s">
        <v>275</v>
      </c>
      <c r="V683" t="s">
        <v>275</v>
      </c>
      <c r="W683" t="s">
        <v>275</v>
      </c>
      <c r="X683" t="s">
        <v>275</v>
      </c>
      <c r="Y683" t="s">
        <v>275</v>
      </c>
      <c r="Z683" t="s">
        <v>275</v>
      </c>
      <c r="AA683" t="s">
        <v>275</v>
      </c>
      <c r="AB683" t="s">
        <v>275</v>
      </c>
      <c r="AC683" t="s">
        <v>275</v>
      </c>
      <c r="AD683" t="s">
        <v>275</v>
      </c>
    </row>
    <row r="684" spans="1:30">
      <c r="A684">
        <v>682</v>
      </c>
      <c r="B684" t="s">
        <v>166</v>
      </c>
      <c r="C684" t="s">
        <v>167</v>
      </c>
      <c r="D684" t="str">
        <f>IF(VLOOKUP(C684,'Capabilities Overview'!$A$2:$A$587,1)=C684,"","Not in UCL")</f>
        <v/>
      </c>
      <c r="E684" t="s">
        <v>275</v>
      </c>
      <c r="F684" t="s">
        <v>1</v>
      </c>
      <c r="G684" t="s">
        <v>275</v>
      </c>
      <c r="H684" t="s">
        <v>275</v>
      </c>
      <c r="I684" t="s">
        <v>1</v>
      </c>
      <c r="J684" t="s">
        <v>1</v>
      </c>
      <c r="K684" t="s">
        <v>1</v>
      </c>
      <c r="L684" t="s">
        <v>1</v>
      </c>
      <c r="M684" t="s">
        <v>1</v>
      </c>
      <c r="N684" t="s">
        <v>1</v>
      </c>
      <c r="O684" t="s">
        <v>275</v>
      </c>
      <c r="P684" t="s">
        <v>275</v>
      </c>
      <c r="Q684" t="s">
        <v>275</v>
      </c>
      <c r="R684" t="s">
        <v>275</v>
      </c>
      <c r="S684" t="s">
        <v>1</v>
      </c>
      <c r="T684" t="s">
        <v>1</v>
      </c>
      <c r="U684" t="s">
        <v>275</v>
      </c>
      <c r="V684" t="s">
        <v>275</v>
      </c>
      <c r="W684" t="s">
        <v>1</v>
      </c>
      <c r="X684" t="s">
        <v>275</v>
      </c>
      <c r="Y684" t="s">
        <v>275</v>
      </c>
      <c r="Z684" t="s">
        <v>275</v>
      </c>
      <c r="AA684" t="s">
        <v>275</v>
      </c>
      <c r="AB684" t="s">
        <v>275</v>
      </c>
      <c r="AC684" t="s">
        <v>275</v>
      </c>
      <c r="AD684" t="s">
        <v>1</v>
      </c>
    </row>
    <row r="685" spans="1:30">
      <c r="A685">
        <v>683</v>
      </c>
      <c r="B685" t="s">
        <v>1403</v>
      </c>
      <c r="C685" t="s">
        <v>1404</v>
      </c>
      <c r="D685" t="str">
        <f>IF(VLOOKUP(C685,'Capabilities Overview'!$A$2:$A$587,1)=C685,"","Not in UCL")</f>
        <v/>
      </c>
      <c r="E685" t="s">
        <v>41</v>
      </c>
      <c r="F685" t="s">
        <v>1</v>
      </c>
      <c r="G685" t="s">
        <v>41</v>
      </c>
      <c r="H685" t="s">
        <v>275</v>
      </c>
      <c r="I685" t="s">
        <v>275</v>
      </c>
      <c r="J685" t="s">
        <v>275</v>
      </c>
      <c r="K685" t="s">
        <v>275</v>
      </c>
      <c r="L685" t="s">
        <v>275</v>
      </c>
      <c r="M685" t="s">
        <v>41</v>
      </c>
      <c r="N685" t="s">
        <v>41</v>
      </c>
      <c r="O685" t="s">
        <v>41</v>
      </c>
      <c r="P685" t="s">
        <v>275</v>
      </c>
      <c r="Q685" t="s">
        <v>41</v>
      </c>
      <c r="R685" t="s">
        <v>1</v>
      </c>
      <c r="S685" t="s">
        <v>275</v>
      </c>
      <c r="T685" t="s">
        <v>275</v>
      </c>
      <c r="U685" t="s">
        <v>275</v>
      </c>
      <c r="V685" t="s">
        <v>275</v>
      </c>
      <c r="W685" t="s">
        <v>275</v>
      </c>
      <c r="X685" t="s">
        <v>275</v>
      </c>
      <c r="Y685" t="s">
        <v>275</v>
      </c>
      <c r="Z685" t="s">
        <v>275</v>
      </c>
      <c r="AA685" t="s">
        <v>275</v>
      </c>
      <c r="AB685" t="s">
        <v>275</v>
      </c>
      <c r="AC685" t="s">
        <v>275</v>
      </c>
      <c r="AD685" t="s">
        <v>275</v>
      </c>
    </row>
    <row r="686" spans="1:30">
      <c r="A686">
        <v>684</v>
      </c>
      <c r="B686" t="s">
        <v>1405</v>
      </c>
      <c r="C686" t="s">
        <v>1406</v>
      </c>
      <c r="D686" t="str">
        <f>IF(VLOOKUP(C686,'Capabilities Overview'!$A$2:$A$587,1)=C686,"","Not in UCL")</f>
        <v/>
      </c>
      <c r="E686" t="s">
        <v>41</v>
      </c>
      <c r="F686" t="s">
        <v>1</v>
      </c>
      <c r="G686" t="s">
        <v>41</v>
      </c>
      <c r="H686" t="s">
        <v>275</v>
      </c>
      <c r="I686" t="s">
        <v>275</v>
      </c>
      <c r="J686" t="s">
        <v>275</v>
      </c>
      <c r="K686" t="s">
        <v>275</v>
      </c>
      <c r="L686" t="s">
        <v>275</v>
      </c>
      <c r="M686" t="s">
        <v>1</v>
      </c>
      <c r="N686" t="s">
        <v>1</v>
      </c>
      <c r="O686" t="s">
        <v>1</v>
      </c>
      <c r="P686" t="s">
        <v>275</v>
      </c>
      <c r="Q686" t="s">
        <v>1</v>
      </c>
      <c r="R686" t="s">
        <v>41</v>
      </c>
      <c r="S686" t="s">
        <v>275</v>
      </c>
      <c r="T686" t="s">
        <v>275</v>
      </c>
      <c r="U686" t="s">
        <v>275</v>
      </c>
      <c r="V686" t="s">
        <v>275</v>
      </c>
      <c r="W686" t="s">
        <v>275</v>
      </c>
      <c r="X686" t="s">
        <v>275</v>
      </c>
      <c r="Y686" t="s">
        <v>275</v>
      </c>
      <c r="Z686" t="s">
        <v>275</v>
      </c>
      <c r="AA686" t="s">
        <v>275</v>
      </c>
      <c r="AB686" t="s">
        <v>275</v>
      </c>
      <c r="AC686" t="s">
        <v>275</v>
      </c>
      <c r="AD686" t="s">
        <v>275</v>
      </c>
    </row>
    <row r="687" spans="1:30">
      <c r="A687">
        <v>685</v>
      </c>
      <c r="B687" t="s">
        <v>1407</v>
      </c>
      <c r="C687" t="s">
        <v>1408</v>
      </c>
      <c r="D687" t="str">
        <f>IF(VLOOKUP(C687,'Capabilities Overview'!$A$2:$A$587,1)=C687,"","Not in UCL")</f>
        <v/>
      </c>
      <c r="E687" t="s">
        <v>1</v>
      </c>
      <c r="F687" t="s">
        <v>1</v>
      </c>
      <c r="G687" t="s">
        <v>1</v>
      </c>
      <c r="H687" t="s">
        <v>275</v>
      </c>
      <c r="I687" t="s">
        <v>275</v>
      </c>
      <c r="J687" t="s">
        <v>275</v>
      </c>
      <c r="K687" t="s">
        <v>275</v>
      </c>
      <c r="L687" t="s">
        <v>275</v>
      </c>
      <c r="M687" t="s">
        <v>1</v>
      </c>
      <c r="N687" t="s">
        <v>1</v>
      </c>
      <c r="O687" t="s">
        <v>1</v>
      </c>
      <c r="P687" t="s">
        <v>275</v>
      </c>
      <c r="Q687" t="s">
        <v>41</v>
      </c>
      <c r="R687" t="s">
        <v>10</v>
      </c>
      <c r="S687" t="s">
        <v>275</v>
      </c>
      <c r="T687" t="s">
        <v>275</v>
      </c>
      <c r="U687" t="s">
        <v>275</v>
      </c>
      <c r="V687" t="s">
        <v>275</v>
      </c>
      <c r="W687" t="s">
        <v>275</v>
      </c>
      <c r="X687" t="s">
        <v>275</v>
      </c>
      <c r="Y687" t="s">
        <v>275</v>
      </c>
      <c r="Z687" t="s">
        <v>275</v>
      </c>
      <c r="AA687" t="s">
        <v>275</v>
      </c>
      <c r="AB687" t="s">
        <v>275</v>
      </c>
      <c r="AC687" t="s">
        <v>275</v>
      </c>
      <c r="AD687" t="s">
        <v>275</v>
      </c>
    </row>
    <row r="688" spans="1:30">
      <c r="A688">
        <v>686</v>
      </c>
      <c r="B688" t="s">
        <v>1409</v>
      </c>
      <c r="C688" t="s">
        <v>1410</v>
      </c>
      <c r="D688" t="str">
        <f>IF(VLOOKUP(C688,'Capabilities Overview'!$A$2:$A$587,1)=C688,"","Not in UCL")</f>
        <v/>
      </c>
      <c r="E688" t="s">
        <v>1</v>
      </c>
      <c r="F688" t="s">
        <v>1</v>
      </c>
      <c r="G688" t="s">
        <v>1</v>
      </c>
      <c r="H688" t="s">
        <v>275</v>
      </c>
      <c r="I688" t="s">
        <v>275</v>
      </c>
      <c r="J688" t="s">
        <v>275</v>
      </c>
      <c r="K688" t="s">
        <v>275</v>
      </c>
      <c r="L688" t="s">
        <v>275</v>
      </c>
      <c r="M688" t="s">
        <v>1</v>
      </c>
      <c r="N688" t="s">
        <v>1</v>
      </c>
      <c r="O688" t="s">
        <v>1</v>
      </c>
      <c r="P688" t="s">
        <v>275</v>
      </c>
      <c r="Q688" t="s">
        <v>41</v>
      </c>
      <c r="R688" t="s">
        <v>10</v>
      </c>
      <c r="S688" t="s">
        <v>275</v>
      </c>
      <c r="T688" t="s">
        <v>275</v>
      </c>
      <c r="U688" t="s">
        <v>275</v>
      </c>
      <c r="V688" t="s">
        <v>275</v>
      </c>
      <c r="W688" t="s">
        <v>275</v>
      </c>
      <c r="X688" t="s">
        <v>275</v>
      </c>
      <c r="Y688" t="s">
        <v>275</v>
      </c>
      <c r="Z688" t="s">
        <v>275</v>
      </c>
      <c r="AA688" t="s">
        <v>275</v>
      </c>
      <c r="AB688" t="s">
        <v>275</v>
      </c>
      <c r="AC688" t="s">
        <v>275</v>
      </c>
      <c r="AD688" t="s">
        <v>275</v>
      </c>
    </row>
    <row r="689" spans="1:30">
      <c r="A689">
        <v>687</v>
      </c>
      <c r="B689" t="s">
        <v>1411</v>
      </c>
      <c r="C689" t="s">
        <v>1412</v>
      </c>
      <c r="D689" t="str">
        <f>IF(VLOOKUP(C689,'Capabilities Overview'!$A$2:$A$587,1)=C689,"","Not in UCL")</f>
        <v/>
      </c>
      <c r="E689" t="s">
        <v>1</v>
      </c>
      <c r="F689" t="s">
        <v>1</v>
      </c>
      <c r="G689" t="s">
        <v>1</v>
      </c>
      <c r="H689" t="s">
        <v>275</v>
      </c>
      <c r="I689" t="s">
        <v>275</v>
      </c>
      <c r="J689" t="s">
        <v>275</v>
      </c>
      <c r="K689" t="s">
        <v>275</v>
      </c>
      <c r="L689" t="s">
        <v>275</v>
      </c>
      <c r="M689" t="s">
        <v>1</v>
      </c>
      <c r="N689" t="s">
        <v>1</v>
      </c>
      <c r="O689" t="s">
        <v>1</v>
      </c>
      <c r="P689" t="s">
        <v>275</v>
      </c>
      <c r="Q689" t="s">
        <v>1</v>
      </c>
      <c r="R689" t="s">
        <v>1</v>
      </c>
      <c r="S689" t="s">
        <v>275</v>
      </c>
      <c r="T689" t="s">
        <v>275</v>
      </c>
      <c r="U689" t="s">
        <v>275</v>
      </c>
      <c r="V689" t="s">
        <v>275</v>
      </c>
      <c r="W689" t="s">
        <v>275</v>
      </c>
      <c r="X689" t="s">
        <v>275</v>
      </c>
      <c r="Y689" t="s">
        <v>275</v>
      </c>
      <c r="Z689" t="s">
        <v>275</v>
      </c>
      <c r="AA689" t="s">
        <v>275</v>
      </c>
      <c r="AB689" t="s">
        <v>275</v>
      </c>
      <c r="AC689" t="s">
        <v>275</v>
      </c>
      <c r="AD689" t="s">
        <v>275</v>
      </c>
    </row>
    <row r="690" spans="1:30">
      <c r="A690">
        <v>688</v>
      </c>
      <c r="B690" t="s">
        <v>1413</v>
      </c>
      <c r="C690" t="s">
        <v>1414</v>
      </c>
      <c r="D690" t="str">
        <f>IF(VLOOKUP(C690,'Capabilities Overview'!$A$2:$A$587,1)=C690,"","Not in UCL")</f>
        <v/>
      </c>
      <c r="E690" t="s">
        <v>1</v>
      </c>
      <c r="F690" t="s">
        <v>1</v>
      </c>
      <c r="G690" t="s">
        <v>1</v>
      </c>
      <c r="H690" t="s">
        <v>275</v>
      </c>
      <c r="I690" t="s">
        <v>275</v>
      </c>
      <c r="J690" t="s">
        <v>275</v>
      </c>
      <c r="K690" t="s">
        <v>275</v>
      </c>
      <c r="L690" t="s">
        <v>275</v>
      </c>
      <c r="M690" t="s">
        <v>1</v>
      </c>
      <c r="N690" t="s">
        <v>1</v>
      </c>
      <c r="O690" t="s">
        <v>1</v>
      </c>
      <c r="P690" t="s">
        <v>275</v>
      </c>
      <c r="Q690" t="s">
        <v>1</v>
      </c>
      <c r="R690" t="s">
        <v>10</v>
      </c>
      <c r="S690" t="s">
        <v>275</v>
      </c>
      <c r="T690" t="s">
        <v>275</v>
      </c>
      <c r="U690" t="s">
        <v>275</v>
      </c>
      <c r="V690" t="s">
        <v>275</v>
      </c>
      <c r="W690" t="s">
        <v>275</v>
      </c>
      <c r="X690" t="s">
        <v>275</v>
      </c>
      <c r="Y690" t="s">
        <v>275</v>
      </c>
      <c r="Z690" t="s">
        <v>275</v>
      </c>
      <c r="AA690" t="s">
        <v>275</v>
      </c>
      <c r="AB690" t="s">
        <v>275</v>
      </c>
      <c r="AC690" t="s">
        <v>275</v>
      </c>
      <c r="AD690" t="s">
        <v>275</v>
      </c>
    </row>
    <row r="691" spans="1:30">
      <c r="A691">
        <v>689</v>
      </c>
      <c r="B691" t="s">
        <v>1415</v>
      </c>
      <c r="C691" t="s">
        <v>1416</v>
      </c>
      <c r="D691" t="str">
        <f>IF(VLOOKUP(C691,'Capabilities Overview'!$A$2:$A$587,1)=C691,"","Not in UCL")</f>
        <v/>
      </c>
      <c r="E691" t="s">
        <v>1</v>
      </c>
      <c r="F691" t="s">
        <v>1</v>
      </c>
      <c r="G691" t="s">
        <v>1</v>
      </c>
      <c r="H691" t="s">
        <v>275</v>
      </c>
      <c r="I691" t="s">
        <v>275</v>
      </c>
      <c r="J691" t="s">
        <v>275</v>
      </c>
      <c r="K691" t="s">
        <v>275</v>
      </c>
      <c r="L691" t="s">
        <v>275</v>
      </c>
      <c r="M691" t="s">
        <v>1</v>
      </c>
      <c r="N691" t="s">
        <v>1</v>
      </c>
      <c r="O691" t="s">
        <v>1</v>
      </c>
      <c r="P691" t="s">
        <v>275</v>
      </c>
      <c r="Q691" t="s">
        <v>41</v>
      </c>
      <c r="R691" t="s">
        <v>10</v>
      </c>
      <c r="S691" t="s">
        <v>275</v>
      </c>
      <c r="T691" t="s">
        <v>275</v>
      </c>
      <c r="U691" t="s">
        <v>275</v>
      </c>
      <c r="V691" t="s">
        <v>275</v>
      </c>
      <c r="W691" t="s">
        <v>275</v>
      </c>
      <c r="X691" t="s">
        <v>275</v>
      </c>
      <c r="Y691" t="s">
        <v>275</v>
      </c>
      <c r="Z691" t="s">
        <v>275</v>
      </c>
      <c r="AA691" t="s">
        <v>275</v>
      </c>
      <c r="AB691" t="s">
        <v>275</v>
      </c>
      <c r="AC691" t="s">
        <v>275</v>
      </c>
      <c r="AD691" t="s">
        <v>275</v>
      </c>
    </row>
    <row r="692" spans="1:30">
      <c r="A692">
        <v>690</v>
      </c>
      <c r="B692" t="s">
        <v>1417</v>
      </c>
      <c r="C692" t="s">
        <v>1418</v>
      </c>
      <c r="D692" t="str">
        <f>IF(VLOOKUP(C692,'Capabilities Overview'!$A$2:$A$587,1)=C692,"","Not in UCL")</f>
        <v/>
      </c>
      <c r="E692" t="s">
        <v>1</v>
      </c>
      <c r="F692" t="s">
        <v>1</v>
      </c>
      <c r="G692" t="s">
        <v>1</v>
      </c>
      <c r="H692" t="s">
        <v>275</v>
      </c>
      <c r="I692" t="s">
        <v>275</v>
      </c>
      <c r="J692" t="s">
        <v>275</v>
      </c>
      <c r="K692" t="s">
        <v>275</v>
      </c>
      <c r="L692" t="s">
        <v>275</v>
      </c>
      <c r="M692" t="s">
        <v>1</v>
      </c>
      <c r="N692" t="s">
        <v>1</v>
      </c>
      <c r="O692" t="s">
        <v>1</v>
      </c>
      <c r="P692" t="s">
        <v>275</v>
      </c>
      <c r="Q692" t="s">
        <v>1</v>
      </c>
      <c r="R692" t="s">
        <v>1</v>
      </c>
      <c r="S692" t="s">
        <v>275</v>
      </c>
      <c r="T692" t="s">
        <v>275</v>
      </c>
      <c r="U692" t="s">
        <v>275</v>
      </c>
      <c r="V692" t="s">
        <v>275</v>
      </c>
      <c r="W692" t="s">
        <v>275</v>
      </c>
      <c r="X692" t="s">
        <v>275</v>
      </c>
      <c r="Y692" t="s">
        <v>275</v>
      </c>
      <c r="Z692" t="s">
        <v>275</v>
      </c>
      <c r="AA692" t="s">
        <v>275</v>
      </c>
      <c r="AB692" t="s">
        <v>275</v>
      </c>
      <c r="AC692" t="s">
        <v>275</v>
      </c>
      <c r="AD692" t="s">
        <v>275</v>
      </c>
    </row>
    <row r="693" spans="1:30">
      <c r="A693">
        <v>691</v>
      </c>
      <c r="B693" t="s">
        <v>1419</v>
      </c>
      <c r="C693" t="s">
        <v>1420</v>
      </c>
      <c r="D693" t="str">
        <f>IF(VLOOKUP(C693,'Capabilities Overview'!$A$2:$A$587,1)=C693,"","Not in UCL")</f>
        <v/>
      </c>
      <c r="E693" t="s">
        <v>1</v>
      </c>
      <c r="F693" t="s">
        <v>275</v>
      </c>
      <c r="G693" t="s">
        <v>1</v>
      </c>
      <c r="H693" t="s">
        <v>275</v>
      </c>
      <c r="I693" t="s">
        <v>275</v>
      </c>
      <c r="J693" t="s">
        <v>275</v>
      </c>
      <c r="K693" t="s">
        <v>275</v>
      </c>
      <c r="L693" t="s">
        <v>275</v>
      </c>
      <c r="M693" t="s">
        <v>1</v>
      </c>
      <c r="N693" t="s">
        <v>1</v>
      </c>
      <c r="O693" t="s">
        <v>1</v>
      </c>
      <c r="P693" t="s">
        <v>275</v>
      </c>
      <c r="Q693" t="s">
        <v>1</v>
      </c>
      <c r="R693" t="s">
        <v>41</v>
      </c>
      <c r="S693" t="s">
        <v>275</v>
      </c>
      <c r="T693" t="s">
        <v>275</v>
      </c>
      <c r="U693" t="s">
        <v>275</v>
      </c>
      <c r="V693" t="s">
        <v>275</v>
      </c>
      <c r="W693" t="s">
        <v>275</v>
      </c>
      <c r="X693" t="s">
        <v>275</v>
      </c>
      <c r="Y693" t="s">
        <v>275</v>
      </c>
      <c r="Z693" t="s">
        <v>275</v>
      </c>
      <c r="AA693" t="s">
        <v>275</v>
      </c>
      <c r="AB693" t="s">
        <v>275</v>
      </c>
      <c r="AC693" t="s">
        <v>275</v>
      </c>
      <c r="AD693" t="s">
        <v>275</v>
      </c>
    </row>
    <row r="694" spans="1:30">
      <c r="A694">
        <v>692</v>
      </c>
      <c r="B694" t="s">
        <v>1421</v>
      </c>
      <c r="C694" t="s">
        <v>1422</v>
      </c>
      <c r="D694" t="str">
        <f>IF(VLOOKUP(C694,'Capabilities Overview'!$A$2:$A$587,1)=C694,"","Not in UCL")</f>
        <v/>
      </c>
      <c r="E694" t="s">
        <v>275</v>
      </c>
      <c r="F694" t="s">
        <v>275</v>
      </c>
      <c r="G694" t="s">
        <v>275</v>
      </c>
      <c r="H694" t="s">
        <v>275</v>
      </c>
      <c r="I694" t="s">
        <v>275</v>
      </c>
      <c r="J694" t="s">
        <v>275</v>
      </c>
      <c r="K694" t="s">
        <v>275</v>
      </c>
      <c r="L694" t="s">
        <v>275</v>
      </c>
      <c r="M694" t="s">
        <v>275</v>
      </c>
      <c r="N694" t="s">
        <v>275</v>
      </c>
      <c r="O694" t="s">
        <v>275</v>
      </c>
      <c r="P694" t="s">
        <v>275</v>
      </c>
      <c r="Q694" t="s">
        <v>275</v>
      </c>
      <c r="R694" t="s">
        <v>275</v>
      </c>
      <c r="S694" t="s">
        <v>275</v>
      </c>
      <c r="T694" t="s">
        <v>275</v>
      </c>
      <c r="U694" t="s">
        <v>275</v>
      </c>
      <c r="V694" t="s">
        <v>275</v>
      </c>
      <c r="W694" t="s">
        <v>10</v>
      </c>
      <c r="X694" t="s">
        <v>275</v>
      </c>
      <c r="Y694" t="s">
        <v>275</v>
      </c>
      <c r="Z694" t="s">
        <v>275</v>
      </c>
      <c r="AA694" t="s">
        <v>275</v>
      </c>
      <c r="AB694" t="s">
        <v>275</v>
      </c>
      <c r="AC694" t="s">
        <v>275</v>
      </c>
      <c r="AD694" t="s">
        <v>275</v>
      </c>
    </row>
    <row r="695" spans="1:30">
      <c r="A695">
        <v>693</v>
      </c>
      <c r="B695" t="s">
        <v>1423</v>
      </c>
      <c r="C695" t="s">
        <v>1424</v>
      </c>
      <c r="D695" t="str">
        <f>IF(VLOOKUP(C695,'Capabilities Overview'!$A$2:$A$587,1)=C695,"","Not in UCL")</f>
        <v/>
      </c>
      <c r="E695" t="s">
        <v>1</v>
      </c>
      <c r="F695" t="s">
        <v>1</v>
      </c>
      <c r="G695" t="s">
        <v>275</v>
      </c>
      <c r="H695" t="s">
        <v>275</v>
      </c>
      <c r="I695" t="s">
        <v>275</v>
      </c>
      <c r="J695" t="s">
        <v>275</v>
      </c>
      <c r="K695" t="s">
        <v>275</v>
      </c>
      <c r="L695" t="s">
        <v>275</v>
      </c>
      <c r="M695" t="s">
        <v>1</v>
      </c>
      <c r="N695" t="s">
        <v>1</v>
      </c>
      <c r="O695" t="s">
        <v>1</v>
      </c>
      <c r="P695" t="s">
        <v>275</v>
      </c>
      <c r="Q695" t="s">
        <v>1</v>
      </c>
      <c r="R695" t="s">
        <v>275</v>
      </c>
      <c r="S695" t="s">
        <v>275</v>
      </c>
      <c r="T695" t="s">
        <v>275</v>
      </c>
      <c r="U695" t="s">
        <v>275</v>
      </c>
      <c r="V695" t="s">
        <v>275</v>
      </c>
      <c r="W695" t="s">
        <v>10</v>
      </c>
      <c r="X695" t="s">
        <v>275</v>
      </c>
      <c r="Y695" t="s">
        <v>275</v>
      </c>
      <c r="Z695" t="s">
        <v>275</v>
      </c>
      <c r="AA695" t="s">
        <v>275</v>
      </c>
      <c r="AB695" t="s">
        <v>275</v>
      </c>
      <c r="AC695" t="s">
        <v>275</v>
      </c>
      <c r="AD695" t="s">
        <v>275</v>
      </c>
    </row>
    <row r="696" spans="1:30">
      <c r="A696">
        <v>694</v>
      </c>
      <c r="B696" t="s">
        <v>1425</v>
      </c>
      <c r="C696" t="s">
        <v>1426</v>
      </c>
      <c r="D696" t="str">
        <f>IF(VLOOKUP(C696,'Capabilities Overview'!$A$2:$A$587,1)=C696,"","Not in UCL")</f>
        <v/>
      </c>
      <c r="E696" t="s">
        <v>1</v>
      </c>
      <c r="F696" t="s">
        <v>1</v>
      </c>
      <c r="G696" t="s">
        <v>275</v>
      </c>
      <c r="H696" t="s">
        <v>275</v>
      </c>
      <c r="I696" t="s">
        <v>275</v>
      </c>
      <c r="J696" t="s">
        <v>275</v>
      </c>
      <c r="K696" t="s">
        <v>275</v>
      </c>
      <c r="L696" t="s">
        <v>275</v>
      </c>
      <c r="M696" t="s">
        <v>1</v>
      </c>
      <c r="N696" t="s">
        <v>1</v>
      </c>
      <c r="O696" t="s">
        <v>1</v>
      </c>
      <c r="P696" t="s">
        <v>275</v>
      </c>
      <c r="Q696" t="s">
        <v>1</v>
      </c>
      <c r="R696" t="s">
        <v>1</v>
      </c>
      <c r="S696" t="s">
        <v>275</v>
      </c>
      <c r="T696" t="s">
        <v>275</v>
      </c>
      <c r="U696" t="s">
        <v>275</v>
      </c>
      <c r="V696" t="s">
        <v>275</v>
      </c>
      <c r="W696" t="s">
        <v>10</v>
      </c>
      <c r="X696" t="s">
        <v>275</v>
      </c>
      <c r="Y696" t="s">
        <v>275</v>
      </c>
      <c r="Z696" t="s">
        <v>275</v>
      </c>
      <c r="AA696" t="s">
        <v>275</v>
      </c>
      <c r="AB696" t="s">
        <v>275</v>
      </c>
      <c r="AC696" t="s">
        <v>275</v>
      </c>
      <c r="AD696" t="s">
        <v>275</v>
      </c>
    </row>
    <row r="697" spans="1:30">
      <c r="A697">
        <v>695</v>
      </c>
      <c r="B697" t="s">
        <v>1427</v>
      </c>
      <c r="C697" t="s">
        <v>1428</v>
      </c>
      <c r="D697" t="str">
        <f>IF(VLOOKUP(C697,'Capabilities Overview'!$A$2:$A$587,1)=C697,"","Not in UCL")</f>
        <v/>
      </c>
      <c r="E697" t="s">
        <v>275</v>
      </c>
      <c r="F697" t="s">
        <v>1</v>
      </c>
      <c r="G697" t="s">
        <v>275</v>
      </c>
      <c r="H697" t="s">
        <v>275</v>
      </c>
      <c r="I697" t="s">
        <v>275</v>
      </c>
      <c r="J697" t="s">
        <v>275</v>
      </c>
      <c r="K697" t="s">
        <v>275</v>
      </c>
      <c r="L697" t="s">
        <v>275</v>
      </c>
      <c r="M697" t="s">
        <v>1</v>
      </c>
      <c r="N697" t="s">
        <v>1</v>
      </c>
      <c r="O697" t="s">
        <v>275</v>
      </c>
      <c r="P697" t="s">
        <v>275</v>
      </c>
      <c r="Q697" t="s">
        <v>275</v>
      </c>
      <c r="R697" t="s">
        <v>1</v>
      </c>
      <c r="S697" t="s">
        <v>275</v>
      </c>
      <c r="T697" t="s">
        <v>275</v>
      </c>
      <c r="U697" t="s">
        <v>275</v>
      </c>
      <c r="V697" t="s">
        <v>275</v>
      </c>
      <c r="W697" t="s">
        <v>10</v>
      </c>
      <c r="X697" t="s">
        <v>275</v>
      </c>
      <c r="Y697" t="s">
        <v>275</v>
      </c>
      <c r="Z697" t="s">
        <v>275</v>
      </c>
      <c r="AA697" t="s">
        <v>275</v>
      </c>
      <c r="AB697" t="s">
        <v>275</v>
      </c>
      <c r="AC697" t="s">
        <v>275</v>
      </c>
      <c r="AD697" t="s">
        <v>275</v>
      </c>
    </row>
    <row r="698" spans="1:30">
      <c r="A698">
        <v>696</v>
      </c>
      <c r="B698" t="s">
        <v>839</v>
      </c>
      <c r="C698" t="s">
        <v>1429</v>
      </c>
      <c r="D698" t="str">
        <f>IF(VLOOKUP(C698,'Capabilities Overview'!$A$2:$A$587,1)=C698,"","Not in UCL")</f>
        <v/>
      </c>
      <c r="E698" t="s">
        <v>1</v>
      </c>
      <c r="F698" t="s">
        <v>1</v>
      </c>
      <c r="G698" t="s">
        <v>275</v>
      </c>
      <c r="H698" t="s">
        <v>275</v>
      </c>
      <c r="I698" t="s">
        <v>1</v>
      </c>
      <c r="J698" t="s">
        <v>1</v>
      </c>
      <c r="K698" t="s">
        <v>1</v>
      </c>
      <c r="L698" t="s">
        <v>1</v>
      </c>
      <c r="M698" t="s">
        <v>1</v>
      </c>
      <c r="N698" t="s">
        <v>1</v>
      </c>
      <c r="O698" t="s">
        <v>1</v>
      </c>
      <c r="P698" t="s">
        <v>275</v>
      </c>
      <c r="Q698" t="s">
        <v>1</v>
      </c>
      <c r="R698" t="s">
        <v>275</v>
      </c>
      <c r="S698" t="s">
        <v>275</v>
      </c>
      <c r="T698" t="s">
        <v>275</v>
      </c>
      <c r="U698" t="s">
        <v>275</v>
      </c>
      <c r="V698" t="s">
        <v>275</v>
      </c>
      <c r="W698" t="s">
        <v>275</v>
      </c>
      <c r="X698" t="s">
        <v>275</v>
      </c>
      <c r="Y698" t="s">
        <v>275</v>
      </c>
      <c r="Z698" t="s">
        <v>275</v>
      </c>
      <c r="AA698" t="s">
        <v>275</v>
      </c>
      <c r="AB698" t="s">
        <v>275</v>
      </c>
      <c r="AC698" t="s">
        <v>275</v>
      </c>
      <c r="AD698" t="s">
        <v>275</v>
      </c>
    </row>
    <row r="699" spans="1:30">
      <c r="A699">
        <v>697</v>
      </c>
      <c r="B699" t="s">
        <v>1430</v>
      </c>
      <c r="C699" t="s">
        <v>1431</v>
      </c>
      <c r="D699" t="str">
        <f>IF(VLOOKUP(C699,'Capabilities Overview'!$A$2:$A$587,1)=C699,"","Not in UCL")</f>
        <v/>
      </c>
      <c r="E699" t="s">
        <v>1</v>
      </c>
      <c r="F699" t="s">
        <v>1</v>
      </c>
      <c r="G699" t="s">
        <v>275</v>
      </c>
      <c r="H699" t="s">
        <v>275</v>
      </c>
      <c r="I699" t="s">
        <v>1</v>
      </c>
      <c r="J699" t="s">
        <v>275</v>
      </c>
      <c r="K699" t="s">
        <v>275</v>
      </c>
      <c r="L699" t="s">
        <v>1</v>
      </c>
      <c r="M699" t="s">
        <v>1</v>
      </c>
      <c r="N699" t="s">
        <v>1</v>
      </c>
      <c r="O699" t="s">
        <v>1</v>
      </c>
      <c r="P699" t="s">
        <v>275</v>
      </c>
      <c r="Q699" t="s">
        <v>1</v>
      </c>
      <c r="R699" t="s">
        <v>1</v>
      </c>
      <c r="S699" t="s">
        <v>275</v>
      </c>
      <c r="T699" t="s">
        <v>275</v>
      </c>
      <c r="U699" t="s">
        <v>275</v>
      </c>
      <c r="V699" t="s">
        <v>275</v>
      </c>
      <c r="W699" t="s">
        <v>275</v>
      </c>
      <c r="X699" t="s">
        <v>275</v>
      </c>
      <c r="Y699" t="s">
        <v>275</v>
      </c>
      <c r="Z699" t="s">
        <v>275</v>
      </c>
      <c r="AA699" t="s">
        <v>275</v>
      </c>
      <c r="AB699" t="s">
        <v>275</v>
      </c>
      <c r="AC699" t="s">
        <v>275</v>
      </c>
      <c r="AD699" t="s">
        <v>275</v>
      </c>
    </row>
    <row r="700" spans="1:30">
      <c r="A700">
        <v>698</v>
      </c>
      <c r="B700" t="s">
        <v>1432</v>
      </c>
      <c r="C700" t="s">
        <v>1433</v>
      </c>
      <c r="D700" t="str">
        <f>IF(VLOOKUP(C700,'Capabilities Overview'!$A$2:$A$587,1)=C700,"","Not in UCL")</f>
        <v>Not in UCL</v>
      </c>
      <c r="E700" t="s">
        <v>275</v>
      </c>
      <c r="F700" t="s">
        <v>275</v>
      </c>
      <c r="G700" t="s">
        <v>275</v>
      </c>
      <c r="H700" t="s">
        <v>275</v>
      </c>
      <c r="I700" t="s">
        <v>275</v>
      </c>
      <c r="J700" t="s">
        <v>275</v>
      </c>
      <c r="K700" t="s">
        <v>275</v>
      </c>
      <c r="L700" t="s">
        <v>275</v>
      </c>
      <c r="M700" t="s">
        <v>275</v>
      </c>
      <c r="N700" t="s">
        <v>275</v>
      </c>
      <c r="O700" t="s">
        <v>275</v>
      </c>
      <c r="P700" t="s">
        <v>275</v>
      </c>
      <c r="Q700" t="s">
        <v>275</v>
      </c>
      <c r="R700" t="s">
        <v>1</v>
      </c>
      <c r="S700" t="s">
        <v>275</v>
      </c>
      <c r="T700" t="s">
        <v>275</v>
      </c>
      <c r="U700" t="s">
        <v>275</v>
      </c>
      <c r="V700" t="s">
        <v>275</v>
      </c>
      <c r="W700" t="s">
        <v>275</v>
      </c>
      <c r="X700" t="s">
        <v>275</v>
      </c>
      <c r="Y700" t="s">
        <v>275</v>
      </c>
      <c r="Z700" t="s">
        <v>275</v>
      </c>
      <c r="AA700" t="s">
        <v>275</v>
      </c>
      <c r="AB700" t="s">
        <v>275</v>
      </c>
      <c r="AC700" t="s">
        <v>275</v>
      </c>
      <c r="AD700" t="s">
        <v>275</v>
      </c>
    </row>
    <row r="701" spans="1:30">
      <c r="A701">
        <v>699</v>
      </c>
      <c r="B701" t="s">
        <v>1434</v>
      </c>
      <c r="C701" t="s">
        <v>1435</v>
      </c>
      <c r="D701" t="str">
        <f>IF(VLOOKUP(C701,'Capabilities Overview'!$A$2:$A$587,1)=C701,"","Not in UCL")</f>
        <v>Not in UCL</v>
      </c>
      <c r="E701" t="s">
        <v>275</v>
      </c>
      <c r="F701" t="s">
        <v>275</v>
      </c>
      <c r="G701" t="s">
        <v>275</v>
      </c>
      <c r="H701" t="s">
        <v>275</v>
      </c>
      <c r="I701" t="s">
        <v>275</v>
      </c>
      <c r="J701" t="s">
        <v>275</v>
      </c>
      <c r="K701" t="s">
        <v>275</v>
      </c>
      <c r="L701" t="s">
        <v>275</v>
      </c>
      <c r="M701" t="s">
        <v>1</v>
      </c>
      <c r="N701" t="s">
        <v>1</v>
      </c>
      <c r="O701" t="s">
        <v>1</v>
      </c>
      <c r="P701" t="s">
        <v>275</v>
      </c>
      <c r="Q701" t="s">
        <v>1</v>
      </c>
      <c r="R701" t="s">
        <v>275</v>
      </c>
      <c r="S701" t="s">
        <v>275</v>
      </c>
      <c r="T701" t="s">
        <v>275</v>
      </c>
      <c r="U701" t="s">
        <v>275</v>
      </c>
      <c r="V701" t="s">
        <v>275</v>
      </c>
      <c r="W701" t="s">
        <v>275</v>
      </c>
      <c r="X701" t="s">
        <v>275</v>
      </c>
      <c r="Y701" t="s">
        <v>275</v>
      </c>
      <c r="Z701" t="s">
        <v>275</v>
      </c>
      <c r="AA701" t="s">
        <v>275</v>
      </c>
      <c r="AB701" t="s">
        <v>275</v>
      </c>
      <c r="AC701" t="s">
        <v>275</v>
      </c>
      <c r="AD701" t="s">
        <v>275</v>
      </c>
    </row>
    <row r="702" spans="1:30">
      <c r="A702">
        <v>700</v>
      </c>
      <c r="B702" t="s">
        <v>168</v>
      </c>
      <c r="C702" t="s">
        <v>169</v>
      </c>
      <c r="D702" t="str">
        <f>IF(VLOOKUP(C702,'Capabilities Overview'!$A$2:$A$587,1)=C702,"","Not in UCL")</f>
        <v>Not in UCL</v>
      </c>
      <c r="E702" t="s">
        <v>275</v>
      </c>
      <c r="F702" t="s">
        <v>1</v>
      </c>
      <c r="G702" t="s">
        <v>275</v>
      </c>
      <c r="H702" t="s">
        <v>275</v>
      </c>
      <c r="I702" t="s">
        <v>1</v>
      </c>
      <c r="J702" t="s">
        <v>1</v>
      </c>
      <c r="K702" t="s">
        <v>1</v>
      </c>
      <c r="L702" t="s">
        <v>275</v>
      </c>
      <c r="M702" t="s">
        <v>275</v>
      </c>
      <c r="N702" t="s">
        <v>275</v>
      </c>
      <c r="O702" t="s">
        <v>275</v>
      </c>
      <c r="P702" t="s">
        <v>275</v>
      </c>
      <c r="Q702" t="s">
        <v>275</v>
      </c>
      <c r="R702" t="s">
        <v>275</v>
      </c>
      <c r="S702" t="s">
        <v>275</v>
      </c>
      <c r="T702" t="s">
        <v>1</v>
      </c>
      <c r="U702" t="s">
        <v>275</v>
      </c>
      <c r="V702" t="s">
        <v>275</v>
      </c>
      <c r="W702" t="s">
        <v>275</v>
      </c>
      <c r="X702" t="s">
        <v>275</v>
      </c>
      <c r="Y702" t="s">
        <v>275</v>
      </c>
      <c r="Z702" t="s">
        <v>275</v>
      </c>
      <c r="AA702" t="s">
        <v>275</v>
      </c>
      <c r="AB702" t="s">
        <v>275</v>
      </c>
      <c r="AC702" t="s">
        <v>275</v>
      </c>
      <c r="AD702" t="s">
        <v>1</v>
      </c>
    </row>
    <row r="703" spans="1:30">
      <c r="A703">
        <v>701</v>
      </c>
      <c r="B703" t="s">
        <v>957</v>
      </c>
      <c r="C703" t="s">
        <v>1436</v>
      </c>
      <c r="D703" t="str">
        <f>IF(VLOOKUP(C703,'Capabilities Overview'!$A$2:$A$587,1)=C703,"","Not in UCL")</f>
        <v/>
      </c>
      <c r="E703" t="s">
        <v>1</v>
      </c>
      <c r="F703" t="s">
        <v>1</v>
      </c>
      <c r="G703" t="s">
        <v>275</v>
      </c>
      <c r="H703" t="s">
        <v>275</v>
      </c>
      <c r="I703" t="s">
        <v>1</v>
      </c>
      <c r="J703" t="s">
        <v>275</v>
      </c>
      <c r="K703" t="s">
        <v>275</v>
      </c>
      <c r="L703" t="s">
        <v>275</v>
      </c>
      <c r="M703" t="s">
        <v>1</v>
      </c>
      <c r="N703" t="s">
        <v>1</v>
      </c>
      <c r="O703" t="s">
        <v>1</v>
      </c>
      <c r="P703" t="s">
        <v>275</v>
      </c>
      <c r="Q703" t="s">
        <v>1</v>
      </c>
      <c r="R703" t="s">
        <v>275</v>
      </c>
      <c r="S703" t="s">
        <v>275</v>
      </c>
      <c r="T703" t="s">
        <v>275</v>
      </c>
      <c r="U703" t="s">
        <v>275</v>
      </c>
      <c r="V703" t="s">
        <v>275</v>
      </c>
      <c r="W703" t="s">
        <v>10</v>
      </c>
      <c r="X703" t="s">
        <v>275</v>
      </c>
      <c r="Y703" t="s">
        <v>275</v>
      </c>
      <c r="Z703" t="s">
        <v>275</v>
      </c>
      <c r="AA703" t="s">
        <v>275</v>
      </c>
      <c r="AB703" t="s">
        <v>275</v>
      </c>
      <c r="AC703" t="s">
        <v>275</v>
      </c>
      <c r="AD703" t="s">
        <v>275</v>
      </c>
    </row>
    <row r="704" spans="1:30">
      <c r="A704">
        <v>702</v>
      </c>
      <c r="B704" t="s">
        <v>1437</v>
      </c>
      <c r="C704" t="s">
        <v>1438</v>
      </c>
      <c r="D704" t="str">
        <f>IF(VLOOKUP(C704,'Capabilities Overview'!$A$2:$A$587,1)=C704,"","Not in UCL")</f>
        <v/>
      </c>
      <c r="E704" t="s">
        <v>1</v>
      </c>
      <c r="F704" t="s">
        <v>275</v>
      </c>
      <c r="G704" t="s">
        <v>275</v>
      </c>
      <c r="H704" t="s">
        <v>275</v>
      </c>
      <c r="I704" t="s">
        <v>275</v>
      </c>
      <c r="J704" t="s">
        <v>275</v>
      </c>
      <c r="K704" t="s">
        <v>275</v>
      </c>
      <c r="L704" t="s">
        <v>275</v>
      </c>
      <c r="M704" t="s">
        <v>275</v>
      </c>
      <c r="N704" t="s">
        <v>275</v>
      </c>
      <c r="O704" t="s">
        <v>1</v>
      </c>
      <c r="P704" t="s">
        <v>275</v>
      </c>
      <c r="Q704" t="s">
        <v>1</v>
      </c>
      <c r="R704" t="s">
        <v>1</v>
      </c>
      <c r="S704" t="s">
        <v>275</v>
      </c>
      <c r="T704" t="s">
        <v>275</v>
      </c>
      <c r="U704" t="s">
        <v>275</v>
      </c>
      <c r="V704" t="s">
        <v>275</v>
      </c>
      <c r="W704" t="s">
        <v>10</v>
      </c>
      <c r="X704" t="s">
        <v>275</v>
      </c>
      <c r="Y704" t="s">
        <v>275</v>
      </c>
      <c r="Z704" t="s">
        <v>275</v>
      </c>
      <c r="AA704" t="s">
        <v>275</v>
      </c>
      <c r="AB704" t="s">
        <v>275</v>
      </c>
      <c r="AC704" t="s">
        <v>275</v>
      </c>
      <c r="AD704" t="s">
        <v>275</v>
      </c>
    </row>
    <row r="705" spans="1:30">
      <c r="A705">
        <v>703</v>
      </c>
      <c r="B705" t="s">
        <v>1439</v>
      </c>
      <c r="C705" t="s">
        <v>1440</v>
      </c>
      <c r="D705" t="str">
        <f>IF(VLOOKUP(C705,'Capabilities Overview'!$A$2:$A$587,1)=C705,"","Not in UCL")</f>
        <v/>
      </c>
      <c r="E705" t="s">
        <v>1</v>
      </c>
      <c r="F705" t="s">
        <v>1</v>
      </c>
      <c r="G705" t="s">
        <v>275</v>
      </c>
      <c r="H705" t="s">
        <v>275</v>
      </c>
      <c r="I705" t="s">
        <v>1</v>
      </c>
      <c r="J705" t="s">
        <v>275</v>
      </c>
      <c r="K705" t="s">
        <v>275</v>
      </c>
      <c r="L705" t="s">
        <v>1</v>
      </c>
      <c r="M705" t="s">
        <v>1</v>
      </c>
      <c r="N705" t="s">
        <v>1</v>
      </c>
      <c r="O705" t="s">
        <v>1</v>
      </c>
      <c r="P705" t="s">
        <v>275</v>
      </c>
      <c r="Q705" t="s">
        <v>1</v>
      </c>
      <c r="R705" t="s">
        <v>275</v>
      </c>
      <c r="S705" t="s">
        <v>275</v>
      </c>
      <c r="T705" t="s">
        <v>275</v>
      </c>
      <c r="U705" t="s">
        <v>275</v>
      </c>
      <c r="V705" t="s">
        <v>275</v>
      </c>
      <c r="W705" t="s">
        <v>275</v>
      </c>
      <c r="X705" t="s">
        <v>275</v>
      </c>
      <c r="Y705" t="s">
        <v>275</v>
      </c>
      <c r="Z705" t="s">
        <v>275</v>
      </c>
      <c r="AA705" t="s">
        <v>275</v>
      </c>
      <c r="AB705" t="s">
        <v>275</v>
      </c>
      <c r="AC705" t="s">
        <v>275</v>
      </c>
      <c r="AD705" t="s">
        <v>275</v>
      </c>
    </row>
    <row r="706" spans="1:30">
      <c r="A706">
        <v>704</v>
      </c>
      <c r="B706" t="s">
        <v>1441</v>
      </c>
      <c r="C706" t="s">
        <v>1442</v>
      </c>
      <c r="D706" t="str">
        <f>IF(VLOOKUP(C706,'Capabilities Overview'!$A$2:$A$587,1)=C706,"","Not in UCL")</f>
        <v>Not in UCL</v>
      </c>
      <c r="E706" t="s">
        <v>1</v>
      </c>
      <c r="F706" t="s">
        <v>1</v>
      </c>
      <c r="G706" t="s">
        <v>275</v>
      </c>
      <c r="H706" t="s">
        <v>275</v>
      </c>
      <c r="I706" t="s">
        <v>275</v>
      </c>
      <c r="J706" t="s">
        <v>275</v>
      </c>
      <c r="K706" t="s">
        <v>275</v>
      </c>
      <c r="L706" t="s">
        <v>275</v>
      </c>
      <c r="M706" t="s">
        <v>1</v>
      </c>
      <c r="N706" t="s">
        <v>1</v>
      </c>
      <c r="O706" t="s">
        <v>1</v>
      </c>
      <c r="P706" t="s">
        <v>275</v>
      </c>
      <c r="Q706" t="s">
        <v>1</v>
      </c>
      <c r="R706" t="s">
        <v>275</v>
      </c>
      <c r="S706" t="s">
        <v>275</v>
      </c>
      <c r="T706" t="s">
        <v>275</v>
      </c>
      <c r="U706" t="s">
        <v>275</v>
      </c>
      <c r="V706" t="s">
        <v>275</v>
      </c>
      <c r="W706" t="s">
        <v>275</v>
      </c>
      <c r="X706" t="s">
        <v>275</v>
      </c>
      <c r="Y706" t="s">
        <v>275</v>
      </c>
      <c r="Z706" t="s">
        <v>275</v>
      </c>
      <c r="AA706" t="s">
        <v>275</v>
      </c>
      <c r="AB706" t="s">
        <v>275</v>
      </c>
      <c r="AC706" t="s">
        <v>275</v>
      </c>
      <c r="AD706" t="s">
        <v>275</v>
      </c>
    </row>
    <row r="707" spans="1:30">
      <c r="A707">
        <v>705</v>
      </c>
      <c r="B707" t="s">
        <v>170</v>
      </c>
      <c r="C707" t="s">
        <v>171</v>
      </c>
      <c r="D707" t="str">
        <f>IF(VLOOKUP(C707,'Capabilities Overview'!$A$2:$A$587,1)=C707,"","Not in UCL")</f>
        <v>Not in UCL</v>
      </c>
      <c r="E707" t="s">
        <v>1</v>
      </c>
      <c r="F707" t="s">
        <v>1</v>
      </c>
      <c r="G707" t="s">
        <v>275</v>
      </c>
      <c r="H707" t="s">
        <v>275</v>
      </c>
      <c r="I707" t="s">
        <v>1</v>
      </c>
      <c r="J707" t="s">
        <v>275</v>
      </c>
      <c r="K707" t="s">
        <v>275</v>
      </c>
      <c r="L707" t="s">
        <v>275</v>
      </c>
      <c r="M707" t="s">
        <v>1</v>
      </c>
      <c r="N707" t="s">
        <v>1</v>
      </c>
      <c r="O707" t="s">
        <v>1</v>
      </c>
      <c r="P707" t="s">
        <v>275</v>
      </c>
      <c r="Q707" t="s">
        <v>1</v>
      </c>
      <c r="R707" t="s">
        <v>1</v>
      </c>
      <c r="S707" t="s">
        <v>1</v>
      </c>
      <c r="T707" t="s">
        <v>1</v>
      </c>
      <c r="U707" t="s">
        <v>275</v>
      </c>
      <c r="V707" t="s">
        <v>275</v>
      </c>
      <c r="W707" t="s">
        <v>1</v>
      </c>
      <c r="X707" t="s">
        <v>275</v>
      </c>
      <c r="Y707" t="s">
        <v>275</v>
      </c>
      <c r="Z707" t="s">
        <v>275</v>
      </c>
      <c r="AA707" t="s">
        <v>275</v>
      </c>
      <c r="AB707" t="s">
        <v>275</v>
      </c>
      <c r="AC707" t="s">
        <v>275</v>
      </c>
      <c r="AD707" t="s">
        <v>1</v>
      </c>
    </row>
    <row r="708" spans="1:30">
      <c r="A708">
        <v>706</v>
      </c>
      <c r="B708" t="s">
        <v>1443</v>
      </c>
      <c r="C708" t="s">
        <v>1444</v>
      </c>
      <c r="D708" t="str">
        <f>IF(VLOOKUP(C708,'Capabilities Overview'!$A$2:$A$587,1)=C708,"","Not in UCL")</f>
        <v/>
      </c>
      <c r="E708" t="s">
        <v>275</v>
      </c>
      <c r="F708" t="s">
        <v>1</v>
      </c>
      <c r="G708" t="s">
        <v>275</v>
      </c>
      <c r="H708" t="s">
        <v>275</v>
      </c>
      <c r="I708" t="s">
        <v>275</v>
      </c>
      <c r="J708" t="s">
        <v>275</v>
      </c>
      <c r="K708" t="s">
        <v>275</v>
      </c>
      <c r="L708" t="s">
        <v>275</v>
      </c>
      <c r="M708" t="s">
        <v>1</v>
      </c>
      <c r="N708" t="s">
        <v>1</v>
      </c>
      <c r="O708" t="s">
        <v>1</v>
      </c>
      <c r="P708" t="s">
        <v>275</v>
      </c>
      <c r="Q708" t="s">
        <v>1</v>
      </c>
      <c r="R708" t="s">
        <v>275</v>
      </c>
      <c r="S708" t="s">
        <v>275</v>
      </c>
      <c r="T708" t="s">
        <v>275</v>
      </c>
      <c r="U708" t="s">
        <v>275</v>
      </c>
      <c r="V708" t="s">
        <v>275</v>
      </c>
      <c r="W708" t="s">
        <v>10</v>
      </c>
      <c r="X708" t="s">
        <v>275</v>
      </c>
      <c r="Y708" t="s">
        <v>275</v>
      </c>
      <c r="Z708" t="s">
        <v>275</v>
      </c>
      <c r="AA708" t="s">
        <v>275</v>
      </c>
      <c r="AB708" t="s">
        <v>275</v>
      </c>
      <c r="AC708" t="s">
        <v>275</v>
      </c>
      <c r="AD708" t="s">
        <v>275</v>
      </c>
    </row>
    <row r="709" spans="1:30">
      <c r="A709">
        <v>707</v>
      </c>
      <c r="B709" t="s">
        <v>1445</v>
      </c>
      <c r="C709" t="s">
        <v>1446</v>
      </c>
      <c r="D709" t="str">
        <f>IF(VLOOKUP(C709,'Capabilities Overview'!$A$2:$A$587,1)=C709,"","Not in UCL")</f>
        <v/>
      </c>
      <c r="E709" t="s">
        <v>275</v>
      </c>
      <c r="F709" t="s">
        <v>1</v>
      </c>
      <c r="G709" t="s">
        <v>275</v>
      </c>
      <c r="H709" t="s">
        <v>275</v>
      </c>
      <c r="I709" t="s">
        <v>275</v>
      </c>
      <c r="J709" t="s">
        <v>275</v>
      </c>
      <c r="K709" t="s">
        <v>275</v>
      </c>
      <c r="L709" t="s">
        <v>275</v>
      </c>
      <c r="M709" t="s">
        <v>1</v>
      </c>
      <c r="N709" t="s">
        <v>1</v>
      </c>
      <c r="O709" t="s">
        <v>1</v>
      </c>
      <c r="P709" t="s">
        <v>1</v>
      </c>
      <c r="Q709" t="s">
        <v>1</v>
      </c>
      <c r="R709" t="s">
        <v>275</v>
      </c>
      <c r="S709" t="s">
        <v>275</v>
      </c>
      <c r="T709" t="s">
        <v>275</v>
      </c>
      <c r="U709" t="s">
        <v>275</v>
      </c>
      <c r="V709" t="s">
        <v>275</v>
      </c>
      <c r="W709" t="s">
        <v>10</v>
      </c>
      <c r="X709" t="s">
        <v>275</v>
      </c>
      <c r="Y709" t="s">
        <v>275</v>
      </c>
      <c r="Z709" t="s">
        <v>275</v>
      </c>
      <c r="AA709" t="s">
        <v>275</v>
      </c>
      <c r="AB709" t="s">
        <v>275</v>
      </c>
      <c r="AC709" t="s">
        <v>275</v>
      </c>
      <c r="AD709" t="s">
        <v>275</v>
      </c>
    </row>
    <row r="710" spans="1:30">
      <c r="A710">
        <v>708</v>
      </c>
      <c r="B710" t="s">
        <v>1447</v>
      </c>
      <c r="C710" t="s">
        <v>1448</v>
      </c>
      <c r="D710" t="str">
        <f>IF(VLOOKUP(C710,'Capabilities Overview'!$A$2:$A$587,1)=C710,"","Not in UCL")</f>
        <v/>
      </c>
      <c r="E710" t="s">
        <v>275</v>
      </c>
      <c r="F710" t="s">
        <v>1</v>
      </c>
      <c r="G710" t="s">
        <v>275</v>
      </c>
      <c r="H710" t="s">
        <v>275</v>
      </c>
      <c r="I710" t="s">
        <v>275</v>
      </c>
      <c r="J710" t="s">
        <v>275</v>
      </c>
      <c r="K710" t="s">
        <v>275</v>
      </c>
      <c r="L710" t="s">
        <v>275</v>
      </c>
      <c r="M710" t="s">
        <v>275</v>
      </c>
      <c r="N710" t="s">
        <v>275</v>
      </c>
      <c r="O710" t="s">
        <v>275</v>
      </c>
      <c r="P710" t="s">
        <v>275</v>
      </c>
      <c r="Q710" t="s">
        <v>275</v>
      </c>
      <c r="R710" t="s">
        <v>1</v>
      </c>
      <c r="S710" t="s">
        <v>275</v>
      </c>
      <c r="T710" t="s">
        <v>275</v>
      </c>
      <c r="U710" t="s">
        <v>275</v>
      </c>
      <c r="V710" t="s">
        <v>275</v>
      </c>
      <c r="W710" t="s">
        <v>10</v>
      </c>
      <c r="X710" t="s">
        <v>275</v>
      </c>
      <c r="Y710" t="s">
        <v>275</v>
      </c>
      <c r="Z710" t="s">
        <v>275</v>
      </c>
      <c r="AA710" t="s">
        <v>275</v>
      </c>
      <c r="AB710" t="s">
        <v>275</v>
      </c>
      <c r="AC710" t="s">
        <v>275</v>
      </c>
      <c r="AD710" t="s">
        <v>275</v>
      </c>
    </row>
    <row r="711" spans="1:30">
      <c r="A711">
        <v>709</v>
      </c>
      <c r="B711" t="s">
        <v>1449</v>
      </c>
      <c r="C711" t="s">
        <v>1450</v>
      </c>
      <c r="D711" t="str">
        <f>IF(VLOOKUP(C711,'Capabilities Overview'!$A$2:$A$587,1)=C711,"","Not in UCL")</f>
        <v/>
      </c>
      <c r="E711" t="s">
        <v>1</v>
      </c>
      <c r="F711" t="s">
        <v>275</v>
      </c>
      <c r="G711" t="s">
        <v>275</v>
      </c>
      <c r="H711" t="s">
        <v>275</v>
      </c>
      <c r="I711" t="s">
        <v>1</v>
      </c>
      <c r="J711" t="s">
        <v>275</v>
      </c>
      <c r="K711" t="s">
        <v>275</v>
      </c>
      <c r="L711" t="s">
        <v>275</v>
      </c>
      <c r="M711" t="s">
        <v>1</v>
      </c>
      <c r="N711" t="s">
        <v>1</v>
      </c>
      <c r="O711" t="s">
        <v>1</v>
      </c>
      <c r="P711" t="s">
        <v>1</v>
      </c>
      <c r="Q711" t="s">
        <v>1</v>
      </c>
      <c r="R711" t="s">
        <v>1</v>
      </c>
      <c r="S711" t="s">
        <v>1</v>
      </c>
      <c r="T711" t="s">
        <v>275</v>
      </c>
      <c r="U711" t="s">
        <v>275</v>
      </c>
      <c r="V711" t="s">
        <v>275</v>
      </c>
      <c r="W711" t="s">
        <v>10</v>
      </c>
      <c r="X711" t="s">
        <v>275</v>
      </c>
      <c r="Y711" t="s">
        <v>275</v>
      </c>
      <c r="Z711" t="s">
        <v>275</v>
      </c>
      <c r="AA711" t="s">
        <v>275</v>
      </c>
      <c r="AB711" t="s">
        <v>275</v>
      </c>
      <c r="AC711" t="s">
        <v>275</v>
      </c>
      <c r="AD711" t="s">
        <v>275</v>
      </c>
    </row>
    <row r="712" spans="1:30">
      <c r="A712">
        <v>710</v>
      </c>
      <c r="B712" t="s">
        <v>172</v>
      </c>
      <c r="C712" t="s">
        <v>173</v>
      </c>
      <c r="D712" t="str">
        <f>IF(VLOOKUP(C712,'Capabilities Overview'!$A$2:$A$587,1)=C712,"","Not in UCL")</f>
        <v/>
      </c>
      <c r="E712" t="s">
        <v>1</v>
      </c>
      <c r="F712" t="s">
        <v>1</v>
      </c>
      <c r="G712" t="s">
        <v>275</v>
      </c>
      <c r="H712" t="s">
        <v>275</v>
      </c>
      <c r="I712" t="s">
        <v>1</v>
      </c>
      <c r="J712" t="s">
        <v>1</v>
      </c>
      <c r="K712" t="s">
        <v>1</v>
      </c>
      <c r="L712" t="s">
        <v>275</v>
      </c>
      <c r="M712" t="s">
        <v>1</v>
      </c>
      <c r="N712" t="s">
        <v>1</v>
      </c>
      <c r="O712" t="s">
        <v>275</v>
      </c>
      <c r="P712" t="s">
        <v>275</v>
      </c>
      <c r="Q712" t="s">
        <v>275</v>
      </c>
      <c r="R712" t="s">
        <v>275</v>
      </c>
      <c r="S712" t="s">
        <v>1</v>
      </c>
      <c r="T712" t="s">
        <v>1</v>
      </c>
      <c r="U712" t="s">
        <v>275</v>
      </c>
      <c r="V712" t="s">
        <v>275</v>
      </c>
      <c r="W712" t="s">
        <v>1</v>
      </c>
      <c r="X712" t="s">
        <v>275</v>
      </c>
      <c r="Y712" t="s">
        <v>275</v>
      </c>
      <c r="Z712" t="s">
        <v>275</v>
      </c>
      <c r="AA712" t="s">
        <v>275</v>
      </c>
      <c r="AB712" t="s">
        <v>275</v>
      </c>
      <c r="AC712" t="s">
        <v>275</v>
      </c>
      <c r="AD712" t="s">
        <v>1</v>
      </c>
    </row>
    <row r="713" spans="1:30">
      <c r="A713">
        <v>711</v>
      </c>
      <c r="B713" t="s">
        <v>1451</v>
      </c>
      <c r="C713" t="s">
        <v>1452</v>
      </c>
      <c r="D713" t="str">
        <f>IF(VLOOKUP(C713,'Capabilities Overview'!$A$2:$A$587,1)=C713,"","Not in UCL")</f>
        <v/>
      </c>
      <c r="E713" t="s">
        <v>1</v>
      </c>
      <c r="F713" t="s">
        <v>1</v>
      </c>
      <c r="G713" t="s">
        <v>275</v>
      </c>
      <c r="H713" t="s">
        <v>275</v>
      </c>
      <c r="I713" t="s">
        <v>275</v>
      </c>
      <c r="J713" t="s">
        <v>275</v>
      </c>
      <c r="K713" t="s">
        <v>275</v>
      </c>
      <c r="L713" t="s">
        <v>275</v>
      </c>
      <c r="M713" t="s">
        <v>1</v>
      </c>
      <c r="N713" t="s">
        <v>1</v>
      </c>
      <c r="O713" t="s">
        <v>1</v>
      </c>
      <c r="P713" t="s">
        <v>275</v>
      </c>
      <c r="Q713" t="s">
        <v>1</v>
      </c>
      <c r="R713" t="s">
        <v>1</v>
      </c>
      <c r="S713" t="s">
        <v>275</v>
      </c>
      <c r="T713" t="s">
        <v>275</v>
      </c>
      <c r="U713" t="s">
        <v>275</v>
      </c>
      <c r="V713" t="s">
        <v>275</v>
      </c>
      <c r="W713" t="s">
        <v>10</v>
      </c>
      <c r="X713" t="s">
        <v>275</v>
      </c>
      <c r="Y713" t="s">
        <v>275</v>
      </c>
      <c r="Z713" t="s">
        <v>275</v>
      </c>
      <c r="AA713" t="s">
        <v>275</v>
      </c>
      <c r="AB713" t="s">
        <v>275</v>
      </c>
      <c r="AC713" t="s">
        <v>275</v>
      </c>
      <c r="AD713" t="s">
        <v>275</v>
      </c>
    </row>
    <row r="714" spans="1:30">
      <c r="A714">
        <v>712</v>
      </c>
      <c r="B714" t="s">
        <v>1453</v>
      </c>
      <c r="C714" t="s">
        <v>1454</v>
      </c>
      <c r="D714" t="str">
        <f>IF(VLOOKUP(C714,'Capabilities Overview'!$A$2:$A$587,1)=C714,"","Not in UCL")</f>
        <v/>
      </c>
      <c r="E714" t="s">
        <v>1</v>
      </c>
      <c r="F714" t="s">
        <v>1</v>
      </c>
      <c r="G714" t="s">
        <v>275</v>
      </c>
      <c r="H714" t="s">
        <v>275</v>
      </c>
      <c r="I714" t="s">
        <v>275</v>
      </c>
      <c r="J714" t="s">
        <v>275</v>
      </c>
      <c r="K714" t="s">
        <v>275</v>
      </c>
      <c r="L714" t="s">
        <v>275</v>
      </c>
      <c r="M714" t="s">
        <v>1</v>
      </c>
      <c r="N714" t="s">
        <v>1</v>
      </c>
      <c r="O714" t="s">
        <v>1</v>
      </c>
      <c r="P714" t="s">
        <v>275</v>
      </c>
      <c r="Q714" t="s">
        <v>1</v>
      </c>
      <c r="R714" t="s">
        <v>1</v>
      </c>
      <c r="S714" t="s">
        <v>275</v>
      </c>
      <c r="T714" t="s">
        <v>275</v>
      </c>
      <c r="U714" t="s">
        <v>275</v>
      </c>
      <c r="V714" t="s">
        <v>275</v>
      </c>
      <c r="W714" t="s">
        <v>10</v>
      </c>
      <c r="X714" t="s">
        <v>275</v>
      </c>
      <c r="Y714" t="s">
        <v>275</v>
      </c>
      <c r="Z714" t="s">
        <v>275</v>
      </c>
      <c r="AA714" t="s">
        <v>275</v>
      </c>
      <c r="AB714" t="s">
        <v>275</v>
      </c>
      <c r="AC714" t="s">
        <v>275</v>
      </c>
      <c r="AD714" t="s">
        <v>275</v>
      </c>
    </row>
    <row r="715" spans="1:30">
      <c r="A715">
        <v>713</v>
      </c>
      <c r="B715" t="s">
        <v>1455</v>
      </c>
      <c r="C715" t="s">
        <v>1456</v>
      </c>
      <c r="D715" t="str">
        <f>IF(VLOOKUP(C715,'Capabilities Overview'!$A$2:$A$587,1)=C715,"","Not in UCL")</f>
        <v/>
      </c>
      <c r="E715" t="s">
        <v>1</v>
      </c>
      <c r="F715" t="s">
        <v>1</v>
      </c>
      <c r="G715" t="s">
        <v>275</v>
      </c>
      <c r="H715" t="s">
        <v>275</v>
      </c>
      <c r="I715" t="s">
        <v>275</v>
      </c>
      <c r="J715" t="s">
        <v>275</v>
      </c>
      <c r="K715" t="s">
        <v>275</v>
      </c>
      <c r="L715" t="s">
        <v>275</v>
      </c>
      <c r="M715" t="s">
        <v>1</v>
      </c>
      <c r="N715" t="s">
        <v>1</v>
      </c>
      <c r="O715" t="s">
        <v>1</v>
      </c>
      <c r="P715" t="s">
        <v>275</v>
      </c>
      <c r="Q715" t="s">
        <v>1</v>
      </c>
      <c r="R715" t="s">
        <v>1</v>
      </c>
      <c r="S715" t="s">
        <v>275</v>
      </c>
      <c r="T715" t="s">
        <v>275</v>
      </c>
      <c r="U715" t="s">
        <v>275</v>
      </c>
      <c r="V715" t="s">
        <v>275</v>
      </c>
      <c r="W715" t="s">
        <v>10</v>
      </c>
      <c r="X715" t="s">
        <v>275</v>
      </c>
      <c r="Y715" t="s">
        <v>275</v>
      </c>
      <c r="Z715" t="s">
        <v>275</v>
      </c>
      <c r="AA715" t="s">
        <v>275</v>
      </c>
      <c r="AB715" t="s">
        <v>275</v>
      </c>
      <c r="AC715" t="s">
        <v>275</v>
      </c>
      <c r="AD715" t="s">
        <v>275</v>
      </c>
    </row>
    <row r="716" spans="1:30">
      <c r="A716">
        <v>714</v>
      </c>
      <c r="B716" t="s">
        <v>1457</v>
      </c>
      <c r="C716" t="s">
        <v>1458</v>
      </c>
      <c r="D716" t="str">
        <f>IF(VLOOKUP(C716,'Capabilities Overview'!$A$2:$A$587,1)=C716,"","Not in UCL")</f>
        <v/>
      </c>
      <c r="E716" t="s">
        <v>1</v>
      </c>
      <c r="F716" t="s">
        <v>1</v>
      </c>
      <c r="G716" t="s">
        <v>275</v>
      </c>
      <c r="H716" t="s">
        <v>275</v>
      </c>
      <c r="I716" t="s">
        <v>275</v>
      </c>
      <c r="J716" t="s">
        <v>275</v>
      </c>
      <c r="K716" t="s">
        <v>275</v>
      </c>
      <c r="L716" t="s">
        <v>275</v>
      </c>
      <c r="M716" t="s">
        <v>1</v>
      </c>
      <c r="N716" t="s">
        <v>1</v>
      </c>
      <c r="O716" t="s">
        <v>1</v>
      </c>
      <c r="P716" t="s">
        <v>275</v>
      </c>
      <c r="Q716" t="s">
        <v>1</v>
      </c>
      <c r="R716" t="s">
        <v>275</v>
      </c>
      <c r="S716" t="s">
        <v>275</v>
      </c>
      <c r="T716" t="s">
        <v>275</v>
      </c>
      <c r="U716" t="s">
        <v>275</v>
      </c>
      <c r="V716" t="s">
        <v>275</v>
      </c>
      <c r="W716" t="s">
        <v>10</v>
      </c>
      <c r="X716" t="s">
        <v>275</v>
      </c>
      <c r="Y716" t="s">
        <v>275</v>
      </c>
      <c r="Z716" t="s">
        <v>275</v>
      </c>
      <c r="AA716" t="s">
        <v>275</v>
      </c>
      <c r="AB716" t="s">
        <v>275</v>
      </c>
      <c r="AC716" t="s">
        <v>275</v>
      </c>
      <c r="AD716" t="s">
        <v>275</v>
      </c>
    </row>
    <row r="717" spans="1:30">
      <c r="A717">
        <v>715</v>
      </c>
      <c r="B717" t="s">
        <v>1459</v>
      </c>
      <c r="C717" t="s">
        <v>1460</v>
      </c>
      <c r="D717" t="str">
        <f>IF(VLOOKUP(C717,'Capabilities Overview'!$A$2:$A$587,1)=C717,"","Not in UCL")</f>
        <v/>
      </c>
      <c r="E717" t="s">
        <v>1</v>
      </c>
      <c r="F717" t="s">
        <v>275</v>
      </c>
      <c r="G717" t="s">
        <v>275</v>
      </c>
      <c r="H717" t="s">
        <v>275</v>
      </c>
      <c r="I717" t="s">
        <v>275</v>
      </c>
      <c r="J717" t="s">
        <v>275</v>
      </c>
      <c r="K717" t="s">
        <v>275</v>
      </c>
      <c r="L717" t="s">
        <v>275</v>
      </c>
      <c r="M717" t="s">
        <v>1</v>
      </c>
      <c r="N717" t="s">
        <v>1</v>
      </c>
      <c r="O717" t="s">
        <v>1</v>
      </c>
      <c r="P717" t="s">
        <v>275</v>
      </c>
      <c r="Q717" t="s">
        <v>1</v>
      </c>
      <c r="R717" t="s">
        <v>275</v>
      </c>
      <c r="S717" t="s">
        <v>275</v>
      </c>
      <c r="T717" t="s">
        <v>275</v>
      </c>
      <c r="U717" t="s">
        <v>275</v>
      </c>
      <c r="V717" t="s">
        <v>275</v>
      </c>
      <c r="W717" t="s">
        <v>10</v>
      </c>
      <c r="X717" t="s">
        <v>275</v>
      </c>
      <c r="Y717" t="s">
        <v>275</v>
      </c>
      <c r="Z717" t="s">
        <v>275</v>
      </c>
      <c r="AA717" t="s">
        <v>275</v>
      </c>
      <c r="AB717" t="s">
        <v>275</v>
      </c>
      <c r="AC717" t="s">
        <v>275</v>
      </c>
      <c r="AD717" t="s">
        <v>275</v>
      </c>
    </row>
    <row r="718" spans="1:30">
      <c r="A718">
        <v>716</v>
      </c>
      <c r="B718" t="s">
        <v>1461</v>
      </c>
      <c r="C718" t="s">
        <v>1462</v>
      </c>
      <c r="D718" t="str">
        <f>IF(VLOOKUP(C718,'Capabilities Overview'!$A$2:$A$587,1)=C718,"","Not in UCL")</f>
        <v/>
      </c>
      <c r="E718" t="s">
        <v>1</v>
      </c>
      <c r="F718" t="s">
        <v>1</v>
      </c>
      <c r="G718" t="s">
        <v>275</v>
      </c>
      <c r="H718" t="s">
        <v>275</v>
      </c>
      <c r="I718" t="s">
        <v>275</v>
      </c>
      <c r="J718" t="s">
        <v>275</v>
      </c>
      <c r="K718" t="s">
        <v>275</v>
      </c>
      <c r="L718" t="s">
        <v>275</v>
      </c>
      <c r="M718" t="s">
        <v>1</v>
      </c>
      <c r="N718" t="s">
        <v>1</v>
      </c>
      <c r="O718" t="s">
        <v>1</v>
      </c>
      <c r="P718" t="s">
        <v>275</v>
      </c>
      <c r="Q718" t="s">
        <v>1</v>
      </c>
      <c r="R718" t="s">
        <v>275</v>
      </c>
      <c r="S718" t="s">
        <v>275</v>
      </c>
      <c r="T718" t="s">
        <v>275</v>
      </c>
      <c r="U718" t="s">
        <v>275</v>
      </c>
      <c r="V718" t="s">
        <v>275</v>
      </c>
      <c r="W718" t="s">
        <v>10</v>
      </c>
      <c r="X718" t="s">
        <v>275</v>
      </c>
      <c r="Y718" t="s">
        <v>275</v>
      </c>
      <c r="Z718" t="s">
        <v>275</v>
      </c>
      <c r="AA718" t="s">
        <v>275</v>
      </c>
      <c r="AB718" t="s">
        <v>275</v>
      </c>
      <c r="AC718" t="s">
        <v>275</v>
      </c>
      <c r="AD718" t="s">
        <v>275</v>
      </c>
    </row>
    <row r="719" spans="1:30">
      <c r="A719">
        <v>717</v>
      </c>
      <c r="B719" t="s">
        <v>1463</v>
      </c>
      <c r="C719" t="s">
        <v>1464</v>
      </c>
      <c r="D719" t="str">
        <f>IF(VLOOKUP(C719,'Capabilities Overview'!$A$2:$A$587,1)=C719,"","Not in UCL")</f>
        <v/>
      </c>
      <c r="E719" t="s">
        <v>1</v>
      </c>
      <c r="F719" t="s">
        <v>1</v>
      </c>
      <c r="G719" t="s">
        <v>275</v>
      </c>
      <c r="H719" t="s">
        <v>275</v>
      </c>
      <c r="I719" t="s">
        <v>275</v>
      </c>
      <c r="J719" t="s">
        <v>275</v>
      </c>
      <c r="K719" t="s">
        <v>275</v>
      </c>
      <c r="L719" t="s">
        <v>275</v>
      </c>
      <c r="M719" t="s">
        <v>1</v>
      </c>
      <c r="N719" t="s">
        <v>1</v>
      </c>
      <c r="O719" t="s">
        <v>1</v>
      </c>
      <c r="P719" t="s">
        <v>275</v>
      </c>
      <c r="Q719" t="s">
        <v>1</v>
      </c>
      <c r="R719" t="s">
        <v>275</v>
      </c>
      <c r="S719" t="s">
        <v>275</v>
      </c>
      <c r="T719" t="s">
        <v>275</v>
      </c>
      <c r="U719" t="s">
        <v>275</v>
      </c>
      <c r="V719" t="s">
        <v>275</v>
      </c>
      <c r="W719" t="s">
        <v>10</v>
      </c>
      <c r="X719" t="s">
        <v>275</v>
      </c>
      <c r="Y719" t="s">
        <v>275</v>
      </c>
      <c r="Z719" t="s">
        <v>275</v>
      </c>
      <c r="AA719" t="s">
        <v>275</v>
      </c>
      <c r="AB719" t="s">
        <v>275</v>
      </c>
      <c r="AC719" t="s">
        <v>275</v>
      </c>
      <c r="AD719" t="s">
        <v>275</v>
      </c>
    </row>
    <row r="720" spans="1:30">
      <c r="A720">
        <v>718</v>
      </c>
      <c r="B720" t="s">
        <v>1465</v>
      </c>
      <c r="C720" t="s">
        <v>1466</v>
      </c>
      <c r="D720" t="str">
        <f>IF(VLOOKUP(C720,'Capabilities Overview'!$A$2:$A$587,1)=C720,"","Not in UCL")</f>
        <v/>
      </c>
      <c r="E720" t="s">
        <v>1</v>
      </c>
      <c r="F720" t="s">
        <v>1</v>
      </c>
      <c r="G720" t="s">
        <v>275</v>
      </c>
      <c r="H720" t="s">
        <v>275</v>
      </c>
      <c r="I720" t="s">
        <v>275</v>
      </c>
      <c r="J720" t="s">
        <v>275</v>
      </c>
      <c r="K720" t="s">
        <v>275</v>
      </c>
      <c r="L720" t="s">
        <v>1</v>
      </c>
      <c r="M720" t="s">
        <v>1</v>
      </c>
      <c r="N720" t="s">
        <v>1</v>
      </c>
      <c r="O720" t="s">
        <v>1</v>
      </c>
      <c r="P720" t="s">
        <v>275</v>
      </c>
      <c r="Q720" t="s">
        <v>1</v>
      </c>
      <c r="R720" t="s">
        <v>1</v>
      </c>
      <c r="S720" t="s">
        <v>275</v>
      </c>
      <c r="T720" t="s">
        <v>275</v>
      </c>
      <c r="U720" t="s">
        <v>275</v>
      </c>
      <c r="V720" t="s">
        <v>275</v>
      </c>
      <c r="W720" t="s">
        <v>275</v>
      </c>
      <c r="X720" t="s">
        <v>275</v>
      </c>
      <c r="Y720" t="s">
        <v>275</v>
      </c>
      <c r="Z720" t="s">
        <v>275</v>
      </c>
      <c r="AA720" t="s">
        <v>275</v>
      </c>
      <c r="AB720" t="s">
        <v>275</v>
      </c>
      <c r="AC720" t="s">
        <v>275</v>
      </c>
      <c r="AD720" t="s">
        <v>275</v>
      </c>
    </row>
    <row r="721" spans="1:30">
      <c r="A721">
        <v>719</v>
      </c>
      <c r="B721" t="s">
        <v>1467</v>
      </c>
      <c r="C721" t="s">
        <v>1468</v>
      </c>
      <c r="D721" t="str">
        <f>IF(VLOOKUP(C721,'Capabilities Overview'!$A$2:$A$587,1)=C721,"","Not in UCL")</f>
        <v/>
      </c>
      <c r="E721" t="s">
        <v>1</v>
      </c>
      <c r="F721" t="s">
        <v>1</v>
      </c>
      <c r="G721" t="s">
        <v>275</v>
      </c>
      <c r="H721" t="s">
        <v>275</v>
      </c>
      <c r="I721" t="s">
        <v>275</v>
      </c>
      <c r="J721" t="s">
        <v>275</v>
      </c>
      <c r="K721" t="s">
        <v>275</v>
      </c>
      <c r="L721" t="s">
        <v>1</v>
      </c>
      <c r="M721" t="s">
        <v>1</v>
      </c>
      <c r="N721" t="s">
        <v>1</v>
      </c>
      <c r="O721" t="s">
        <v>1</v>
      </c>
      <c r="P721" t="s">
        <v>275</v>
      </c>
      <c r="Q721" t="s">
        <v>1</v>
      </c>
      <c r="R721" t="s">
        <v>1</v>
      </c>
      <c r="S721" t="s">
        <v>1</v>
      </c>
      <c r="T721" t="s">
        <v>275</v>
      </c>
      <c r="U721" t="s">
        <v>275</v>
      </c>
      <c r="V721" t="s">
        <v>275</v>
      </c>
      <c r="W721" t="s">
        <v>1</v>
      </c>
      <c r="X721" t="s">
        <v>275</v>
      </c>
      <c r="Y721" t="s">
        <v>275</v>
      </c>
      <c r="Z721" t="s">
        <v>275</v>
      </c>
      <c r="AA721" t="s">
        <v>275</v>
      </c>
      <c r="AB721" t="s">
        <v>275</v>
      </c>
      <c r="AC721" t="s">
        <v>275</v>
      </c>
      <c r="AD721" t="s">
        <v>275</v>
      </c>
    </row>
    <row r="722" spans="1:30">
      <c r="A722">
        <v>720</v>
      </c>
      <c r="B722" t="s">
        <v>1469</v>
      </c>
      <c r="C722" t="s">
        <v>1470</v>
      </c>
      <c r="D722" t="str">
        <f>IF(VLOOKUP(C722,'Capabilities Overview'!$A$2:$A$587,1)=C722,"","Not in UCL")</f>
        <v/>
      </c>
      <c r="E722" t="s">
        <v>1</v>
      </c>
      <c r="F722" t="s">
        <v>1</v>
      </c>
      <c r="G722" t="s">
        <v>275</v>
      </c>
      <c r="H722" t="s">
        <v>275</v>
      </c>
      <c r="I722" t="s">
        <v>275</v>
      </c>
      <c r="J722" t="s">
        <v>275</v>
      </c>
      <c r="K722" t="s">
        <v>275</v>
      </c>
      <c r="L722" t="s">
        <v>275</v>
      </c>
      <c r="M722" t="s">
        <v>1</v>
      </c>
      <c r="N722" t="s">
        <v>1</v>
      </c>
      <c r="O722" t="s">
        <v>1</v>
      </c>
      <c r="P722" t="s">
        <v>275</v>
      </c>
      <c r="Q722" t="s">
        <v>1</v>
      </c>
      <c r="R722" t="s">
        <v>275</v>
      </c>
      <c r="S722" t="s">
        <v>275</v>
      </c>
      <c r="T722" t="s">
        <v>275</v>
      </c>
      <c r="U722" t="s">
        <v>275</v>
      </c>
      <c r="V722" t="s">
        <v>275</v>
      </c>
      <c r="W722" t="s">
        <v>10</v>
      </c>
      <c r="X722" t="s">
        <v>275</v>
      </c>
      <c r="Y722" t="s">
        <v>275</v>
      </c>
      <c r="Z722" t="s">
        <v>275</v>
      </c>
      <c r="AA722" t="s">
        <v>275</v>
      </c>
      <c r="AB722" t="s">
        <v>275</v>
      </c>
      <c r="AC722" t="s">
        <v>275</v>
      </c>
      <c r="AD722" t="s">
        <v>275</v>
      </c>
    </row>
    <row r="723" spans="1:30">
      <c r="A723">
        <v>721</v>
      </c>
      <c r="B723" t="s">
        <v>1471</v>
      </c>
      <c r="C723" t="s">
        <v>1472</v>
      </c>
      <c r="D723" t="str">
        <f>IF(VLOOKUP(C723,'Capabilities Overview'!$A$2:$A$587,1)=C723,"","Not in UCL")</f>
        <v/>
      </c>
      <c r="E723" t="s">
        <v>1</v>
      </c>
      <c r="F723" t="s">
        <v>1</v>
      </c>
      <c r="G723" t="s">
        <v>275</v>
      </c>
      <c r="H723" t="s">
        <v>275</v>
      </c>
      <c r="I723" t="s">
        <v>275</v>
      </c>
      <c r="J723" t="s">
        <v>275</v>
      </c>
      <c r="K723" t="s">
        <v>275</v>
      </c>
      <c r="L723" t="s">
        <v>275</v>
      </c>
      <c r="M723" t="s">
        <v>1</v>
      </c>
      <c r="N723" t="s">
        <v>1</v>
      </c>
      <c r="O723" t="s">
        <v>1</v>
      </c>
      <c r="P723" t="s">
        <v>275</v>
      </c>
      <c r="Q723" t="s">
        <v>275</v>
      </c>
      <c r="R723" t="s">
        <v>275</v>
      </c>
      <c r="S723" t="s">
        <v>275</v>
      </c>
      <c r="T723" t="s">
        <v>275</v>
      </c>
      <c r="U723" t="s">
        <v>275</v>
      </c>
      <c r="V723" t="s">
        <v>275</v>
      </c>
      <c r="W723" t="s">
        <v>10</v>
      </c>
      <c r="X723" t="s">
        <v>275</v>
      </c>
      <c r="Y723" t="s">
        <v>275</v>
      </c>
      <c r="Z723" t="s">
        <v>275</v>
      </c>
      <c r="AA723" t="s">
        <v>275</v>
      </c>
      <c r="AB723" t="s">
        <v>275</v>
      </c>
      <c r="AC723" t="s">
        <v>275</v>
      </c>
      <c r="AD723" t="s">
        <v>275</v>
      </c>
    </row>
    <row r="724" spans="1:30">
      <c r="A724">
        <v>722</v>
      </c>
      <c r="B724" t="s">
        <v>1473</v>
      </c>
      <c r="C724" t="s">
        <v>1474</v>
      </c>
      <c r="D724" t="str">
        <f>IF(VLOOKUP(C724,'Capabilities Overview'!$A$2:$A$587,1)=C724,"","Not in UCL")</f>
        <v/>
      </c>
      <c r="E724" t="s">
        <v>1</v>
      </c>
      <c r="F724" t="s">
        <v>275</v>
      </c>
      <c r="G724" t="s">
        <v>275</v>
      </c>
      <c r="H724" t="s">
        <v>275</v>
      </c>
      <c r="I724" t="s">
        <v>275</v>
      </c>
      <c r="J724" t="s">
        <v>275</v>
      </c>
      <c r="K724" t="s">
        <v>275</v>
      </c>
      <c r="L724" t="s">
        <v>275</v>
      </c>
      <c r="M724" t="s">
        <v>1</v>
      </c>
      <c r="N724" t="s">
        <v>1</v>
      </c>
      <c r="O724" t="s">
        <v>1</v>
      </c>
      <c r="P724" t="s">
        <v>275</v>
      </c>
      <c r="Q724" t="s">
        <v>1</v>
      </c>
      <c r="R724" t="s">
        <v>275</v>
      </c>
      <c r="S724" t="s">
        <v>275</v>
      </c>
      <c r="T724" t="s">
        <v>275</v>
      </c>
      <c r="U724" t="s">
        <v>275</v>
      </c>
      <c r="V724" t="s">
        <v>275</v>
      </c>
      <c r="W724" t="s">
        <v>10</v>
      </c>
      <c r="X724" t="s">
        <v>275</v>
      </c>
      <c r="Y724" t="s">
        <v>275</v>
      </c>
      <c r="Z724" t="s">
        <v>275</v>
      </c>
      <c r="AA724" t="s">
        <v>275</v>
      </c>
      <c r="AB724" t="s">
        <v>275</v>
      </c>
      <c r="AC724" t="s">
        <v>275</v>
      </c>
      <c r="AD724" t="s">
        <v>275</v>
      </c>
    </row>
    <row r="725" spans="1:30">
      <c r="A725">
        <v>723</v>
      </c>
      <c r="B725" t="s">
        <v>1475</v>
      </c>
      <c r="C725" t="s">
        <v>1476</v>
      </c>
      <c r="D725" t="str">
        <f>IF(VLOOKUP(C725,'Capabilities Overview'!$A$2:$A$587,1)=C725,"","Not in UCL")</f>
        <v/>
      </c>
      <c r="E725" t="s">
        <v>1</v>
      </c>
      <c r="F725" t="s">
        <v>1</v>
      </c>
      <c r="G725" t="s">
        <v>275</v>
      </c>
      <c r="H725" t="s">
        <v>275</v>
      </c>
      <c r="I725" t="s">
        <v>275</v>
      </c>
      <c r="J725" t="s">
        <v>275</v>
      </c>
      <c r="K725" t="s">
        <v>275</v>
      </c>
      <c r="L725" t="s">
        <v>275</v>
      </c>
      <c r="M725" t="s">
        <v>1</v>
      </c>
      <c r="N725" t="s">
        <v>1</v>
      </c>
      <c r="O725" t="s">
        <v>1</v>
      </c>
      <c r="P725" t="s">
        <v>275</v>
      </c>
      <c r="Q725" t="s">
        <v>1</v>
      </c>
      <c r="R725" t="s">
        <v>275</v>
      </c>
      <c r="S725" t="s">
        <v>275</v>
      </c>
      <c r="T725" t="s">
        <v>275</v>
      </c>
      <c r="U725" t="s">
        <v>275</v>
      </c>
      <c r="V725" t="s">
        <v>275</v>
      </c>
      <c r="W725" t="s">
        <v>10</v>
      </c>
      <c r="X725" t="s">
        <v>275</v>
      </c>
      <c r="Y725" t="s">
        <v>275</v>
      </c>
      <c r="Z725" t="s">
        <v>275</v>
      </c>
      <c r="AA725" t="s">
        <v>275</v>
      </c>
      <c r="AB725" t="s">
        <v>275</v>
      </c>
      <c r="AC725" t="s">
        <v>275</v>
      </c>
      <c r="AD725" t="s">
        <v>275</v>
      </c>
    </row>
    <row r="726" spans="1:30">
      <c r="A726">
        <v>724</v>
      </c>
      <c r="B726" t="s">
        <v>1477</v>
      </c>
      <c r="C726" t="s">
        <v>1478</v>
      </c>
      <c r="D726" t="str">
        <f>IF(VLOOKUP(C726,'Capabilities Overview'!$A$2:$A$587,1)=C726,"","Not in UCL")</f>
        <v/>
      </c>
      <c r="E726" t="s">
        <v>1</v>
      </c>
      <c r="F726" t="s">
        <v>1</v>
      </c>
      <c r="G726" t="s">
        <v>275</v>
      </c>
      <c r="H726" t="s">
        <v>275</v>
      </c>
      <c r="I726" t="s">
        <v>275</v>
      </c>
      <c r="J726" t="s">
        <v>275</v>
      </c>
      <c r="K726" t="s">
        <v>275</v>
      </c>
      <c r="L726" t="s">
        <v>275</v>
      </c>
      <c r="M726" t="s">
        <v>1</v>
      </c>
      <c r="N726" t="s">
        <v>1</v>
      </c>
      <c r="O726" t="s">
        <v>1</v>
      </c>
      <c r="P726" t="s">
        <v>275</v>
      </c>
      <c r="Q726" t="s">
        <v>1</v>
      </c>
      <c r="R726" t="s">
        <v>275</v>
      </c>
      <c r="S726" t="s">
        <v>275</v>
      </c>
      <c r="T726" t="s">
        <v>275</v>
      </c>
      <c r="U726" t="s">
        <v>275</v>
      </c>
      <c r="V726" t="s">
        <v>275</v>
      </c>
      <c r="W726" t="s">
        <v>10</v>
      </c>
      <c r="X726" t="s">
        <v>275</v>
      </c>
      <c r="Y726" t="s">
        <v>275</v>
      </c>
      <c r="Z726" t="s">
        <v>275</v>
      </c>
      <c r="AA726" t="s">
        <v>275</v>
      </c>
      <c r="AB726" t="s">
        <v>275</v>
      </c>
      <c r="AC726" t="s">
        <v>275</v>
      </c>
      <c r="AD726" t="s">
        <v>275</v>
      </c>
    </row>
    <row r="727" spans="1:30">
      <c r="A727">
        <v>725</v>
      </c>
      <c r="B727" t="s">
        <v>1479</v>
      </c>
      <c r="C727" t="s">
        <v>1480</v>
      </c>
      <c r="D727" t="str">
        <f>IF(VLOOKUP(C727,'Capabilities Overview'!$A$2:$A$587,1)=C727,"","Not in UCL")</f>
        <v/>
      </c>
      <c r="E727" t="s">
        <v>275</v>
      </c>
      <c r="F727" t="s">
        <v>1</v>
      </c>
      <c r="G727" t="s">
        <v>275</v>
      </c>
      <c r="H727" t="s">
        <v>275</v>
      </c>
      <c r="I727" t="s">
        <v>275</v>
      </c>
      <c r="J727" t="s">
        <v>275</v>
      </c>
      <c r="K727" t="s">
        <v>275</v>
      </c>
      <c r="L727" t="s">
        <v>275</v>
      </c>
      <c r="M727" t="s">
        <v>275</v>
      </c>
      <c r="N727" t="s">
        <v>275</v>
      </c>
      <c r="O727" t="s">
        <v>275</v>
      </c>
      <c r="P727" t="s">
        <v>275</v>
      </c>
      <c r="Q727" t="s">
        <v>275</v>
      </c>
      <c r="R727" t="s">
        <v>1</v>
      </c>
      <c r="S727" t="s">
        <v>275</v>
      </c>
      <c r="T727" t="s">
        <v>275</v>
      </c>
      <c r="U727" t="s">
        <v>275</v>
      </c>
      <c r="V727" t="s">
        <v>275</v>
      </c>
      <c r="W727" t="s">
        <v>10</v>
      </c>
      <c r="X727" t="s">
        <v>275</v>
      </c>
      <c r="Y727" t="s">
        <v>275</v>
      </c>
      <c r="Z727" t="s">
        <v>275</v>
      </c>
      <c r="AA727" t="s">
        <v>275</v>
      </c>
      <c r="AB727" t="s">
        <v>275</v>
      </c>
      <c r="AC727" t="s">
        <v>275</v>
      </c>
      <c r="AD727" t="s">
        <v>275</v>
      </c>
    </row>
    <row r="728" spans="1:30">
      <c r="A728">
        <v>726</v>
      </c>
      <c r="B728" t="s">
        <v>1481</v>
      </c>
      <c r="C728" t="s">
        <v>1482</v>
      </c>
      <c r="D728" t="str">
        <f>IF(VLOOKUP(C728,'Capabilities Overview'!$A$2:$A$587,1)=C728,"","Not in UCL")</f>
        <v/>
      </c>
      <c r="E728" t="s">
        <v>1</v>
      </c>
      <c r="F728" t="s">
        <v>1</v>
      </c>
      <c r="G728" t="s">
        <v>275</v>
      </c>
      <c r="H728" t="s">
        <v>275</v>
      </c>
      <c r="I728" t="s">
        <v>275</v>
      </c>
      <c r="J728" t="s">
        <v>275</v>
      </c>
      <c r="K728" t="s">
        <v>275</v>
      </c>
      <c r="L728" t="s">
        <v>275</v>
      </c>
      <c r="M728" t="s">
        <v>1</v>
      </c>
      <c r="N728" t="s">
        <v>1</v>
      </c>
      <c r="O728" t="s">
        <v>1</v>
      </c>
      <c r="P728" t="s">
        <v>275</v>
      </c>
      <c r="Q728" t="s">
        <v>1</v>
      </c>
      <c r="R728" t="s">
        <v>275</v>
      </c>
      <c r="S728" t="s">
        <v>275</v>
      </c>
      <c r="T728" t="s">
        <v>275</v>
      </c>
      <c r="U728" t="s">
        <v>275</v>
      </c>
      <c r="V728" t="s">
        <v>275</v>
      </c>
      <c r="W728" t="s">
        <v>10</v>
      </c>
      <c r="X728" t="s">
        <v>275</v>
      </c>
      <c r="Y728" t="s">
        <v>275</v>
      </c>
      <c r="Z728" t="s">
        <v>275</v>
      </c>
      <c r="AA728" t="s">
        <v>275</v>
      </c>
      <c r="AB728" t="s">
        <v>275</v>
      </c>
      <c r="AC728" t="s">
        <v>275</v>
      </c>
      <c r="AD728" t="s">
        <v>275</v>
      </c>
    </row>
    <row r="729" spans="1:30">
      <c r="A729">
        <v>727</v>
      </c>
      <c r="B729" t="s">
        <v>1483</v>
      </c>
      <c r="C729" t="s">
        <v>1484</v>
      </c>
      <c r="D729" t="str">
        <f>IF(VLOOKUP(C729,'Capabilities Overview'!$A$2:$A$587,1)=C729,"","Not in UCL")</f>
        <v/>
      </c>
      <c r="E729" t="s">
        <v>275</v>
      </c>
      <c r="F729" t="s">
        <v>1</v>
      </c>
      <c r="G729" t="s">
        <v>275</v>
      </c>
      <c r="H729" t="s">
        <v>275</v>
      </c>
      <c r="I729" t="s">
        <v>275</v>
      </c>
      <c r="J729" t="s">
        <v>275</v>
      </c>
      <c r="K729" t="s">
        <v>275</v>
      </c>
      <c r="L729" t="s">
        <v>275</v>
      </c>
      <c r="M729" t="s">
        <v>1</v>
      </c>
      <c r="N729" t="s">
        <v>1</v>
      </c>
      <c r="O729" t="s">
        <v>275</v>
      </c>
      <c r="P729" t="s">
        <v>275</v>
      </c>
      <c r="Q729" t="s">
        <v>275</v>
      </c>
      <c r="R729" t="s">
        <v>1</v>
      </c>
      <c r="S729" t="s">
        <v>275</v>
      </c>
      <c r="T729" t="s">
        <v>275</v>
      </c>
      <c r="U729" t="s">
        <v>275</v>
      </c>
      <c r="V729" t="s">
        <v>275</v>
      </c>
      <c r="W729" t="s">
        <v>10</v>
      </c>
      <c r="X729" t="s">
        <v>275</v>
      </c>
      <c r="Y729" t="s">
        <v>275</v>
      </c>
      <c r="Z729" t="s">
        <v>275</v>
      </c>
      <c r="AA729" t="s">
        <v>275</v>
      </c>
      <c r="AB729" t="s">
        <v>275</v>
      </c>
      <c r="AC729" t="s">
        <v>275</v>
      </c>
      <c r="AD729" t="s">
        <v>275</v>
      </c>
    </row>
    <row r="730" spans="1:30">
      <c r="A730">
        <v>728</v>
      </c>
      <c r="B730" t="s">
        <v>1485</v>
      </c>
      <c r="C730" t="s">
        <v>1486</v>
      </c>
      <c r="D730" t="str">
        <f>IF(VLOOKUP(C730,'Capabilities Overview'!$A$2:$A$587,1)=C730,"","Not in UCL")</f>
        <v/>
      </c>
      <c r="E730" t="s">
        <v>1</v>
      </c>
      <c r="F730" t="s">
        <v>1</v>
      </c>
      <c r="G730" t="s">
        <v>275</v>
      </c>
      <c r="H730" t="s">
        <v>275</v>
      </c>
      <c r="I730" t="s">
        <v>275</v>
      </c>
      <c r="J730" t="s">
        <v>275</v>
      </c>
      <c r="K730" t="s">
        <v>275</v>
      </c>
      <c r="L730" t="s">
        <v>275</v>
      </c>
      <c r="M730" t="s">
        <v>1</v>
      </c>
      <c r="N730" t="s">
        <v>1</v>
      </c>
      <c r="O730" t="s">
        <v>1</v>
      </c>
      <c r="P730" t="s">
        <v>275</v>
      </c>
      <c r="Q730" t="s">
        <v>1</v>
      </c>
      <c r="R730" t="s">
        <v>275</v>
      </c>
      <c r="S730" t="s">
        <v>275</v>
      </c>
      <c r="T730" t="s">
        <v>275</v>
      </c>
      <c r="U730" t="s">
        <v>275</v>
      </c>
      <c r="V730" t="s">
        <v>275</v>
      </c>
      <c r="W730" t="s">
        <v>10</v>
      </c>
      <c r="X730" t="s">
        <v>275</v>
      </c>
      <c r="Y730" t="s">
        <v>275</v>
      </c>
      <c r="Z730" t="s">
        <v>275</v>
      </c>
      <c r="AA730" t="s">
        <v>275</v>
      </c>
      <c r="AB730" t="s">
        <v>275</v>
      </c>
      <c r="AC730" t="s">
        <v>275</v>
      </c>
      <c r="AD730" t="s">
        <v>275</v>
      </c>
    </row>
    <row r="731" spans="1:30">
      <c r="A731">
        <v>729</v>
      </c>
      <c r="B731" t="s">
        <v>1487</v>
      </c>
      <c r="C731" t="s">
        <v>1488</v>
      </c>
      <c r="D731" t="str">
        <f>IF(VLOOKUP(C731,'Capabilities Overview'!$A$2:$A$587,1)=C731,"","Not in UCL")</f>
        <v/>
      </c>
      <c r="E731" t="s">
        <v>1</v>
      </c>
      <c r="F731" t="s">
        <v>1</v>
      </c>
      <c r="G731" t="s">
        <v>275</v>
      </c>
      <c r="H731" t="s">
        <v>275</v>
      </c>
      <c r="I731" t="s">
        <v>275</v>
      </c>
      <c r="J731" t="s">
        <v>275</v>
      </c>
      <c r="K731" t="s">
        <v>275</v>
      </c>
      <c r="L731" t="s">
        <v>1</v>
      </c>
      <c r="M731" t="s">
        <v>1</v>
      </c>
      <c r="N731" t="s">
        <v>1</v>
      </c>
      <c r="O731" t="s">
        <v>1</v>
      </c>
      <c r="P731" t="s">
        <v>275</v>
      </c>
      <c r="Q731" t="s">
        <v>1</v>
      </c>
      <c r="R731" t="s">
        <v>1</v>
      </c>
      <c r="S731" t="s">
        <v>1</v>
      </c>
      <c r="T731" t="s">
        <v>275</v>
      </c>
      <c r="U731" t="s">
        <v>275</v>
      </c>
      <c r="V731" t="s">
        <v>275</v>
      </c>
      <c r="W731" t="s">
        <v>10</v>
      </c>
      <c r="X731" t="s">
        <v>275</v>
      </c>
      <c r="Y731" t="s">
        <v>275</v>
      </c>
      <c r="Z731" t="s">
        <v>275</v>
      </c>
      <c r="AA731" t="s">
        <v>275</v>
      </c>
      <c r="AB731" t="s">
        <v>275</v>
      </c>
      <c r="AC731" t="s">
        <v>275</v>
      </c>
      <c r="AD731" t="s">
        <v>275</v>
      </c>
    </row>
    <row r="732" spans="1:30">
      <c r="A732">
        <v>730</v>
      </c>
      <c r="B732" t="s">
        <v>1489</v>
      </c>
      <c r="C732" t="s">
        <v>1490</v>
      </c>
      <c r="D732" t="str">
        <f>IF(VLOOKUP(C732,'Capabilities Overview'!$A$2:$A$587,1)=C732,"","Not in UCL")</f>
        <v/>
      </c>
      <c r="E732" t="s">
        <v>1</v>
      </c>
      <c r="F732" t="s">
        <v>1</v>
      </c>
      <c r="G732" t="s">
        <v>275</v>
      </c>
      <c r="H732" t="s">
        <v>275</v>
      </c>
      <c r="I732" t="s">
        <v>275</v>
      </c>
      <c r="J732" t="s">
        <v>275</v>
      </c>
      <c r="K732" t="s">
        <v>275</v>
      </c>
      <c r="L732" t="s">
        <v>1</v>
      </c>
      <c r="M732" t="s">
        <v>1</v>
      </c>
      <c r="N732" t="s">
        <v>1</v>
      </c>
      <c r="O732" t="s">
        <v>1</v>
      </c>
      <c r="P732" t="s">
        <v>275</v>
      </c>
      <c r="Q732" t="s">
        <v>1</v>
      </c>
      <c r="R732" t="s">
        <v>275</v>
      </c>
      <c r="S732" t="s">
        <v>275</v>
      </c>
      <c r="T732" t="s">
        <v>275</v>
      </c>
      <c r="U732" t="s">
        <v>275</v>
      </c>
      <c r="V732" t="s">
        <v>275</v>
      </c>
      <c r="W732" t="s">
        <v>275</v>
      </c>
      <c r="X732" t="s">
        <v>275</v>
      </c>
      <c r="Y732" t="s">
        <v>275</v>
      </c>
      <c r="Z732" t="s">
        <v>275</v>
      </c>
      <c r="AA732" t="s">
        <v>275</v>
      </c>
      <c r="AB732" t="s">
        <v>275</v>
      </c>
      <c r="AC732" t="s">
        <v>275</v>
      </c>
      <c r="AD732" t="s">
        <v>275</v>
      </c>
    </row>
    <row r="733" spans="1:30">
      <c r="A733">
        <v>731</v>
      </c>
      <c r="B733" t="s">
        <v>1491</v>
      </c>
      <c r="C733" t="s">
        <v>1492</v>
      </c>
      <c r="D733" t="str">
        <f>IF(VLOOKUP(C733,'Capabilities Overview'!$A$2:$A$587,1)=C733,"","Not in UCL")</f>
        <v/>
      </c>
      <c r="E733" t="s">
        <v>1</v>
      </c>
      <c r="F733" t="s">
        <v>1</v>
      </c>
      <c r="G733" t="s">
        <v>275</v>
      </c>
      <c r="H733" t="s">
        <v>275</v>
      </c>
      <c r="I733" t="s">
        <v>275</v>
      </c>
      <c r="J733" t="s">
        <v>275</v>
      </c>
      <c r="K733" t="s">
        <v>275</v>
      </c>
      <c r="L733" t="s">
        <v>1</v>
      </c>
      <c r="M733" t="s">
        <v>1</v>
      </c>
      <c r="N733" t="s">
        <v>1</v>
      </c>
      <c r="O733" t="s">
        <v>1</v>
      </c>
      <c r="P733" t="s">
        <v>275</v>
      </c>
      <c r="Q733" t="s">
        <v>1</v>
      </c>
      <c r="R733" t="s">
        <v>275</v>
      </c>
      <c r="S733" t="s">
        <v>275</v>
      </c>
      <c r="T733" t="s">
        <v>275</v>
      </c>
      <c r="U733" t="s">
        <v>275</v>
      </c>
      <c r="V733" t="s">
        <v>275</v>
      </c>
      <c r="W733" t="s">
        <v>275</v>
      </c>
      <c r="X733" t="s">
        <v>275</v>
      </c>
      <c r="Y733" t="s">
        <v>275</v>
      </c>
      <c r="Z733" t="s">
        <v>275</v>
      </c>
      <c r="AA733" t="s">
        <v>275</v>
      </c>
      <c r="AB733" t="s">
        <v>275</v>
      </c>
      <c r="AC733" t="s">
        <v>275</v>
      </c>
      <c r="AD733" t="s">
        <v>275</v>
      </c>
    </row>
    <row r="734" spans="1:30">
      <c r="A734">
        <v>732</v>
      </c>
      <c r="B734" t="s">
        <v>1493</v>
      </c>
      <c r="C734" t="s">
        <v>1494</v>
      </c>
      <c r="D734" t="str">
        <f>IF(VLOOKUP(C734,'Capabilities Overview'!$A$2:$A$587,1)=C734,"","Not in UCL")</f>
        <v/>
      </c>
      <c r="E734" t="s">
        <v>1</v>
      </c>
      <c r="F734" t="s">
        <v>1</v>
      </c>
      <c r="G734" t="s">
        <v>275</v>
      </c>
      <c r="H734" t="s">
        <v>275</v>
      </c>
      <c r="I734" t="s">
        <v>275</v>
      </c>
      <c r="J734" t="s">
        <v>275</v>
      </c>
      <c r="K734" t="s">
        <v>275</v>
      </c>
      <c r="L734" t="s">
        <v>1</v>
      </c>
      <c r="M734" t="s">
        <v>1</v>
      </c>
      <c r="N734" t="s">
        <v>1</v>
      </c>
      <c r="O734" t="s">
        <v>1</v>
      </c>
      <c r="P734" t="s">
        <v>275</v>
      </c>
      <c r="Q734" t="s">
        <v>1</v>
      </c>
      <c r="R734" t="s">
        <v>1</v>
      </c>
      <c r="S734" t="s">
        <v>275</v>
      </c>
      <c r="T734" t="s">
        <v>275</v>
      </c>
      <c r="U734" t="s">
        <v>275</v>
      </c>
      <c r="V734" t="s">
        <v>275</v>
      </c>
      <c r="W734" t="s">
        <v>275</v>
      </c>
      <c r="X734" t="s">
        <v>275</v>
      </c>
      <c r="Y734" t="s">
        <v>275</v>
      </c>
      <c r="Z734" t="s">
        <v>275</v>
      </c>
      <c r="AA734" t="s">
        <v>275</v>
      </c>
      <c r="AB734" t="s">
        <v>275</v>
      </c>
      <c r="AC734" t="s">
        <v>275</v>
      </c>
      <c r="AD734" t="s">
        <v>275</v>
      </c>
    </row>
    <row r="735" spans="1:30">
      <c r="A735">
        <v>733</v>
      </c>
      <c r="B735" t="s">
        <v>1495</v>
      </c>
      <c r="C735" t="s">
        <v>1496</v>
      </c>
      <c r="D735" t="str">
        <f>IF(VLOOKUP(C735,'Capabilities Overview'!$A$2:$A$587,1)=C735,"","Not in UCL")</f>
        <v/>
      </c>
      <c r="E735" t="s">
        <v>1</v>
      </c>
      <c r="F735" t="s">
        <v>275</v>
      </c>
      <c r="G735" t="s">
        <v>275</v>
      </c>
      <c r="H735" t="s">
        <v>275</v>
      </c>
      <c r="I735" t="s">
        <v>275</v>
      </c>
      <c r="J735" t="s">
        <v>275</v>
      </c>
      <c r="K735" t="s">
        <v>275</v>
      </c>
      <c r="L735" t="s">
        <v>275</v>
      </c>
      <c r="M735" t="s">
        <v>1</v>
      </c>
      <c r="N735" t="s">
        <v>1</v>
      </c>
      <c r="O735" t="s">
        <v>1</v>
      </c>
      <c r="P735" t="s">
        <v>275</v>
      </c>
      <c r="Q735" t="s">
        <v>1</v>
      </c>
      <c r="R735" t="s">
        <v>1</v>
      </c>
      <c r="S735" t="s">
        <v>275</v>
      </c>
      <c r="T735" t="s">
        <v>275</v>
      </c>
      <c r="U735" t="s">
        <v>275</v>
      </c>
      <c r="V735" t="s">
        <v>275</v>
      </c>
      <c r="W735" t="s">
        <v>275</v>
      </c>
      <c r="X735" t="s">
        <v>275</v>
      </c>
      <c r="Y735" t="s">
        <v>275</v>
      </c>
      <c r="Z735" t="s">
        <v>275</v>
      </c>
      <c r="AA735" t="s">
        <v>275</v>
      </c>
      <c r="AB735" t="s">
        <v>275</v>
      </c>
      <c r="AC735" t="s">
        <v>275</v>
      </c>
      <c r="AD735" t="s">
        <v>275</v>
      </c>
    </row>
    <row r="736" spans="1:30">
      <c r="A736">
        <v>734</v>
      </c>
      <c r="B736" t="s">
        <v>1497</v>
      </c>
      <c r="C736" t="s">
        <v>1498</v>
      </c>
      <c r="D736" t="str">
        <f>IF(VLOOKUP(C736,'Capabilities Overview'!$A$2:$A$587,1)=C736,"","Not in UCL")</f>
        <v/>
      </c>
      <c r="E736" t="s">
        <v>1</v>
      </c>
      <c r="F736" t="s">
        <v>1</v>
      </c>
      <c r="G736" t="s">
        <v>275</v>
      </c>
      <c r="H736" t="s">
        <v>275</v>
      </c>
      <c r="I736" t="s">
        <v>275</v>
      </c>
      <c r="J736" t="s">
        <v>275</v>
      </c>
      <c r="K736" t="s">
        <v>275</v>
      </c>
      <c r="L736" t="s">
        <v>1</v>
      </c>
      <c r="M736" t="s">
        <v>1</v>
      </c>
      <c r="N736" t="s">
        <v>1</v>
      </c>
      <c r="O736" t="s">
        <v>1</v>
      </c>
      <c r="P736" t="s">
        <v>275</v>
      </c>
      <c r="Q736" t="s">
        <v>1</v>
      </c>
      <c r="R736" t="s">
        <v>1</v>
      </c>
      <c r="S736" t="s">
        <v>275</v>
      </c>
      <c r="T736" t="s">
        <v>275</v>
      </c>
      <c r="U736" t="s">
        <v>275</v>
      </c>
      <c r="V736" t="s">
        <v>275</v>
      </c>
      <c r="W736" t="s">
        <v>275</v>
      </c>
      <c r="X736" t="s">
        <v>275</v>
      </c>
      <c r="Y736" t="s">
        <v>275</v>
      </c>
      <c r="Z736" t="s">
        <v>275</v>
      </c>
      <c r="AA736" t="s">
        <v>275</v>
      </c>
      <c r="AB736" t="s">
        <v>275</v>
      </c>
      <c r="AC736" t="s">
        <v>275</v>
      </c>
      <c r="AD736" t="s">
        <v>275</v>
      </c>
    </row>
    <row r="737" spans="1:30">
      <c r="A737">
        <v>735</v>
      </c>
      <c r="B737" t="s">
        <v>1499</v>
      </c>
      <c r="C737" t="s">
        <v>1500</v>
      </c>
      <c r="D737" t="str">
        <f>IF(VLOOKUP(C737,'Capabilities Overview'!$A$2:$A$587,1)=C737,"","Not in UCL")</f>
        <v/>
      </c>
      <c r="E737" t="s">
        <v>1</v>
      </c>
      <c r="F737" t="s">
        <v>1</v>
      </c>
      <c r="G737" t="s">
        <v>275</v>
      </c>
      <c r="H737" t="s">
        <v>275</v>
      </c>
      <c r="I737" t="s">
        <v>275</v>
      </c>
      <c r="J737" t="s">
        <v>275</v>
      </c>
      <c r="K737" t="s">
        <v>275</v>
      </c>
      <c r="L737" t="s">
        <v>1</v>
      </c>
      <c r="M737" t="s">
        <v>1</v>
      </c>
      <c r="N737" t="s">
        <v>1</v>
      </c>
      <c r="O737" t="s">
        <v>1</v>
      </c>
      <c r="P737" t="s">
        <v>275</v>
      </c>
      <c r="Q737" t="s">
        <v>1</v>
      </c>
      <c r="R737" t="s">
        <v>275</v>
      </c>
      <c r="S737" t="s">
        <v>275</v>
      </c>
      <c r="T737" t="s">
        <v>275</v>
      </c>
      <c r="U737" t="s">
        <v>275</v>
      </c>
      <c r="V737" t="s">
        <v>275</v>
      </c>
      <c r="W737" t="s">
        <v>275</v>
      </c>
      <c r="X737" t="s">
        <v>275</v>
      </c>
      <c r="Y737" t="s">
        <v>275</v>
      </c>
      <c r="Z737" t="s">
        <v>275</v>
      </c>
      <c r="AA737" t="s">
        <v>275</v>
      </c>
      <c r="AB737" t="s">
        <v>275</v>
      </c>
      <c r="AC737" t="s">
        <v>275</v>
      </c>
      <c r="AD737" t="s">
        <v>275</v>
      </c>
    </row>
    <row r="738" spans="1:30">
      <c r="A738">
        <v>736</v>
      </c>
      <c r="B738" t="s">
        <v>1501</v>
      </c>
      <c r="C738" t="s">
        <v>1502</v>
      </c>
      <c r="D738" t="str">
        <f>IF(VLOOKUP(C738,'Capabilities Overview'!$A$2:$A$587,1)=C738,"","Not in UCL")</f>
        <v/>
      </c>
      <c r="E738" t="s">
        <v>1</v>
      </c>
      <c r="F738" t="s">
        <v>1</v>
      </c>
      <c r="G738" t="s">
        <v>275</v>
      </c>
      <c r="H738" t="s">
        <v>275</v>
      </c>
      <c r="I738" t="s">
        <v>1</v>
      </c>
      <c r="J738" t="s">
        <v>275</v>
      </c>
      <c r="K738" t="s">
        <v>275</v>
      </c>
      <c r="L738" t="s">
        <v>275</v>
      </c>
      <c r="M738" t="s">
        <v>1</v>
      </c>
      <c r="N738" t="s">
        <v>1</v>
      </c>
      <c r="O738" t="s">
        <v>1</v>
      </c>
      <c r="P738" t="s">
        <v>275</v>
      </c>
      <c r="Q738" t="s">
        <v>275</v>
      </c>
      <c r="R738" t="s">
        <v>275</v>
      </c>
      <c r="S738" t="s">
        <v>275</v>
      </c>
      <c r="T738" t="s">
        <v>275</v>
      </c>
      <c r="U738" t="s">
        <v>275</v>
      </c>
      <c r="V738" t="s">
        <v>275</v>
      </c>
      <c r="W738" t="s">
        <v>10</v>
      </c>
      <c r="X738" t="s">
        <v>275</v>
      </c>
      <c r="Y738" t="s">
        <v>275</v>
      </c>
      <c r="Z738" t="s">
        <v>275</v>
      </c>
      <c r="AA738" t="s">
        <v>275</v>
      </c>
      <c r="AB738" t="s">
        <v>275</v>
      </c>
      <c r="AC738" t="s">
        <v>275</v>
      </c>
      <c r="AD738" t="s">
        <v>275</v>
      </c>
    </row>
    <row r="739" spans="1:30">
      <c r="A739">
        <v>737</v>
      </c>
      <c r="B739" t="s">
        <v>132</v>
      </c>
      <c r="C739" t="s">
        <v>174</v>
      </c>
      <c r="D739" t="str">
        <f>IF(VLOOKUP(C739,'Capabilities Overview'!$A$2:$A$587,1)=C739,"","Not in UCL")</f>
        <v/>
      </c>
      <c r="E739" t="s">
        <v>1</v>
      </c>
      <c r="F739" t="s">
        <v>1</v>
      </c>
      <c r="G739" t="s">
        <v>275</v>
      </c>
      <c r="H739" t="s">
        <v>275</v>
      </c>
      <c r="I739" t="s">
        <v>275</v>
      </c>
      <c r="J739" t="s">
        <v>275</v>
      </c>
      <c r="K739" t="s">
        <v>275</v>
      </c>
      <c r="L739" t="s">
        <v>275</v>
      </c>
      <c r="M739" t="s">
        <v>1</v>
      </c>
      <c r="N739" t="s">
        <v>1</v>
      </c>
      <c r="O739" t="s">
        <v>1</v>
      </c>
      <c r="P739" t="s">
        <v>275</v>
      </c>
      <c r="Q739" t="s">
        <v>1</v>
      </c>
      <c r="R739" t="s">
        <v>1</v>
      </c>
      <c r="S739" t="s">
        <v>275</v>
      </c>
      <c r="T739" t="s">
        <v>1</v>
      </c>
      <c r="U739" t="s">
        <v>275</v>
      </c>
      <c r="V739" t="s">
        <v>275</v>
      </c>
      <c r="W739" t="s">
        <v>10</v>
      </c>
      <c r="X739" t="s">
        <v>275</v>
      </c>
      <c r="Y739" t="s">
        <v>275</v>
      </c>
      <c r="Z739" t="s">
        <v>275</v>
      </c>
      <c r="AA739" t="s">
        <v>275</v>
      </c>
      <c r="AB739" t="s">
        <v>275</v>
      </c>
      <c r="AC739" t="s">
        <v>275</v>
      </c>
      <c r="AD739" t="s">
        <v>1</v>
      </c>
    </row>
    <row r="740" spans="1:30">
      <c r="A740">
        <v>738</v>
      </c>
      <c r="B740" t="s">
        <v>1503</v>
      </c>
      <c r="C740" t="s">
        <v>1504</v>
      </c>
      <c r="D740" t="str">
        <f>IF(VLOOKUP(C740,'Capabilities Overview'!$A$2:$A$587,1)=C740,"","Not in UCL")</f>
        <v/>
      </c>
      <c r="E740" t="s">
        <v>1</v>
      </c>
      <c r="F740" t="s">
        <v>1</v>
      </c>
      <c r="G740" t="s">
        <v>275</v>
      </c>
      <c r="H740" t="s">
        <v>275</v>
      </c>
      <c r="I740" t="s">
        <v>1</v>
      </c>
      <c r="J740" t="s">
        <v>1</v>
      </c>
      <c r="K740" t="s">
        <v>1</v>
      </c>
      <c r="L740" t="s">
        <v>275</v>
      </c>
      <c r="M740" t="s">
        <v>1</v>
      </c>
      <c r="N740" t="s">
        <v>1</v>
      </c>
      <c r="O740" t="s">
        <v>1</v>
      </c>
      <c r="P740" t="s">
        <v>275</v>
      </c>
      <c r="Q740" t="s">
        <v>275</v>
      </c>
      <c r="R740" t="s">
        <v>275</v>
      </c>
      <c r="S740" t="s">
        <v>275</v>
      </c>
      <c r="T740" t="s">
        <v>275</v>
      </c>
      <c r="U740" t="s">
        <v>275</v>
      </c>
      <c r="V740" t="s">
        <v>275</v>
      </c>
      <c r="W740" t="s">
        <v>10</v>
      </c>
      <c r="X740" t="s">
        <v>275</v>
      </c>
      <c r="Y740" t="s">
        <v>275</v>
      </c>
      <c r="Z740" t="s">
        <v>275</v>
      </c>
      <c r="AA740" t="s">
        <v>275</v>
      </c>
      <c r="AB740" t="s">
        <v>275</v>
      </c>
      <c r="AC740" t="s">
        <v>275</v>
      </c>
      <c r="AD740" t="s">
        <v>275</v>
      </c>
    </row>
    <row r="741" spans="1:30">
      <c r="A741">
        <v>739</v>
      </c>
      <c r="B741" t="s">
        <v>1505</v>
      </c>
      <c r="C741" t="s">
        <v>1506</v>
      </c>
      <c r="D741" t="str">
        <f>IF(VLOOKUP(C741,'Capabilities Overview'!$A$2:$A$587,1)=C741,"","Not in UCL")</f>
        <v/>
      </c>
      <c r="E741" t="s">
        <v>1</v>
      </c>
      <c r="F741" t="s">
        <v>1</v>
      </c>
      <c r="G741" t="s">
        <v>275</v>
      </c>
      <c r="H741" t="s">
        <v>275</v>
      </c>
      <c r="I741" t="s">
        <v>1</v>
      </c>
      <c r="J741" t="s">
        <v>1</v>
      </c>
      <c r="K741" t="s">
        <v>1</v>
      </c>
      <c r="L741" t="s">
        <v>275</v>
      </c>
      <c r="M741" t="s">
        <v>1</v>
      </c>
      <c r="N741" t="s">
        <v>1</v>
      </c>
      <c r="O741" t="s">
        <v>1</v>
      </c>
      <c r="P741" t="s">
        <v>275</v>
      </c>
      <c r="Q741" t="s">
        <v>275</v>
      </c>
      <c r="R741" t="s">
        <v>275</v>
      </c>
      <c r="S741" t="s">
        <v>275</v>
      </c>
      <c r="T741" t="s">
        <v>275</v>
      </c>
      <c r="U741" t="s">
        <v>275</v>
      </c>
      <c r="V741" t="s">
        <v>275</v>
      </c>
      <c r="W741" t="s">
        <v>10</v>
      </c>
      <c r="X741" t="s">
        <v>275</v>
      </c>
      <c r="Y741" t="s">
        <v>275</v>
      </c>
      <c r="Z741" t="s">
        <v>275</v>
      </c>
      <c r="AA741" t="s">
        <v>275</v>
      </c>
      <c r="AB741" t="s">
        <v>275</v>
      </c>
      <c r="AC741" t="s">
        <v>275</v>
      </c>
      <c r="AD741" t="s">
        <v>275</v>
      </c>
    </row>
    <row r="742" spans="1:30">
      <c r="A742">
        <v>740</v>
      </c>
      <c r="B742" t="s">
        <v>1507</v>
      </c>
      <c r="C742" t="s">
        <v>1508</v>
      </c>
      <c r="D742" t="str">
        <f>IF(VLOOKUP(C742,'Capabilities Overview'!$A$2:$A$587,1)=C742,"","Not in UCL")</f>
        <v/>
      </c>
      <c r="E742" t="s">
        <v>1</v>
      </c>
      <c r="F742" t="s">
        <v>1</v>
      </c>
      <c r="G742" t="s">
        <v>275</v>
      </c>
      <c r="H742" t="s">
        <v>275</v>
      </c>
      <c r="I742" t="s">
        <v>1</v>
      </c>
      <c r="J742" t="s">
        <v>1</v>
      </c>
      <c r="K742" t="s">
        <v>1</v>
      </c>
      <c r="L742" t="s">
        <v>275</v>
      </c>
      <c r="M742" t="s">
        <v>1</v>
      </c>
      <c r="N742" t="s">
        <v>1</v>
      </c>
      <c r="O742" t="s">
        <v>1</v>
      </c>
      <c r="P742" t="s">
        <v>275</v>
      </c>
      <c r="Q742" t="s">
        <v>1</v>
      </c>
      <c r="R742" t="s">
        <v>275</v>
      </c>
      <c r="S742" t="s">
        <v>275</v>
      </c>
      <c r="T742" t="s">
        <v>275</v>
      </c>
      <c r="U742" t="s">
        <v>275</v>
      </c>
      <c r="V742" t="s">
        <v>275</v>
      </c>
      <c r="W742" t="s">
        <v>275</v>
      </c>
      <c r="X742" t="s">
        <v>275</v>
      </c>
      <c r="Y742" t="s">
        <v>275</v>
      </c>
      <c r="Z742" t="s">
        <v>275</v>
      </c>
      <c r="AA742" t="s">
        <v>275</v>
      </c>
      <c r="AB742" t="s">
        <v>275</v>
      </c>
      <c r="AC742" t="s">
        <v>275</v>
      </c>
      <c r="AD742" t="s">
        <v>275</v>
      </c>
    </row>
    <row r="743" spans="1:30">
      <c r="A743">
        <v>741</v>
      </c>
      <c r="B743" t="s">
        <v>1509</v>
      </c>
      <c r="C743" t="s">
        <v>1510</v>
      </c>
      <c r="D743" t="str">
        <f>IF(VLOOKUP(C743,'Capabilities Overview'!$A$2:$A$587,1)=C743,"","Not in UCL")</f>
        <v/>
      </c>
      <c r="E743" t="s">
        <v>275</v>
      </c>
      <c r="F743" t="s">
        <v>275</v>
      </c>
      <c r="G743" t="s">
        <v>275</v>
      </c>
      <c r="H743" t="s">
        <v>275</v>
      </c>
      <c r="I743" t="s">
        <v>275</v>
      </c>
      <c r="J743" t="s">
        <v>275</v>
      </c>
      <c r="K743" t="s">
        <v>275</v>
      </c>
      <c r="L743" t="s">
        <v>275</v>
      </c>
      <c r="M743" t="s">
        <v>1</v>
      </c>
      <c r="N743" t="s">
        <v>1</v>
      </c>
      <c r="O743" t="s">
        <v>1</v>
      </c>
      <c r="P743" t="s">
        <v>275</v>
      </c>
      <c r="Q743" t="s">
        <v>1</v>
      </c>
      <c r="R743" t="s">
        <v>275</v>
      </c>
      <c r="S743" t="s">
        <v>275</v>
      </c>
      <c r="T743" t="s">
        <v>275</v>
      </c>
      <c r="U743" t="s">
        <v>275</v>
      </c>
      <c r="V743" t="s">
        <v>275</v>
      </c>
      <c r="W743" t="s">
        <v>10</v>
      </c>
      <c r="X743" t="s">
        <v>275</v>
      </c>
      <c r="Y743" t="s">
        <v>275</v>
      </c>
      <c r="Z743" t="s">
        <v>275</v>
      </c>
      <c r="AA743" t="s">
        <v>275</v>
      </c>
      <c r="AB743" t="s">
        <v>275</v>
      </c>
      <c r="AC743" t="s">
        <v>275</v>
      </c>
      <c r="AD743" t="s">
        <v>275</v>
      </c>
    </row>
    <row r="744" spans="1:30">
      <c r="A744">
        <v>742</v>
      </c>
      <c r="B744" t="s">
        <v>1511</v>
      </c>
      <c r="C744" t="s">
        <v>1512</v>
      </c>
      <c r="D744" t="str">
        <f>IF(VLOOKUP(C744,'Capabilities Overview'!$A$2:$A$587,1)=C744,"","Not in UCL")</f>
        <v/>
      </c>
      <c r="E744" t="s">
        <v>275</v>
      </c>
      <c r="F744" t="s">
        <v>275</v>
      </c>
      <c r="G744" t="s">
        <v>275</v>
      </c>
      <c r="H744" t="s">
        <v>275</v>
      </c>
      <c r="I744" t="s">
        <v>275</v>
      </c>
      <c r="J744" t="s">
        <v>275</v>
      </c>
      <c r="K744" t="s">
        <v>275</v>
      </c>
      <c r="L744" t="s">
        <v>275</v>
      </c>
      <c r="M744" t="s">
        <v>1</v>
      </c>
      <c r="N744" t="s">
        <v>1</v>
      </c>
      <c r="O744" t="s">
        <v>1</v>
      </c>
      <c r="P744" t="s">
        <v>275</v>
      </c>
      <c r="Q744" t="s">
        <v>1</v>
      </c>
      <c r="R744" t="s">
        <v>275</v>
      </c>
      <c r="S744" t="s">
        <v>275</v>
      </c>
      <c r="T744" t="s">
        <v>275</v>
      </c>
      <c r="U744" t="s">
        <v>275</v>
      </c>
      <c r="V744" t="s">
        <v>275</v>
      </c>
      <c r="W744" t="s">
        <v>10</v>
      </c>
      <c r="X744" t="s">
        <v>275</v>
      </c>
      <c r="Y744" t="s">
        <v>275</v>
      </c>
      <c r="Z744" t="s">
        <v>275</v>
      </c>
      <c r="AA744" t="s">
        <v>275</v>
      </c>
      <c r="AB744" t="s">
        <v>275</v>
      </c>
      <c r="AC744" t="s">
        <v>275</v>
      </c>
      <c r="AD744" t="s">
        <v>275</v>
      </c>
    </row>
    <row r="745" spans="1:30">
      <c r="A745">
        <v>743</v>
      </c>
      <c r="B745" t="s">
        <v>1513</v>
      </c>
      <c r="C745" t="s">
        <v>1514</v>
      </c>
      <c r="D745" t="str">
        <f>IF(VLOOKUP(C745,'Capabilities Overview'!$A$2:$A$587,1)=C745,"","Not in UCL")</f>
        <v/>
      </c>
      <c r="E745" t="s">
        <v>1</v>
      </c>
      <c r="F745" t="s">
        <v>275</v>
      </c>
      <c r="G745" t="s">
        <v>275</v>
      </c>
      <c r="H745" t="s">
        <v>275</v>
      </c>
      <c r="I745" t="s">
        <v>1</v>
      </c>
      <c r="J745" t="s">
        <v>275</v>
      </c>
      <c r="K745" t="s">
        <v>275</v>
      </c>
      <c r="L745" t="s">
        <v>275</v>
      </c>
      <c r="M745" t="s">
        <v>1</v>
      </c>
      <c r="N745" t="s">
        <v>1</v>
      </c>
      <c r="O745" t="s">
        <v>1</v>
      </c>
      <c r="P745" t="s">
        <v>275</v>
      </c>
      <c r="Q745" t="s">
        <v>1</v>
      </c>
      <c r="R745" t="s">
        <v>275</v>
      </c>
      <c r="S745" t="s">
        <v>275</v>
      </c>
      <c r="T745" t="s">
        <v>275</v>
      </c>
      <c r="U745" t="s">
        <v>275</v>
      </c>
      <c r="V745" t="s">
        <v>275</v>
      </c>
      <c r="W745" t="s">
        <v>275</v>
      </c>
      <c r="X745" t="s">
        <v>275</v>
      </c>
      <c r="Y745" t="s">
        <v>275</v>
      </c>
      <c r="Z745" t="s">
        <v>275</v>
      </c>
      <c r="AA745" t="s">
        <v>275</v>
      </c>
      <c r="AB745" t="s">
        <v>275</v>
      </c>
      <c r="AC745" t="s">
        <v>275</v>
      </c>
      <c r="AD745" t="s">
        <v>275</v>
      </c>
    </row>
    <row r="746" spans="1:30">
      <c r="A746">
        <v>744</v>
      </c>
      <c r="B746" t="s">
        <v>175</v>
      </c>
      <c r="C746" t="s">
        <v>176</v>
      </c>
      <c r="D746" t="str">
        <f>IF(VLOOKUP(C746,'Capabilities Overview'!$A$2:$A$587,1)=C746,"","Not in UCL")</f>
        <v/>
      </c>
      <c r="E746" t="s">
        <v>1</v>
      </c>
      <c r="F746" t="s">
        <v>1</v>
      </c>
      <c r="G746" t="s">
        <v>275</v>
      </c>
      <c r="H746" t="s">
        <v>275</v>
      </c>
      <c r="I746" t="s">
        <v>1</v>
      </c>
      <c r="J746" t="s">
        <v>1</v>
      </c>
      <c r="K746" t="s">
        <v>1</v>
      </c>
      <c r="L746" t="s">
        <v>1</v>
      </c>
      <c r="M746" t="s">
        <v>1</v>
      </c>
      <c r="N746" t="s">
        <v>1</v>
      </c>
      <c r="O746" t="s">
        <v>275</v>
      </c>
      <c r="P746" t="s">
        <v>275</v>
      </c>
      <c r="Q746" t="s">
        <v>275</v>
      </c>
      <c r="R746" t="s">
        <v>275</v>
      </c>
      <c r="S746" t="s">
        <v>275</v>
      </c>
      <c r="T746" t="s">
        <v>1</v>
      </c>
      <c r="U746" t="s">
        <v>275</v>
      </c>
      <c r="V746" t="s">
        <v>275</v>
      </c>
      <c r="W746" t="s">
        <v>10</v>
      </c>
      <c r="X746" t="s">
        <v>275</v>
      </c>
      <c r="Y746" t="s">
        <v>275</v>
      </c>
      <c r="Z746" t="s">
        <v>275</v>
      </c>
      <c r="AA746" t="s">
        <v>275</v>
      </c>
      <c r="AB746" t="s">
        <v>275</v>
      </c>
      <c r="AC746" t="s">
        <v>275</v>
      </c>
      <c r="AD746" t="s">
        <v>1</v>
      </c>
    </row>
    <row r="747" spans="1:30">
      <c r="A747">
        <v>745</v>
      </c>
      <c r="B747" t="s">
        <v>177</v>
      </c>
      <c r="C747" t="s">
        <v>178</v>
      </c>
      <c r="D747" t="str">
        <f>IF(VLOOKUP(C747,'Capabilities Overview'!$A$2:$A$587,1)=C747,"","Not in UCL")</f>
        <v/>
      </c>
      <c r="E747" t="s">
        <v>275</v>
      </c>
      <c r="F747" t="s">
        <v>275</v>
      </c>
      <c r="G747" t="s">
        <v>275</v>
      </c>
      <c r="H747" t="s">
        <v>275</v>
      </c>
      <c r="I747" t="s">
        <v>275</v>
      </c>
      <c r="J747" t="s">
        <v>275</v>
      </c>
      <c r="K747" t="s">
        <v>275</v>
      </c>
      <c r="L747" t="s">
        <v>275</v>
      </c>
      <c r="M747" t="s">
        <v>275</v>
      </c>
      <c r="N747" t="s">
        <v>275</v>
      </c>
      <c r="O747" t="s">
        <v>275</v>
      </c>
      <c r="P747" t="s">
        <v>275</v>
      </c>
      <c r="Q747" t="s">
        <v>275</v>
      </c>
      <c r="R747" t="s">
        <v>275</v>
      </c>
      <c r="S747" t="s">
        <v>275</v>
      </c>
      <c r="T747" t="s">
        <v>1</v>
      </c>
      <c r="U747" t="s">
        <v>275</v>
      </c>
      <c r="V747" t="s">
        <v>275</v>
      </c>
      <c r="W747" t="s">
        <v>275</v>
      </c>
      <c r="X747" t="s">
        <v>275</v>
      </c>
      <c r="Y747" t="s">
        <v>275</v>
      </c>
      <c r="Z747" t="s">
        <v>275</v>
      </c>
      <c r="AA747" t="s">
        <v>275</v>
      </c>
      <c r="AB747" t="s">
        <v>275</v>
      </c>
      <c r="AC747" t="s">
        <v>275</v>
      </c>
      <c r="AD747" t="s">
        <v>1</v>
      </c>
    </row>
    <row r="748" spans="1:30">
      <c r="A748">
        <v>746</v>
      </c>
      <c r="B748" t="s">
        <v>179</v>
      </c>
      <c r="C748" t="s">
        <v>180</v>
      </c>
      <c r="D748" t="str">
        <f>IF(VLOOKUP(C748,'Capabilities Overview'!$A$2:$A$587,1)=C748,"","Not in UCL")</f>
        <v/>
      </c>
      <c r="E748" t="s">
        <v>1</v>
      </c>
      <c r="F748" t="s">
        <v>1</v>
      </c>
      <c r="G748" t="s">
        <v>275</v>
      </c>
      <c r="H748" t="s">
        <v>275</v>
      </c>
      <c r="I748" t="s">
        <v>1</v>
      </c>
      <c r="J748" t="s">
        <v>1</v>
      </c>
      <c r="K748" t="s">
        <v>1</v>
      </c>
      <c r="L748" t="s">
        <v>1</v>
      </c>
      <c r="M748" t="s">
        <v>1</v>
      </c>
      <c r="N748" t="s">
        <v>1</v>
      </c>
      <c r="O748" t="s">
        <v>275</v>
      </c>
      <c r="P748" t="s">
        <v>275</v>
      </c>
      <c r="Q748" t="s">
        <v>275</v>
      </c>
      <c r="R748" t="s">
        <v>275</v>
      </c>
      <c r="S748" t="s">
        <v>275</v>
      </c>
      <c r="T748" t="s">
        <v>1</v>
      </c>
      <c r="U748" t="s">
        <v>275</v>
      </c>
      <c r="V748" t="s">
        <v>275</v>
      </c>
      <c r="W748" t="s">
        <v>10</v>
      </c>
      <c r="X748" t="s">
        <v>275</v>
      </c>
      <c r="Y748" t="s">
        <v>275</v>
      </c>
      <c r="Z748" t="s">
        <v>275</v>
      </c>
      <c r="AA748" t="s">
        <v>275</v>
      </c>
      <c r="AB748" t="s">
        <v>275</v>
      </c>
      <c r="AC748" t="s">
        <v>275</v>
      </c>
      <c r="AD748" t="s">
        <v>1</v>
      </c>
    </row>
    <row r="749" spans="1:30">
      <c r="A749">
        <v>747</v>
      </c>
      <c r="B749" t="s">
        <v>181</v>
      </c>
      <c r="C749" t="s">
        <v>182</v>
      </c>
      <c r="D749" t="str">
        <f>IF(VLOOKUP(C749,'Capabilities Overview'!$A$2:$A$587,1)=C749,"","Not in UCL")</f>
        <v>Not in UCL</v>
      </c>
      <c r="E749" t="s">
        <v>275</v>
      </c>
      <c r="F749" t="s">
        <v>275</v>
      </c>
      <c r="G749" t="s">
        <v>275</v>
      </c>
      <c r="H749" t="s">
        <v>275</v>
      </c>
      <c r="I749" t="s">
        <v>275</v>
      </c>
      <c r="J749" t="s">
        <v>275</v>
      </c>
      <c r="K749" t="s">
        <v>275</v>
      </c>
      <c r="L749" t="s">
        <v>275</v>
      </c>
      <c r="M749" t="s">
        <v>275</v>
      </c>
      <c r="N749" t="s">
        <v>275</v>
      </c>
      <c r="O749" t="s">
        <v>275</v>
      </c>
      <c r="P749" t="s">
        <v>275</v>
      </c>
      <c r="Q749" t="s">
        <v>275</v>
      </c>
      <c r="R749" t="s">
        <v>275</v>
      </c>
      <c r="S749" t="s">
        <v>275</v>
      </c>
      <c r="T749" t="s">
        <v>1</v>
      </c>
      <c r="U749" t="s">
        <v>275</v>
      </c>
      <c r="V749" t="s">
        <v>275</v>
      </c>
      <c r="W749" t="s">
        <v>275</v>
      </c>
      <c r="X749" t="s">
        <v>275</v>
      </c>
      <c r="Y749" t="s">
        <v>275</v>
      </c>
      <c r="Z749" t="s">
        <v>275</v>
      </c>
      <c r="AA749" t="s">
        <v>275</v>
      </c>
      <c r="AB749" t="s">
        <v>275</v>
      </c>
      <c r="AC749" t="s">
        <v>275</v>
      </c>
      <c r="AD749" t="s">
        <v>1</v>
      </c>
    </row>
    <row r="750" spans="1:30">
      <c r="A750">
        <v>748</v>
      </c>
      <c r="B750" t="s">
        <v>183</v>
      </c>
      <c r="C750" t="s">
        <v>184</v>
      </c>
      <c r="D750" t="str">
        <f>IF(VLOOKUP(C750,'Capabilities Overview'!$A$2:$A$587,1)=C750,"","Not in UCL")</f>
        <v/>
      </c>
      <c r="E750" t="s">
        <v>1</v>
      </c>
      <c r="F750" t="s">
        <v>1</v>
      </c>
      <c r="G750" t="s">
        <v>275</v>
      </c>
      <c r="H750" t="s">
        <v>275</v>
      </c>
      <c r="I750" t="s">
        <v>1</v>
      </c>
      <c r="J750" t="s">
        <v>1</v>
      </c>
      <c r="K750" t="s">
        <v>1</v>
      </c>
      <c r="L750" t="s">
        <v>1</v>
      </c>
      <c r="M750" t="s">
        <v>1</v>
      </c>
      <c r="N750" t="s">
        <v>1</v>
      </c>
      <c r="O750" t="s">
        <v>275</v>
      </c>
      <c r="P750" t="s">
        <v>275</v>
      </c>
      <c r="Q750" t="s">
        <v>275</v>
      </c>
      <c r="R750" t="s">
        <v>275</v>
      </c>
      <c r="S750" t="s">
        <v>275</v>
      </c>
      <c r="T750" t="s">
        <v>1</v>
      </c>
      <c r="U750" t="s">
        <v>275</v>
      </c>
      <c r="V750" t="s">
        <v>275</v>
      </c>
      <c r="W750" t="s">
        <v>10</v>
      </c>
      <c r="X750" t="s">
        <v>275</v>
      </c>
      <c r="Y750" t="s">
        <v>275</v>
      </c>
      <c r="Z750" t="s">
        <v>275</v>
      </c>
      <c r="AA750" t="s">
        <v>275</v>
      </c>
      <c r="AB750" t="s">
        <v>275</v>
      </c>
      <c r="AC750" t="s">
        <v>275</v>
      </c>
      <c r="AD750" t="s">
        <v>1</v>
      </c>
    </row>
    <row r="751" spans="1:30">
      <c r="A751">
        <v>749</v>
      </c>
      <c r="B751" t="s">
        <v>185</v>
      </c>
      <c r="C751" t="s">
        <v>186</v>
      </c>
      <c r="D751" t="str">
        <f>IF(VLOOKUP(C751,'Capabilities Overview'!$A$2:$A$587,1)=C751,"","Not in UCL")</f>
        <v/>
      </c>
      <c r="E751" t="s">
        <v>1</v>
      </c>
      <c r="F751" t="s">
        <v>1</v>
      </c>
      <c r="G751" t="s">
        <v>275</v>
      </c>
      <c r="H751" t="s">
        <v>275</v>
      </c>
      <c r="I751" t="s">
        <v>1</v>
      </c>
      <c r="J751" t="s">
        <v>1</v>
      </c>
      <c r="K751" t="s">
        <v>1</v>
      </c>
      <c r="L751" t="s">
        <v>1</v>
      </c>
      <c r="M751" t="s">
        <v>1</v>
      </c>
      <c r="N751" t="s">
        <v>1</v>
      </c>
      <c r="O751" t="s">
        <v>275</v>
      </c>
      <c r="P751" t="s">
        <v>275</v>
      </c>
      <c r="Q751" t="s">
        <v>275</v>
      </c>
      <c r="R751" t="s">
        <v>275</v>
      </c>
      <c r="S751" t="s">
        <v>275</v>
      </c>
      <c r="T751" t="s">
        <v>1</v>
      </c>
      <c r="U751" t="s">
        <v>275</v>
      </c>
      <c r="V751" t="s">
        <v>275</v>
      </c>
      <c r="W751" t="s">
        <v>10</v>
      </c>
      <c r="X751" t="s">
        <v>275</v>
      </c>
      <c r="Y751" t="s">
        <v>275</v>
      </c>
      <c r="Z751" t="s">
        <v>275</v>
      </c>
      <c r="AA751" t="s">
        <v>275</v>
      </c>
      <c r="AB751" t="s">
        <v>275</v>
      </c>
      <c r="AC751" t="s">
        <v>275</v>
      </c>
      <c r="AD751" t="s">
        <v>1</v>
      </c>
    </row>
    <row r="752" spans="1:30">
      <c r="A752">
        <v>750</v>
      </c>
      <c r="B752" t="s">
        <v>187</v>
      </c>
      <c r="C752" t="s">
        <v>188</v>
      </c>
      <c r="D752" t="str">
        <f>IF(VLOOKUP(C752,'Capabilities Overview'!$A$2:$A$587,1)=C752,"","Not in UCL")</f>
        <v/>
      </c>
      <c r="E752" t="s">
        <v>275</v>
      </c>
      <c r="F752" t="s">
        <v>275</v>
      </c>
      <c r="G752" t="s">
        <v>275</v>
      </c>
      <c r="H752" t="s">
        <v>275</v>
      </c>
      <c r="I752" t="s">
        <v>275</v>
      </c>
      <c r="J752" t="s">
        <v>275</v>
      </c>
      <c r="K752" t="s">
        <v>275</v>
      </c>
      <c r="L752" t="s">
        <v>275</v>
      </c>
      <c r="M752" t="s">
        <v>275</v>
      </c>
      <c r="N752" t="s">
        <v>275</v>
      </c>
      <c r="O752" t="s">
        <v>275</v>
      </c>
      <c r="P752" t="s">
        <v>275</v>
      </c>
      <c r="Q752" t="s">
        <v>275</v>
      </c>
      <c r="R752" t="s">
        <v>275</v>
      </c>
      <c r="S752" t="s">
        <v>275</v>
      </c>
      <c r="T752" t="s">
        <v>1</v>
      </c>
      <c r="U752" t="s">
        <v>275</v>
      </c>
      <c r="V752" t="s">
        <v>275</v>
      </c>
      <c r="W752" t="s">
        <v>275</v>
      </c>
      <c r="X752" t="s">
        <v>275</v>
      </c>
      <c r="Y752" t="s">
        <v>275</v>
      </c>
      <c r="Z752" t="s">
        <v>275</v>
      </c>
      <c r="AA752" t="s">
        <v>275</v>
      </c>
      <c r="AB752" t="s">
        <v>275</v>
      </c>
      <c r="AC752" t="s">
        <v>275</v>
      </c>
      <c r="AD752" t="s">
        <v>1</v>
      </c>
    </row>
    <row r="753" spans="1:30">
      <c r="A753">
        <v>751</v>
      </c>
      <c r="B753" t="s">
        <v>189</v>
      </c>
      <c r="C753" t="s">
        <v>190</v>
      </c>
      <c r="D753" t="str">
        <f>IF(VLOOKUP(C753,'Capabilities Overview'!$A$2:$A$587,1)=C753,"","Not in UCL")</f>
        <v>Not in UCL</v>
      </c>
      <c r="E753" t="s">
        <v>275</v>
      </c>
      <c r="F753" t="s">
        <v>275</v>
      </c>
      <c r="G753" t="s">
        <v>275</v>
      </c>
      <c r="H753" t="s">
        <v>275</v>
      </c>
      <c r="I753" t="s">
        <v>275</v>
      </c>
      <c r="J753" t="s">
        <v>275</v>
      </c>
      <c r="K753" t="s">
        <v>275</v>
      </c>
      <c r="L753" t="s">
        <v>275</v>
      </c>
      <c r="M753" t="s">
        <v>275</v>
      </c>
      <c r="N753" t="s">
        <v>275</v>
      </c>
      <c r="O753" t="s">
        <v>275</v>
      </c>
      <c r="P753" t="s">
        <v>275</v>
      </c>
      <c r="Q753" t="s">
        <v>275</v>
      </c>
      <c r="R753" t="s">
        <v>275</v>
      </c>
      <c r="S753" t="s">
        <v>275</v>
      </c>
      <c r="T753" t="s">
        <v>1</v>
      </c>
      <c r="U753" t="s">
        <v>275</v>
      </c>
      <c r="V753" t="s">
        <v>275</v>
      </c>
      <c r="W753" t="s">
        <v>275</v>
      </c>
      <c r="X753" t="s">
        <v>275</v>
      </c>
      <c r="Y753" t="s">
        <v>275</v>
      </c>
      <c r="Z753" t="s">
        <v>275</v>
      </c>
      <c r="AA753" t="s">
        <v>275</v>
      </c>
      <c r="AB753" t="s">
        <v>275</v>
      </c>
      <c r="AC753" t="s">
        <v>275</v>
      </c>
      <c r="AD753" t="s">
        <v>1</v>
      </c>
    </row>
    <row r="754" spans="1:30">
      <c r="A754">
        <v>752</v>
      </c>
      <c r="B754" t="s">
        <v>191</v>
      </c>
      <c r="C754" t="s">
        <v>192</v>
      </c>
      <c r="D754" t="str">
        <f>IF(VLOOKUP(C754,'Capabilities Overview'!$A$2:$A$587,1)=C754,"","Not in UCL")</f>
        <v/>
      </c>
      <c r="E754" t="s">
        <v>1</v>
      </c>
      <c r="F754" t="s">
        <v>1</v>
      </c>
      <c r="G754" t="s">
        <v>275</v>
      </c>
      <c r="H754" t="s">
        <v>275</v>
      </c>
      <c r="I754" t="s">
        <v>1</v>
      </c>
      <c r="J754" t="s">
        <v>1</v>
      </c>
      <c r="K754" t="s">
        <v>1</v>
      </c>
      <c r="L754" t="s">
        <v>1</v>
      </c>
      <c r="M754" t="s">
        <v>1</v>
      </c>
      <c r="N754" t="s">
        <v>1</v>
      </c>
      <c r="O754" t="s">
        <v>275</v>
      </c>
      <c r="P754" t="s">
        <v>275</v>
      </c>
      <c r="Q754" t="s">
        <v>275</v>
      </c>
      <c r="R754" t="s">
        <v>275</v>
      </c>
      <c r="S754" t="s">
        <v>275</v>
      </c>
      <c r="T754" t="s">
        <v>1</v>
      </c>
      <c r="U754" t="s">
        <v>275</v>
      </c>
      <c r="V754" t="s">
        <v>275</v>
      </c>
      <c r="W754" t="s">
        <v>10</v>
      </c>
      <c r="X754" t="s">
        <v>275</v>
      </c>
      <c r="Y754" t="s">
        <v>275</v>
      </c>
      <c r="Z754" t="s">
        <v>275</v>
      </c>
      <c r="AA754" t="s">
        <v>275</v>
      </c>
      <c r="AB754" t="s">
        <v>275</v>
      </c>
      <c r="AC754" t="s">
        <v>275</v>
      </c>
      <c r="AD754" t="s">
        <v>1</v>
      </c>
    </row>
    <row r="755" spans="1:30">
      <c r="A755">
        <v>753</v>
      </c>
      <c r="B755" t="s">
        <v>193</v>
      </c>
      <c r="C755" t="s">
        <v>194</v>
      </c>
      <c r="D755" t="str">
        <f>IF(VLOOKUP(C755,'Capabilities Overview'!$A$2:$A$587,1)=C755,"","Not in UCL")</f>
        <v/>
      </c>
      <c r="E755" t="s">
        <v>1</v>
      </c>
      <c r="F755" t="s">
        <v>1</v>
      </c>
      <c r="G755" t="s">
        <v>275</v>
      </c>
      <c r="H755" t="s">
        <v>275</v>
      </c>
      <c r="I755" t="s">
        <v>1</v>
      </c>
      <c r="J755" t="s">
        <v>1</v>
      </c>
      <c r="K755" t="s">
        <v>1</v>
      </c>
      <c r="L755" t="s">
        <v>1</v>
      </c>
      <c r="M755" t="s">
        <v>1</v>
      </c>
      <c r="N755" t="s">
        <v>1</v>
      </c>
      <c r="O755" t="s">
        <v>275</v>
      </c>
      <c r="P755" t="s">
        <v>275</v>
      </c>
      <c r="Q755" t="s">
        <v>275</v>
      </c>
      <c r="R755" t="s">
        <v>275</v>
      </c>
      <c r="S755" t="s">
        <v>275</v>
      </c>
      <c r="T755" t="s">
        <v>1</v>
      </c>
      <c r="U755" t="s">
        <v>275</v>
      </c>
      <c r="V755" t="s">
        <v>275</v>
      </c>
      <c r="W755" t="s">
        <v>10</v>
      </c>
      <c r="X755" t="s">
        <v>275</v>
      </c>
      <c r="Y755" t="s">
        <v>275</v>
      </c>
      <c r="Z755" t="s">
        <v>275</v>
      </c>
      <c r="AA755" t="s">
        <v>275</v>
      </c>
      <c r="AB755" t="s">
        <v>275</v>
      </c>
      <c r="AC755" t="s">
        <v>275</v>
      </c>
      <c r="AD755" t="s">
        <v>1</v>
      </c>
    </row>
    <row r="756" spans="1:30">
      <c r="A756">
        <v>754</v>
      </c>
      <c r="B756" t="s">
        <v>195</v>
      </c>
      <c r="C756" t="s">
        <v>196</v>
      </c>
      <c r="D756" t="str">
        <f>IF(VLOOKUP(C756,'Capabilities Overview'!$A$2:$A$587,1)=C756,"","Not in UCL")</f>
        <v/>
      </c>
      <c r="E756" t="s">
        <v>1</v>
      </c>
      <c r="F756" t="s">
        <v>1</v>
      </c>
      <c r="G756" t="s">
        <v>275</v>
      </c>
      <c r="H756" t="s">
        <v>275</v>
      </c>
      <c r="I756" t="s">
        <v>1</v>
      </c>
      <c r="J756" t="s">
        <v>1</v>
      </c>
      <c r="K756" t="s">
        <v>1</v>
      </c>
      <c r="L756" t="s">
        <v>1</v>
      </c>
      <c r="M756" t="s">
        <v>1</v>
      </c>
      <c r="N756" t="s">
        <v>1</v>
      </c>
      <c r="O756" t="s">
        <v>275</v>
      </c>
      <c r="P756" t="s">
        <v>275</v>
      </c>
      <c r="Q756" t="s">
        <v>275</v>
      </c>
      <c r="R756" t="s">
        <v>275</v>
      </c>
      <c r="S756" t="s">
        <v>275</v>
      </c>
      <c r="T756" t="s">
        <v>1</v>
      </c>
      <c r="U756" t="s">
        <v>275</v>
      </c>
      <c r="V756" t="s">
        <v>275</v>
      </c>
      <c r="W756" t="s">
        <v>10</v>
      </c>
      <c r="X756" t="s">
        <v>275</v>
      </c>
      <c r="Y756" t="s">
        <v>275</v>
      </c>
      <c r="Z756" t="s">
        <v>275</v>
      </c>
      <c r="AA756" t="s">
        <v>275</v>
      </c>
      <c r="AB756" t="s">
        <v>275</v>
      </c>
      <c r="AC756" t="s">
        <v>275</v>
      </c>
      <c r="AD756" t="s">
        <v>1</v>
      </c>
    </row>
    <row r="757" spans="1:30">
      <c r="A757">
        <v>755</v>
      </c>
      <c r="B757" t="s">
        <v>197</v>
      </c>
      <c r="C757" t="s">
        <v>198</v>
      </c>
      <c r="D757" t="str">
        <f>IF(VLOOKUP(C757,'Capabilities Overview'!$A$2:$A$587,1)=C757,"","Not in UCL")</f>
        <v/>
      </c>
      <c r="E757" t="s">
        <v>1</v>
      </c>
      <c r="F757" t="s">
        <v>1</v>
      </c>
      <c r="G757" t="s">
        <v>275</v>
      </c>
      <c r="H757" t="s">
        <v>275</v>
      </c>
      <c r="I757" t="s">
        <v>1</v>
      </c>
      <c r="J757" t="s">
        <v>1</v>
      </c>
      <c r="K757" t="s">
        <v>1</v>
      </c>
      <c r="L757" t="s">
        <v>1</v>
      </c>
      <c r="M757" t="s">
        <v>1</v>
      </c>
      <c r="N757" t="s">
        <v>1</v>
      </c>
      <c r="O757" t="s">
        <v>275</v>
      </c>
      <c r="P757" t="s">
        <v>275</v>
      </c>
      <c r="Q757" t="s">
        <v>275</v>
      </c>
      <c r="R757" t="s">
        <v>275</v>
      </c>
      <c r="S757" t="s">
        <v>275</v>
      </c>
      <c r="T757" t="s">
        <v>1</v>
      </c>
      <c r="U757" t="s">
        <v>275</v>
      </c>
      <c r="V757" t="s">
        <v>275</v>
      </c>
      <c r="W757" t="s">
        <v>10</v>
      </c>
      <c r="X757" t="s">
        <v>275</v>
      </c>
      <c r="Y757" t="s">
        <v>275</v>
      </c>
      <c r="Z757" t="s">
        <v>275</v>
      </c>
      <c r="AA757" t="s">
        <v>275</v>
      </c>
      <c r="AB757" t="s">
        <v>275</v>
      </c>
      <c r="AC757" t="s">
        <v>275</v>
      </c>
      <c r="AD757" t="s">
        <v>1</v>
      </c>
    </row>
    <row r="758" spans="1:30">
      <c r="A758">
        <v>756</v>
      </c>
      <c r="B758" t="s">
        <v>1515</v>
      </c>
      <c r="C758" t="s">
        <v>1516</v>
      </c>
      <c r="D758" t="str">
        <f>IF(VLOOKUP(C758,'Capabilities Overview'!$A$2:$A$587,1)=C758,"","Not in UCL")</f>
        <v>Not in UCL</v>
      </c>
      <c r="E758" t="s">
        <v>1</v>
      </c>
      <c r="F758" t="s">
        <v>275</v>
      </c>
      <c r="G758" t="s">
        <v>275</v>
      </c>
      <c r="H758" t="s">
        <v>275</v>
      </c>
      <c r="I758" t="s">
        <v>275</v>
      </c>
      <c r="J758" t="s">
        <v>275</v>
      </c>
      <c r="K758" t="s">
        <v>275</v>
      </c>
      <c r="L758" t="s">
        <v>275</v>
      </c>
      <c r="M758" t="s">
        <v>275</v>
      </c>
      <c r="N758" t="s">
        <v>275</v>
      </c>
      <c r="O758" t="s">
        <v>275</v>
      </c>
      <c r="P758" t="s">
        <v>275</v>
      </c>
      <c r="Q758" t="s">
        <v>275</v>
      </c>
      <c r="R758" t="s">
        <v>275</v>
      </c>
      <c r="S758" t="s">
        <v>275</v>
      </c>
      <c r="T758" t="s">
        <v>275</v>
      </c>
      <c r="U758" t="s">
        <v>275</v>
      </c>
      <c r="V758" t="s">
        <v>275</v>
      </c>
      <c r="W758" t="s">
        <v>275</v>
      </c>
      <c r="X758" t="s">
        <v>275</v>
      </c>
      <c r="Y758" t="s">
        <v>275</v>
      </c>
      <c r="Z758" t="s">
        <v>275</v>
      </c>
      <c r="AA758" t="s">
        <v>275</v>
      </c>
      <c r="AB758" t="s">
        <v>275</v>
      </c>
      <c r="AC758" t="s">
        <v>275</v>
      </c>
      <c r="AD758" t="s">
        <v>275</v>
      </c>
    </row>
    <row r="759" spans="1:30">
      <c r="A759">
        <v>757</v>
      </c>
      <c r="B759" t="s">
        <v>1517</v>
      </c>
      <c r="C759" t="s">
        <v>1518</v>
      </c>
      <c r="D759" t="str">
        <f>IF(VLOOKUP(C759,'Capabilities Overview'!$A$2:$A$587,1)=C759,"","Not in UCL")</f>
        <v>Not in UCL</v>
      </c>
      <c r="E759" t="s">
        <v>1</v>
      </c>
      <c r="F759" t="s">
        <v>275</v>
      </c>
      <c r="G759" t="s">
        <v>275</v>
      </c>
      <c r="H759" t="s">
        <v>275</v>
      </c>
      <c r="I759" t="s">
        <v>275</v>
      </c>
      <c r="J759" t="s">
        <v>275</v>
      </c>
      <c r="K759" t="s">
        <v>275</v>
      </c>
      <c r="L759" t="s">
        <v>275</v>
      </c>
      <c r="M759" t="s">
        <v>1</v>
      </c>
      <c r="N759" t="s">
        <v>1</v>
      </c>
      <c r="O759" t="s">
        <v>1</v>
      </c>
      <c r="P759" t="s">
        <v>275</v>
      </c>
      <c r="Q759" t="s">
        <v>275</v>
      </c>
      <c r="R759" t="s">
        <v>275</v>
      </c>
      <c r="S759" t="s">
        <v>275</v>
      </c>
      <c r="T759" t="s">
        <v>275</v>
      </c>
      <c r="U759" t="s">
        <v>275</v>
      </c>
      <c r="V759" t="s">
        <v>275</v>
      </c>
      <c r="W759" t="s">
        <v>275</v>
      </c>
      <c r="X759" t="s">
        <v>275</v>
      </c>
      <c r="Y759" t="s">
        <v>275</v>
      </c>
      <c r="Z759" t="s">
        <v>275</v>
      </c>
      <c r="AA759" t="s">
        <v>275</v>
      </c>
      <c r="AB759" t="s">
        <v>275</v>
      </c>
      <c r="AC759" t="s">
        <v>275</v>
      </c>
      <c r="AD759" t="s">
        <v>275</v>
      </c>
    </row>
    <row r="760" spans="1:30">
      <c r="A760">
        <v>758</v>
      </c>
      <c r="B760" t="s">
        <v>199</v>
      </c>
      <c r="C760" t="s">
        <v>200</v>
      </c>
      <c r="D760" t="str">
        <f>IF(VLOOKUP(C760,'Capabilities Overview'!$A$2:$A$587,1)=C760,"","Not in UCL")</f>
        <v/>
      </c>
      <c r="E760" t="s">
        <v>1</v>
      </c>
      <c r="F760" t="s">
        <v>1</v>
      </c>
      <c r="G760" t="s">
        <v>275</v>
      </c>
      <c r="H760" t="s">
        <v>275</v>
      </c>
      <c r="I760" t="s">
        <v>1</v>
      </c>
      <c r="J760" t="s">
        <v>1</v>
      </c>
      <c r="K760" t="s">
        <v>1</v>
      </c>
      <c r="L760" t="s">
        <v>1</v>
      </c>
      <c r="M760" t="s">
        <v>1</v>
      </c>
      <c r="N760" t="s">
        <v>1</v>
      </c>
      <c r="O760" t="s">
        <v>275</v>
      </c>
      <c r="P760" t="s">
        <v>275</v>
      </c>
      <c r="Q760" t="s">
        <v>275</v>
      </c>
      <c r="R760" t="s">
        <v>275</v>
      </c>
      <c r="S760" t="s">
        <v>275</v>
      </c>
      <c r="T760" t="s">
        <v>1</v>
      </c>
      <c r="U760" t="s">
        <v>275</v>
      </c>
      <c r="V760" t="s">
        <v>275</v>
      </c>
      <c r="W760" t="s">
        <v>10</v>
      </c>
      <c r="X760" t="s">
        <v>275</v>
      </c>
      <c r="Y760" t="s">
        <v>275</v>
      </c>
      <c r="Z760" t="s">
        <v>275</v>
      </c>
      <c r="AA760" t="s">
        <v>275</v>
      </c>
      <c r="AB760" t="s">
        <v>275</v>
      </c>
      <c r="AC760" t="s">
        <v>275</v>
      </c>
      <c r="AD760" t="s">
        <v>1</v>
      </c>
    </row>
    <row r="761" spans="1:30">
      <c r="A761">
        <v>759</v>
      </c>
      <c r="B761" t="s">
        <v>201</v>
      </c>
      <c r="C761" t="s">
        <v>202</v>
      </c>
      <c r="D761" t="str">
        <f>IF(VLOOKUP(C761,'Capabilities Overview'!$A$2:$A$587,1)=C761,"","Not in UCL")</f>
        <v>Not in UCL</v>
      </c>
      <c r="E761" t="s">
        <v>275</v>
      </c>
      <c r="F761" t="s">
        <v>275</v>
      </c>
      <c r="G761" t="s">
        <v>275</v>
      </c>
      <c r="H761" t="s">
        <v>275</v>
      </c>
      <c r="I761" t="s">
        <v>275</v>
      </c>
      <c r="J761" t="s">
        <v>275</v>
      </c>
      <c r="K761" t="s">
        <v>275</v>
      </c>
      <c r="L761" t="s">
        <v>275</v>
      </c>
      <c r="M761" t="s">
        <v>275</v>
      </c>
      <c r="N761" t="s">
        <v>275</v>
      </c>
      <c r="O761" t="s">
        <v>275</v>
      </c>
      <c r="P761" t="s">
        <v>275</v>
      </c>
      <c r="Q761" t="s">
        <v>275</v>
      </c>
      <c r="R761" t="s">
        <v>275</v>
      </c>
      <c r="S761" t="s">
        <v>275</v>
      </c>
      <c r="T761" t="s">
        <v>1</v>
      </c>
      <c r="U761" t="s">
        <v>275</v>
      </c>
      <c r="V761" t="s">
        <v>275</v>
      </c>
      <c r="W761" t="s">
        <v>275</v>
      </c>
      <c r="X761" t="s">
        <v>275</v>
      </c>
      <c r="Y761" t="s">
        <v>275</v>
      </c>
      <c r="Z761" t="s">
        <v>275</v>
      </c>
      <c r="AA761" t="s">
        <v>275</v>
      </c>
      <c r="AB761" t="s">
        <v>275</v>
      </c>
      <c r="AC761" t="s">
        <v>275</v>
      </c>
      <c r="AD761" t="s">
        <v>1</v>
      </c>
    </row>
    <row r="762" spans="1:30">
      <c r="A762">
        <v>760</v>
      </c>
      <c r="B762" t="s">
        <v>203</v>
      </c>
      <c r="C762" t="s">
        <v>204</v>
      </c>
      <c r="D762" t="str">
        <f>IF(VLOOKUP(C762,'Capabilities Overview'!$A$2:$A$587,1)=C762,"","Not in UCL")</f>
        <v/>
      </c>
      <c r="E762" t="s">
        <v>1</v>
      </c>
      <c r="F762" t="s">
        <v>1</v>
      </c>
      <c r="G762" t="s">
        <v>275</v>
      </c>
      <c r="H762" t="s">
        <v>275</v>
      </c>
      <c r="I762" t="s">
        <v>1</v>
      </c>
      <c r="J762" t="s">
        <v>1</v>
      </c>
      <c r="K762" t="s">
        <v>1</v>
      </c>
      <c r="L762" t="s">
        <v>1</v>
      </c>
      <c r="M762" t="s">
        <v>1</v>
      </c>
      <c r="N762" t="s">
        <v>1</v>
      </c>
      <c r="O762" t="s">
        <v>275</v>
      </c>
      <c r="P762" t="s">
        <v>275</v>
      </c>
      <c r="Q762" t="s">
        <v>275</v>
      </c>
      <c r="R762" t="s">
        <v>275</v>
      </c>
      <c r="S762" t="s">
        <v>275</v>
      </c>
      <c r="T762" t="s">
        <v>1</v>
      </c>
      <c r="U762" t="s">
        <v>275</v>
      </c>
      <c r="V762" t="s">
        <v>275</v>
      </c>
      <c r="W762" t="s">
        <v>10</v>
      </c>
      <c r="X762" t="s">
        <v>275</v>
      </c>
      <c r="Y762" t="s">
        <v>275</v>
      </c>
      <c r="Z762" t="s">
        <v>275</v>
      </c>
      <c r="AA762" t="s">
        <v>275</v>
      </c>
      <c r="AB762" t="s">
        <v>275</v>
      </c>
      <c r="AC762" t="s">
        <v>275</v>
      </c>
      <c r="AD762" t="s">
        <v>1</v>
      </c>
    </row>
    <row r="763" spans="1:30">
      <c r="A763">
        <v>761</v>
      </c>
      <c r="B763" t="s">
        <v>205</v>
      </c>
      <c r="C763" t="s">
        <v>206</v>
      </c>
      <c r="D763" t="str">
        <f>IF(VLOOKUP(C763,'Capabilities Overview'!$A$2:$A$587,1)=C763,"","Not in UCL")</f>
        <v/>
      </c>
      <c r="E763" t="s">
        <v>1</v>
      </c>
      <c r="F763" t="s">
        <v>1</v>
      </c>
      <c r="G763" t="s">
        <v>275</v>
      </c>
      <c r="H763" t="s">
        <v>275</v>
      </c>
      <c r="I763" t="s">
        <v>1</v>
      </c>
      <c r="J763" t="s">
        <v>1</v>
      </c>
      <c r="K763" t="s">
        <v>1</v>
      </c>
      <c r="L763" t="s">
        <v>1</v>
      </c>
      <c r="M763" t="s">
        <v>1</v>
      </c>
      <c r="N763" t="s">
        <v>1</v>
      </c>
      <c r="O763" t="s">
        <v>275</v>
      </c>
      <c r="P763" t="s">
        <v>275</v>
      </c>
      <c r="Q763" t="s">
        <v>275</v>
      </c>
      <c r="R763" t="s">
        <v>275</v>
      </c>
      <c r="S763" t="s">
        <v>275</v>
      </c>
      <c r="T763" t="s">
        <v>1</v>
      </c>
      <c r="U763" t="s">
        <v>275</v>
      </c>
      <c r="V763" t="s">
        <v>275</v>
      </c>
      <c r="W763" t="s">
        <v>10</v>
      </c>
      <c r="X763" t="s">
        <v>275</v>
      </c>
      <c r="Y763" t="s">
        <v>275</v>
      </c>
      <c r="Z763" t="s">
        <v>275</v>
      </c>
      <c r="AA763" t="s">
        <v>275</v>
      </c>
      <c r="AB763" t="s">
        <v>275</v>
      </c>
      <c r="AC763" t="s">
        <v>275</v>
      </c>
      <c r="AD763" t="s">
        <v>1</v>
      </c>
    </row>
    <row r="764" spans="1:30">
      <c r="A764">
        <v>762</v>
      </c>
      <c r="B764" t="s">
        <v>207</v>
      </c>
      <c r="C764" t="s">
        <v>208</v>
      </c>
      <c r="D764" t="str">
        <f>IF(VLOOKUP(C764,'Capabilities Overview'!$A$2:$A$587,1)=C764,"","Not in UCL")</f>
        <v>Not in UCL</v>
      </c>
      <c r="E764" t="s">
        <v>275</v>
      </c>
      <c r="F764" t="s">
        <v>275</v>
      </c>
      <c r="G764" t="s">
        <v>275</v>
      </c>
      <c r="H764" t="s">
        <v>275</v>
      </c>
      <c r="I764" t="s">
        <v>275</v>
      </c>
      <c r="J764" t="s">
        <v>275</v>
      </c>
      <c r="K764" t="s">
        <v>275</v>
      </c>
      <c r="L764" t="s">
        <v>275</v>
      </c>
      <c r="M764" t="s">
        <v>275</v>
      </c>
      <c r="N764" t="s">
        <v>275</v>
      </c>
      <c r="O764" t="s">
        <v>275</v>
      </c>
      <c r="P764" t="s">
        <v>275</v>
      </c>
      <c r="Q764" t="s">
        <v>275</v>
      </c>
      <c r="R764" t="s">
        <v>275</v>
      </c>
      <c r="S764" t="s">
        <v>275</v>
      </c>
      <c r="T764" t="s">
        <v>1</v>
      </c>
      <c r="U764" t="s">
        <v>275</v>
      </c>
      <c r="V764" t="s">
        <v>275</v>
      </c>
      <c r="W764" t="s">
        <v>275</v>
      </c>
      <c r="X764" t="s">
        <v>275</v>
      </c>
      <c r="Y764" t="s">
        <v>275</v>
      </c>
      <c r="Z764" t="s">
        <v>275</v>
      </c>
      <c r="AA764" t="s">
        <v>275</v>
      </c>
      <c r="AB764" t="s">
        <v>275</v>
      </c>
      <c r="AC764" t="s">
        <v>275</v>
      </c>
      <c r="AD764" t="s">
        <v>1</v>
      </c>
    </row>
    <row r="765" spans="1:30">
      <c r="A765">
        <v>763</v>
      </c>
      <c r="B765" t="s">
        <v>209</v>
      </c>
      <c r="C765" t="s">
        <v>210</v>
      </c>
      <c r="D765" t="str">
        <f>IF(VLOOKUP(C765,'Capabilities Overview'!$A$2:$A$587,1)=C765,"","Not in UCL")</f>
        <v/>
      </c>
      <c r="E765" t="s">
        <v>1</v>
      </c>
      <c r="F765" t="s">
        <v>1</v>
      </c>
      <c r="G765" t="s">
        <v>275</v>
      </c>
      <c r="H765" t="s">
        <v>275</v>
      </c>
      <c r="I765" t="s">
        <v>1</v>
      </c>
      <c r="J765" t="s">
        <v>1</v>
      </c>
      <c r="K765" t="s">
        <v>1</v>
      </c>
      <c r="L765" t="s">
        <v>1</v>
      </c>
      <c r="M765" t="s">
        <v>1</v>
      </c>
      <c r="N765" t="s">
        <v>1</v>
      </c>
      <c r="O765" t="s">
        <v>275</v>
      </c>
      <c r="P765" t="s">
        <v>275</v>
      </c>
      <c r="Q765" t="s">
        <v>275</v>
      </c>
      <c r="R765" t="s">
        <v>275</v>
      </c>
      <c r="S765" t="s">
        <v>275</v>
      </c>
      <c r="T765" t="s">
        <v>1</v>
      </c>
      <c r="U765" t="s">
        <v>275</v>
      </c>
      <c r="V765" t="s">
        <v>275</v>
      </c>
      <c r="W765" t="s">
        <v>10</v>
      </c>
      <c r="X765" t="s">
        <v>275</v>
      </c>
      <c r="Y765" t="s">
        <v>275</v>
      </c>
      <c r="Z765" t="s">
        <v>275</v>
      </c>
      <c r="AA765" t="s">
        <v>275</v>
      </c>
      <c r="AB765" t="s">
        <v>275</v>
      </c>
      <c r="AC765" t="s">
        <v>275</v>
      </c>
      <c r="AD765" t="s">
        <v>1</v>
      </c>
    </row>
    <row r="766" spans="1:30">
      <c r="A766">
        <v>764</v>
      </c>
      <c r="B766" t="s">
        <v>211</v>
      </c>
      <c r="C766" t="s">
        <v>212</v>
      </c>
      <c r="D766" t="str">
        <f>IF(VLOOKUP(C766,'Capabilities Overview'!$A$2:$A$587,1)=C766,"","Not in UCL")</f>
        <v/>
      </c>
      <c r="E766" t="s">
        <v>1</v>
      </c>
      <c r="F766" t="s">
        <v>1</v>
      </c>
      <c r="G766" t="s">
        <v>275</v>
      </c>
      <c r="H766" t="s">
        <v>275</v>
      </c>
      <c r="I766" t="s">
        <v>1</v>
      </c>
      <c r="J766" t="s">
        <v>1</v>
      </c>
      <c r="K766" t="s">
        <v>1</v>
      </c>
      <c r="L766" t="s">
        <v>1</v>
      </c>
      <c r="M766" t="s">
        <v>1</v>
      </c>
      <c r="N766" t="s">
        <v>1</v>
      </c>
      <c r="O766" t="s">
        <v>275</v>
      </c>
      <c r="P766" t="s">
        <v>275</v>
      </c>
      <c r="Q766" t="s">
        <v>275</v>
      </c>
      <c r="R766" t="s">
        <v>275</v>
      </c>
      <c r="S766" t="s">
        <v>275</v>
      </c>
      <c r="T766" t="s">
        <v>1</v>
      </c>
      <c r="U766" t="s">
        <v>275</v>
      </c>
      <c r="V766" t="s">
        <v>275</v>
      </c>
      <c r="W766" t="s">
        <v>10</v>
      </c>
      <c r="X766" t="s">
        <v>275</v>
      </c>
      <c r="Y766" t="s">
        <v>275</v>
      </c>
      <c r="Z766" t="s">
        <v>275</v>
      </c>
      <c r="AA766" t="s">
        <v>275</v>
      </c>
      <c r="AB766" t="s">
        <v>275</v>
      </c>
      <c r="AC766" t="s">
        <v>275</v>
      </c>
      <c r="AD766" t="s">
        <v>1</v>
      </c>
    </row>
    <row r="767" spans="1:30">
      <c r="A767">
        <v>765</v>
      </c>
      <c r="B767" t="s">
        <v>213</v>
      </c>
      <c r="C767" t="s">
        <v>214</v>
      </c>
      <c r="D767" t="str">
        <f>IF(VLOOKUP(C767,'Capabilities Overview'!$A$2:$A$587,1)=C767,"","Not in UCL")</f>
        <v/>
      </c>
      <c r="E767" t="s">
        <v>275</v>
      </c>
      <c r="F767" t="s">
        <v>275</v>
      </c>
      <c r="G767" t="s">
        <v>275</v>
      </c>
      <c r="H767" t="s">
        <v>275</v>
      </c>
      <c r="I767" t="s">
        <v>275</v>
      </c>
      <c r="J767" t="s">
        <v>275</v>
      </c>
      <c r="K767" t="s">
        <v>275</v>
      </c>
      <c r="L767" t="s">
        <v>275</v>
      </c>
      <c r="M767" t="s">
        <v>275</v>
      </c>
      <c r="N767" t="s">
        <v>275</v>
      </c>
      <c r="O767" t="s">
        <v>275</v>
      </c>
      <c r="P767" t="s">
        <v>275</v>
      </c>
      <c r="Q767" t="s">
        <v>275</v>
      </c>
      <c r="R767" t="s">
        <v>275</v>
      </c>
      <c r="S767" t="s">
        <v>275</v>
      </c>
      <c r="T767" t="s">
        <v>1</v>
      </c>
      <c r="U767" t="s">
        <v>275</v>
      </c>
      <c r="V767" t="s">
        <v>275</v>
      </c>
      <c r="W767" t="s">
        <v>275</v>
      </c>
      <c r="X767" t="s">
        <v>275</v>
      </c>
      <c r="Y767" t="s">
        <v>275</v>
      </c>
      <c r="Z767" t="s">
        <v>275</v>
      </c>
      <c r="AA767" t="s">
        <v>275</v>
      </c>
      <c r="AB767" t="s">
        <v>275</v>
      </c>
      <c r="AC767" t="s">
        <v>275</v>
      </c>
      <c r="AD767" t="s">
        <v>1</v>
      </c>
    </row>
    <row r="768" spans="1:30">
      <c r="A768">
        <v>766</v>
      </c>
      <c r="B768" t="s">
        <v>215</v>
      </c>
      <c r="C768" t="s">
        <v>216</v>
      </c>
      <c r="D768" t="str">
        <f>IF(VLOOKUP(C768,'Capabilities Overview'!$A$2:$A$587,1)=C768,"","Not in UCL")</f>
        <v/>
      </c>
      <c r="E768" t="s">
        <v>1</v>
      </c>
      <c r="F768" t="s">
        <v>1</v>
      </c>
      <c r="G768" t="s">
        <v>275</v>
      </c>
      <c r="H768" t="s">
        <v>275</v>
      </c>
      <c r="I768" t="s">
        <v>1</v>
      </c>
      <c r="J768" t="s">
        <v>1</v>
      </c>
      <c r="K768" t="s">
        <v>1</v>
      </c>
      <c r="L768" t="s">
        <v>1</v>
      </c>
      <c r="M768" t="s">
        <v>1</v>
      </c>
      <c r="N768" t="s">
        <v>1</v>
      </c>
      <c r="O768" t="s">
        <v>275</v>
      </c>
      <c r="P768" t="s">
        <v>275</v>
      </c>
      <c r="Q768" t="s">
        <v>275</v>
      </c>
      <c r="R768" t="s">
        <v>275</v>
      </c>
      <c r="S768" t="s">
        <v>275</v>
      </c>
      <c r="T768" t="s">
        <v>1</v>
      </c>
      <c r="U768" t="s">
        <v>275</v>
      </c>
      <c r="V768" t="s">
        <v>275</v>
      </c>
      <c r="W768" t="s">
        <v>10</v>
      </c>
      <c r="X768" t="s">
        <v>275</v>
      </c>
      <c r="Y768" t="s">
        <v>275</v>
      </c>
      <c r="Z768" t="s">
        <v>275</v>
      </c>
      <c r="AA768" t="s">
        <v>275</v>
      </c>
      <c r="AB768" t="s">
        <v>275</v>
      </c>
      <c r="AC768" t="s">
        <v>275</v>
      </c>
      <c r="AD768" t="s">
        <v>1</v>
      </c>
    </row>
    <row r="769" spans="1:30">
      <c r="A769">
        <v>767</v>
      </c>
      <c r="B769" t="s">
        <v>217</v>
      </c>
      <c r="C769" t="s">
        <v>218</v>
      </c>
      <c r="D769" t="str">
        <f>IF(VLOOKUP(C769,'Capabilities Overview'!$A$2:$A$587,1)=C769,"","Not in UCL")</f>
        <v/>
      </c>
      <c r="E769" t="s">
        <v>1</v>
      </c>
      <c r="F769" t="s">
        <v>1</v>
      </c>
      <c r="G769" t="s">
        <v>275</v>
      </c>
      <c r="H769" t="s">
        <v>275</v>
      </c>
      <c r="I769" t="s">
        <v>1</v>
      </c>
      <c r="J769" t="s">
        <v>1</v>
      </c>
      <c r="K769" t="s">
        <v>1</v>
      </c>
      <c r="L769" t="s">
        <v>1</v>
      </c>
      <c r="M769" t="s">
        <v>1</v>
      </c>
      <c r="N769" t="s">
        <v>1</v>
      </c>
      <c r="O769" t="s">
        <v>275</v>
      </c>
      <c r="P769" t="s">
        <v>275</v>
      </c>
      <c r="Q769" t="s">
        <v>275</v>
      </c>
      <c r="R769" t="s">
        <v>275</v>
      </c>
      <c r="S769" t="s">
        <v>275</v>
      </c>
      <c r="T769" t="s">
        <v>1</v>
      </c>
      <c r="U769" t="s">
        <v>275</v>
      </c>
      <c r="V769" t="s">
        <v>275</v>
      </c>
      <c r="W769" t="s">
        <v>10</v>
      </c>
      <c r="X769" t="s">
        <v>275</v>
      </c>
      <c r="Y769" t="s">
        <v>275</v>
      </c>
      <c r="Z769" t="s">
        <v>275</v>
      </c>
      <c r="AA769" t="s">
        <v>275</v>
      </c>
      <c r="AB769" t="s">
        <v>275</v>
      </c>
      <c r="AC769" t="s">
        <v>275</v>
      </c>
      <c r="AD769" t="s">
        <v>1</v>
      </c>
    </row>
    <row r="770" spans="1:30">
      <c r="A770">
        <v>768</v>
      </c>
      <c r="B770" t="s">
        <v>219</v>
      </c>
      <c r="C770" t="s">
        <v>220</v>
      </c>
      <c r="D770" t="str">
        <f>IF(VLOOKUP(C770,'Capabilities Overview'!$A$2:$A$587,1)=C770,"","Not in UCL")</f>
        <v/>
      </c>
      <c r="E770" t="s">
        <v>1</v>
      </c>
      <c r="F770" t="s">
        <v>275</v>
      </c>
      <c r="G770" t="s">
        <v>275</v>
      </c>
      <c r="H770" t="s">
        <v>275</v>
      </c>
      <c r="I770" t="s">
        <v>1</v>
      </c>
      <c r="J770" t="s">
        <v>275</v>
      </c>
      <c r="K770" t="s">
        <v>275</v>
      </c>
      <c r="L770" t="s">
        <v>1</v>
      </c>
      <c r="M770" t="s">
        <v>1</v>
      </c>
      <c r="N770" t="s">
        <v>1</v>
      </c>
      <c r="O770" t="s">
        <v>275</v>
      </c>
      <c r="P770" t="s">
        <v>275</v>
      </c>
      <c r="Q770" t="s">
        <v>275</v>
      </c>
      <c r="R770" t="s">
        <v>275</v>
      </c>
      <c r="S770" t="s">
        <v>275</v>
      </c>
      <c r="T770" t="s">
        <v>1</v>
      </c>
      <c r="U770" t="s">
        <v>275</v>
      </c>
      <c r="V770" t="s">
        <v>275</v>
      </c>
      <c r="W770" t="s">
        <v>10</v>
      </c>
      <c r="X770" t="s">
        <v>275</v>
      </c>
      <c r="Y770" t="s">
        <v>275</v>
      </c>
      <c r="Z770" t="s">
        <v>275</v>
      </c>
      <c r="AA770" t="s">
        <v>275</v>
      </c>
      <c r="AB770" t="s">
        <v>275</v>
      </c>
      <c r="AC770" t="s">
        <v>275</v>
      </c>
      <c r="AD770" t="s">
        <v>1</v>
      </c>
    </row>
    <row r="771" spans="1:30">
      <c r="A771">
        <v>769</v>
      </c>
      <c r="B771" t="s">
        <v>221</v>
      </c>
      <c r="C771" t="s">
        <v>222</v>
      </c>
      <c r="D771" t="str">
        <f>IF(VLOOKUP(C771,'Capabilities Overview'!$A$2:$A$587,1)=C771,"","Not in UCL")</f>
        <v/>
      </c>
      <c r="E771" t="s">
        <v>1</v>
      </c>
      <c r="F771" t="s">
        <v>1</v>
      </c>
      <c r="G771" t="s">
        <v>275</v>
      </c>
      <c r="H771" t="s">
        <v>275</v>
      </c>
      <c r="I771" t="s">
        <v>1</v>
      </c>
      <c r="J771" t="s">
        <v>1</v>
      </c>
      <c r="K771" t="s">
        <v>1</v>
      </c>
      <c r="L771" t="s">
        <v>1</v>
      </c>
      <c r="M771" t="s">
        <v>1</v>
      </c>
      <c r="N771" t="s">
        <v>1</v>
      </c>
      <c r="O771" t="s">
        <v>275</v>
      </c>
      <c r="P771" t="s">
        <v>275</v>
      </c>
      <c r="Q771" t="s">
        <v>275</v>
      </c>
      <c r="R771" t="s">
        <v>275</v>
      </c>
      <c r="S771" t="s">
        <v>275</v>
      </c>
      <c r="T771" t="s">
        <v>1</v>
      </c>
      <c r="U771" t="s">
        <v>275</v>
      </c>
      <c r="V771" t="s">
        <v>275</v>
      </c>
      <c r="W771" t="s">
        <v>10</v>
      </c>
      <c r="X771" t="s">
        <v>275</v>
      </c>
      <c r="Y771" t="s">
        <v>275</v>
      </c>
      <c r="Z771" t="s">
        <v>275</v>
      </c>
      <c r="AA771" t="s">
        <v>275</v>
      </c>
      <c r="AB771" t="s">
        <v>275</v>
      </c>
      <c r="AC771" t="s">
        <v>275</v>
      </c>
      <c r="AD771" t="s">
        <v>1</v>
      </c>
    </row>
    <row r="772" spans="1:30">
      <c r="A772">
        <v>770</v>
      </c>
      <c r="B772" t="s">
        <v>223</v>
      </c>
      <c r="C772" t="s">
        <v>224</v>
      </c>
      <c r="D772" t="str">
        <f>IF(VLOOKUP(C772,'Capabilities Overview'!$A$2:$A$587,1)=C772,"","Not in UCL")</f>
        <v/>
      </c>
      <c r="E772" t="s">
        <v>1</v>
      </c>
      <c r="F772" t="s">
        <v>1</v>
      </c>
      <c r="G772" t="s">
        <v>275</v>
      </c>
      <c r="H772" t="s">
        <v>275</v>
      </c>
      <c r="I772" t="s">
        <v>1</v>
      </c>
      <c r="J772" t="s">
        <v>1</v>
      </c>
      <c r="K772" t="s">
        <v>1</v>
      </c>
      <c r="L772" t="s">
        <v>1</v>
      </c>
      <c r="M772" t="s">
        <v>1</v>
      </c>
      <c r="N772" t="s">
        <v>1</v>
      </c>
      <c r="O772" t="s">
        <v>275</v>
      </c>
      <c r="P772" t="s">
        <v>275</v>
      </c>
      <c r="Q772" t="s">
        <v>275</v>
      </c>
      <c r="R772" t="s">
        <v>275</v>
      </c>
      <c r="S772" t="s">
        <v>275</v>
      </c>
      <c r="T772" t="s">
        <v>1</v>
      </c>
      <c r="U772" t="s">
        <v>275</v>
      </c>
      <c r="V772" t="s">
        <v>275</v>
      </c>
      <c r="W772" t="s">
        <v>10</v>
      </c>
      <c r="X772" t="s">
        <v>275</v>
      </c>
      <c r="Y772" t="s">
        <v>275</v>
      </c>
      <c r="Z772" t="s">
        <v>275</v>
      </c>
      <c r="AA772" t="s">
        <v>275</v>
      </c>
      <c r="AB772" t="s">
        <v>275</v>
      </c>
      <c r="AC772" t="s">
        <v>275</v>
      </c>
      <c r="AD772" t="s">
        <v>1</v>
      </c>
    </row>
    <row r="773" spans="1:30">
      <c r="A773">
        <v>771</v>
      </c>
      <c r="B773" t="s">
        <v>225</v>
      </c>
      <c r="C773" t="s">
        <v>226</v>
      </c>
      <c r="D773" t="str">
        <f>IF(VLOOKUP(C773,'Capabilities Overview'!$A$2:$A$587,1)=C773,"","Not in UCL")</f>
        <v/>
      </c>
      <c r="E773" t="s">
        <v>1</v>
      </c>
      <c r="F773" t="s">
        <v>1</v>
      </c>
      <c r="G773" t="s">
        <v>275</v>
      </c>
      <c r="H773" t="s">
        <v>275</v>
      </c>
      <c r="I773" t="s">
        <v>1</v>
      </c>
      <c r="J773" t="s">
        <v>1</v>
      </c>
      <c r="K773" t="s">
        <v>1</v>
      </c>
      <c r="L773" t="s">
        <v>1</v>
      </c>
      <c r="M773" t="s">
        <v>1</v>
      </c>
      <c r="N773" t="s">
        <v>1</v>
      </c>
      <c r="O773" t="s">
        <v>275</v>
      </c>
      <c r="P773" t="s">
        <v>275</v>
      </c>
      <c r="Q773" t="s">
        <v>275</v>
      </c>
      <c r="R773" t="s">
        <v>275</v>
      </c>
      <c r="S773" t="s">
        <v>275</v>
      </c>
      <c r="T773" t="s">
        <v>1</v>
      </c>
      <c r="U773" t="s">
        <v>275</v>
      </c>
      <c r="V773" t="s">
        <v>275</v>
      </c>
      <c r="W773" t="s">
        <v>10</v>
      </c>
      <c r="X773" t="s">
        <v>275</v>
      </c>
      <c r="Y773" t="s">
        <v>275</v>
      </c>
      <c r="Z773" t="s">
        <v>275</v>
      </c>
      <c r="AA773" t="s">
        <v>275</v>
      </c>
      <c r="AB773" t="s">
        <v>275</v>
      </c>
      <c r="AC773" t="s">
        <v>275</v>
      </c>
      <c r="AD773" t="s">
        <v>1</v>
      </c>
    </row>
    <row r="774" spans="1:30">
      <c r="A774">
        <v>772</v>
      </c>
      <c r="B774" t="s">
        <v>1519</v>
      </c>
      <c r="C774" t="s">
        <v>1520</v>
      </c>
      <c r="D774" t="str">
        <f>IF(VLOOKUP(C774,'Capabilities Overview'!$A$2:$A$587,1)=C774,"","Not in UCL")</f>
        <v/>
      </c>
      <c r="E774" t="s">
        <v>1</v>
      </c>
      <c r="F774" t="s">
        <v>1</v>
      </c>
      <c r="G774" t="s">
        <v>275</v>
      </c>
      <c r="H774" t="s">
        <v>275</v>
      </c>
      <c r="I774" t="s">
        <v>275</v>
      </c>
      <c r="J774" t="s">
        <v>275</v>
      </c>
      <c r="K774" t="s">
        <v>275</v>
      </c>
      <c r="L774" t="s">
        <v>275</v>
      </c>
      <c r="M774" t="s">
        <v>1</v>
      </c>
      <c r="N774" t="s">
        <v>1</v>
      </c>
      <c r="O774" t="s">
        <v>1</v>
      </c>
      <c r="P774" t="s">
        <v>275</v>
      </c>
      <c r="Q774" t="s">
        <v>275</v>
      </c>
      <c r="R774" t="s">
        <v>275</v>
      </c>
      <c r="S774" t="s">
        <v>275</v>
      </c>
      <c r="T774" t="s">
        <v>275</v>
      </c>
      <c r="U774" t="s">
        <v>275</v>
      </c>
      <c r="V774" t="s">
        <v>275</v>
      </c>
      <c r="W774" t="s">
        <v>10</v>
      </c>
      <c r="X774" t="s">
        <v>275</v>
      </c>
      <c r="Y774" t="s">
        <v>275</v>
      </c>
      <c r="Z774" t="s">
        <v>275</v>
      </c>
      <c r="AA774" t="s">
        <v>275</v>
      </c>
      <c r="AB774" t="s">
        <v>275</v>
      </c>
      <c r="AC774" t="s">
        <v>275</v>
      </c>
      <c r="AD774" t="s">
        <v>275</v>
      </c>
    </row>
    <row r="775" spans="1:30">
      <c r="A775">
        <v>773</v>
      </c>
      <c r="B775" t="s">
        <v>1521</v>
      </c>
      <c r="C775" t="s">
        <v>1522</v>
      </c>
      <c r="D775" t="str">
        <f>IF(VLOOKUP(C775,'Capabilities Overview'!$A$2:$A$587,1)=C775,"","Not in UCL")</f>
        <v/>
      </c>
      <c r="E775" t="s">
        <v>1</v>
      </c>
      <c r="F775" t="s">
        <v>1</v>
      </c>
      <c r="G775" t="s">
        <v>275</v>
      </c>
      <c r="H775" t="s">
        <v>275</v>
      </c>
      <c r="I775" t="s">
        <v>275</v>
      </c>
      <c r="J775" t="s">
        <v>275</v>
      </c>
      <c r="K775" t="s">
        <v>275</v>
      </c>
      <c r="L775" t="s">
        <v>275</v>
      </c>
      <c r="M775" t="s">
        <v>1</v>
      </c>
      <c r="N775" t="s">
        <v>1</v>
      </c>
      <c r="O775" t="s">
        <v>1</v>
      </c>
      <c r="P775" t="s">
        <v>275</v>
      </c>
      <c r="Q775" t="s">
        <v>275</v>
      </c>
      <c r="R775" t="s">
        <v>275</v>
      </c>
      <c r="S775" t="s">
        <v>275</v>
      </c>
      <c r="T775" t="s">
        <v>275</v>
      </c>
      <c r="U775" t="s">
        <v>275</v>
      </c>
      <c r="V775" t="s">
        <v>275</v>
      </c>
      <c r="W775" t="s">
        <v>10</v>
      </c>
      <c r="X775" t="s">
        <v>275</v>
      </c>
      <c r="Y775" t="s">
        <v>275</v>
      </c>
      <c r="Z775" t="s">
        <v>275</v>
      </c>
      <c r="AA775" t="s">
        <v>275</v>
      </c>
      <c r="AB775" t="s">
        <v>275</v>
      </c>
      <c r="AC775" t="s">
        <v>275</v>
      </c>
      <c r="AD775" t="s">
        <v>275</v>
      </c>
    </row>
    <row r="776" spans="1:30">
      <c r="A776">
        <v>774</v>
      </c>
      <c r="B776" t="s">
        <v>1523</v>
      </c>
      <c r="C776" t="s">
        <v>1524</v>
      </c>
      <c r="D776" t="str">
        <f>IF(VLOOKUP(C776,'Capabilities Overview'!$A$2:$A$587,1)=C776,"","Not in UCL")</f>
        <v>Not in UCL</v>
      </c>
      <c r="E776" t="s">
        <v>1</v>
      </c>
      <c r="F776" t="s">
        <v>1</v>
      </c>
      <c r="G776" t="s">
        <v>275</v>
      </c>
      <c r="H776" t="s">
        <v>275</v>
      </c>
      <c r="I776" t="s">
        <v>275</v>
      </c>
      <c r="J776" t="s">
        <v>275</v>
      </c>
      <c r="K776" t="s">
        <v>275</v>
      </c>
      <c r="L776" t="s">
        <v>275</v>
      </c>
      <c r="M776" t="s">
        <v>1</v>
      </c>
      <c r="N776" t="s">
        <v>1</v>
      </c>
      <c r="O776" t="s">
        <v>1</v>
      </c>
      <c r="P776" t="s">
        <v>275</v>
      </c>
      <c r="Q776" t="s">
        <v>275</v>
      </c>
      <c r="R776" t="s">
        <v>275</v>
      </c>
      <c r="S776" t="s">
        <v>275</v>
      </c>
      <c r="T776" t="s">
        <v>275</v>
      </c>
      <c r="U776" t="s">
        <v>275</v>
      </c>
      <c r="V776" t="s">
        <v>275</v>
      </c>
      <c r="W776" t="s">
        <v>10</v>
      </c>
      <c r="X776" t="s">
        <v>275</v>
      </c>
      <c r="Y776" t="s">
        <v>275</v>
      </c>
      <c r="Z776" t="s">
        <v>275</v>
      </c>
      <c r="AA776" t="s">
        <v>275</v>
      </c>
      <c r="AB776" t="s">
        <v>275</v>
      </c>
      <c r="AC776" t="s">
        <v>275</v>
      </c>
      <c r="AD776" t="s">
        <v>275</v>
      </c>
    </row>
    <row r="777" spans="1:30">
      <c r="A777">
        <v>775</v>
      </c>
      <c r="B777" t="s">
        <v>1525</v>
      </c>
      <c r="C777" t="s">
        <v>1526</v>
      </c>
      <c r="D777" t="str">
        <f>IF(VLOOKUP(C777,'Capabilities Overview'!$A$2:$A$587,1)=C777,"","Not in UCL")</f>
        <v>Not in UCL</v>
      </c>
      <c r="E777" t="s">
        <v>1</v>
      </c>
      <c r="F777" t="s">
        <v>1</v>
      </c>
      <c r="G777" t="s">
        <v>275</v>
      </c>
      <c r="H777" t="s">
        <v>275</v>
      </c>
      <c r="I777" t="s">
        <v>275</v>
      </c>
      <c r="J777" t="s">
        <v>275</v>
      </c>
      <c r="K777" t="s">
        <v>275</v>
      </c>
      <c r="L777" t="s">
        <v>275</v>
      </c>
      <c r="M777" t="s">
        <v>1</v>
      </c>
      <c r="N777" t="s">
        <v>1</v>
      </c>
      <c r="O777" t="s">
        <v>1</v>
      </c>
      <c r="P777" t="s">
        <v>275</v>
      </c>
      <c r="Q777" t="s">
        <v>275</v>
      </c>
      <c r="R777" t="s">
        <v>275</v>
      </c>
      <c r="S777" t="s">
        <v>275</v>
      </c>
      <c r="T777" t="s">
        <v>275</v>
      </c>
      <c r="U777" t="s">
        <v>275</v>
      </c>
      <c r="V777" t="s">
        <v>275</v>
      </c>
      <c r="W777" t="s">
        <v>10</v>
      </c>
      <c r="X777" t="s">
        <v>275</v>
      </c>
      <c r="Y777" t="s">
        <v>275</v>
      </c>
      <c r="Z777" t="s">
        <v>275</v>
      </c>
      <c r="AA777" t="s">
        <v>275</v>
      </c>
      <c r="AB777" t="s">
        <v>275</v>
      </c>
      <c r="AC777" t="s">
        <v>275</v>
      </c>
      <c r="AD777" t="s">
        <v>275</v>
      </c>
    </row>
    <row r="778" spans="1:30">
      <c r="A778">
        <v>776</v>
      </c>
      <c r="B778" t="s">
        <v>1527</v>
      </c>
      <c r="C778" t="s">
        <v>1528</v>
      </c>
      <c r="D778" t="str">
        <f>IF(VLOOKUP(C778,'Capabilities Overview'!$A$2:$A$587,1)=C778,"","Not in UCL")</f>
        <v/>
      </c>
      <c r="E778" t="s">
        <v>1</v>
      </c>
      <c r="F778" t="s">
        <v>1</v>
      </c>
      <c r="G778" t="s">
        <v>275</v>
      </c>
      <c r="H778" t="s">
        <v>275</v>
      </c>
      <c r="I778" t="s">
        <v>275</v>
      </c>
      <c r="J778" t="s">
        <v>275</v>
      </c>
      <c r="K778" t="s">
        <v>275</v>
      </c>
      <c r="L778" t="s">
        <v>275</v>
      </c>
      <c r="M778" t="s">
        <v>1</v>
      </c>
      <c r="N778" t="s">
        <v>1</v>
      </c>
      <c r="O778" t="s">
        <v>1</v>
      </c>
      <c r="P778" t="s">
        <v>275</v>
      </c>
      <c r="Q778" t="s">
        <v>275</v>
      </c>
      <c r="R778" t="s">
        <v>275</v>
      </c>
      <c r="S778" t="s">
        <v>275</v>
      </c>
      <c r="T778" t="s">
        <v>275</v>
      </c>
      <c r="U778" t="s">
        <v>275</v>
      </c>
      <c r="V778" t="s">
        <v>275</v>
      </c>
      <c r="W778" t="s">
        <v>10</v>
      </c>
      <c r="X778" t="s">
        <v>275</v>
      </c>
      <c r="Y778" t="s">
        <v>275</v>
      </c>
      <c r="Z778" t="s">
        <v>275</v>
      </c>
      <c r="AA778" t="s">
        <v>275</v>
      </c>
      <c r="AB778" t="s">
        <v>275</v>
      </c>
      <c r="AC778" t="s">
        <v>275</v>
      </c>
      <c r="AD778" t="s">
        <v>275</v>
      </c>
    </row>
    <row r="779" spans="1:30">
      <c r="A779">
        <v>777</v>
      </c>
      <c r="B779" t="s">
        <v>1529</v>
      </c>
      <c r="C779" t="s">
        <v>1530</v>
      </c>
      <c r="D779" t="str">
        <f>IF(VLOOKUP(C779,'Capabilities Overview'!$A$2:$A$587,1)=C779,"","Not in UCL")</f>
        <v/>
      </c>
      <c r="E779" t="s">
        <v>1</v>
      </c>
      <c r="F779" t="s">
        <v>1</v>
      </c>
      <c r="G779" t="s">
        <v>275</v>
      </c>
      <c r="H779" t="s">
        <v>275</v>
      </c>
      <c r="I779" t="s">
        <v>275</v>
      </c>
      <c r="J779" t="s">
        <v>275</v>
      </c>
      <c r="K779" t="s">
        <v>275</v>
      </c>
      <c r="L779" t="s">
        <v>275</v>
      </c>
      <c r="M779" t="s">
        <v>1</v>
      </c>
      <c r="N779" t="s">
        <v>1</v>
      </c>
      <c r="O779" t="s">
        <v>1</v>
      </c>
      <c r="P779" t="s">
        <v>275</v>
      </c>
      <c r="Q779" t="s">
        <v>275</v>
      </c>
      <c r="R779" t="s">
        <v>275</v>
      </c>
      <c r="S779" t="s">
        <v>275</v>
      </c>
      <c r="T779" t="s">
        <v>275</v>
      </c>
      <c r="U779" t="s">
        <v>275</v>
      </c>
      <c r="V779" t="s">
        <v>275</v>
      </c>
      <c r="W779" t="s">
        <v>10</v>
      </c>
      <c r="X779" t="s">
        <v>275</v>
      </c>
      <c r="Y779" t="s">
        <v>275</v>
      </c>
      <c r="Z779" t="s">
        <v>275</v>
      </c>
      <c r="AA779" t="s">
        <v>275</v>
      </c>
      <c r="AB779" t="s">
        <v>275</v>
      </c>
      <c r="AC779" t="s">
        <v>275</v>
      </c>
      <c r="AD779" t="s">
        <v>275</v>
      </c>
    </row>
    <row r="780" spans="1:30">
      <c r="A780">
        <v>778</v>
      </c>
      <c r="B780" t="s">
        <v>1531</v>
      </c>
      <c r="C780" t="s">
        <v>1532</v>
      </c>
      <c r="D780" t="str">
        <f>IF(VLOOKUP(C780,'Capabilities Overview'!$A$2:$A$587,1)=C780,"","Not in UCL")</f>
        <v/>
      </c>
      <c r="E780" t="s">
        <v>1</v>
      </c>
      <c r="F780" t="s">
        <v>1</v>
      </c>
      <c r="G780" t="s">
        <v>275</v>
      </c>
      <c r="H780" t="s">
        <v>275</v>
      </c>
      <c r="I780" t="s">
        <v>275</v>
      </c>
      <c r="J780" t="s">
        <v>275</v>
      </c>
      <c r="K780" t="s">
        <v>275</v>
      </c>
      <c r="L780" t="s">
        <v>275</v>
      </c>
      <c r="M780" t="s">
        <v>1</v>
      </c>
      <c r="N780" t="s">
        <v>1</v>
      </c>
      <c r="O780" t="s">
        <v>1</v>
      </c>
      <c r="P780" t="s">
        <v>275</v>
      </c>
      <c r="Q780" t="s">
        <v>275</v>
      </c>
      <c r="R780" t="s">
        <v>275</v>
      </c>
      <c r="S780" t="s">
        <v>275</v>
      </c>
      <c r="T780" t="s">
        <v>275</v>
      </c>
      <c r="U780" t="s">
        <v>275</v>
      </c>
      <c r="V780" t="s">
        <v>275</v>
      </c>
      <c r="W780" t="s">
        <v>10</v>
      </c>
      <c r="X780" t="s">
        <v>275</v>
      </c>
      <c r="Y780" t="s">
        <v>275</v>
      </c>
      <c r="Z780" t="s">
        <v>275</v>
      </c>
      <c r="AA780" t="s">
        <v>275</v>
      </c>
      <c r="AB780" t="s">
        <v>275</v>
      </c>
      <c r="AC780" t="s">
        <v>275</v>
      </c>
      <c r="AD780" t="s">
        <v>275</v>
      </c>
    </row>
    <row r="781" spans="1:30">
      <c r="A781">
        <v>779</v>
      </c>
      <c r="B781" t="s">
        <v>1533</v>
      </c>
      <c r="C781" t="s">
        <v>1534</v>
      </c>
      <c r="D781" t="str">
        <f>IF(VLOOKUP(C781,'Capabilities Overview'!$A$2:$A$587,1)=C781,"","Not in UCL")</f>
        <v/>
      </c>
      <c r="E781" t="s">
        <v>1</v>
      </c>
      <c r="F781" t="s">
        <v>1</v>
      </c>
      <c r="G781" t="s">
        <v>275</v>
      </c>
      <c r="H781" t="s">
        <v>275</v>
      </c>
      <c r="I781" t="s">
        <v>275</v>
      </c>
      <c r="J781" t="s">
        <v>275</v>
      </c>
      <c r="K781" t="s">
        <v>275</v>
      </c>
      <c r="L781" t="s">
        <v>275</v>
      </c>
      <c r="M781" t="s">
        <v>1</v>
      </c>
      <c r="N781" t="s">
        <v>1</v>
      </c>
      <c r="O781" t="s">
        <v>1</v>
      </c>
      <c r="P781" t="s">
        <v>275</v>
      </c>
      <c r="Q781" t="s">
        <v>275</v>
      </c>
      <c r="R781" t="s">
        <v>275</v>
      </c>
      <c r="S781" t="s">
        <v>275</v>
      </c>
      <c r="T781" t="s">
        <v>275</v>
      </c>
      <c r="U781" t="s">
        <v>275</v>
      </c>
      <c r="V781" t="s">
        <v>275</v>
      </c>
      <c r="W781" t="s">
        <v>10</v>
      </c>
      <c r="X781" t="s">
        <v>275</v>
      </c>
      <c r="Y781" t="s">
        <v>275</v>
      </c>
      <c r="Z781" t="s">
        <v>275</v>
      </c>
      <c r="AA781" t="s">
        <v>275</v>
      </c>
      <c r="AB781" t="s">
        <v>275</v>
      </c>
      <c r="AC781" t="s">
        <v>275</v>
      </c>
      <c r="AD781" t="s">
        <v>275</v>
      </c>
    </row>
    <row r="782" spans="1:30">
      <c r="A782">
        <v>780</v>
      </c>
      <c r="B782" t="s">
        <v>1535</v>
      </c>
      <c r="C782" t="s">
        <v>1536</v>
      </c>
      <c r="D782" t="str">
        <f>IF(VLOOKUP(C782,'Capabilities Overview'!$A$2:$A$587,1)=C782,"","Not in UCL")</f>
        <v/>
      </c>
      <c r="E782" t="s">
        <v>1</v>
      </c>
      <c r="F782" t="s">
        <v>1</v>
      </c>
      <c r="G782" t="s">
        <v>275</v>
      </c>
      <c r="H782" t="s">
        <v>275</v>
      </c>
      <c r="I782" t="s">
        <v>275</v>
      </c>
      <c r="J782" t="s">
        <v>275</v>
      </c>
      <c r="K782" t="s">
        <v>275</v>
      </c>
      <c r="L782" t="s">
        <v>275</v>
      </c>
      <c r="M782" t="s">
        <v>1</v>
      </c>
      <c r="N782" t="s">
        <v>1</v>
      </c>
      <c r="O782" t="s">
        <v>1</v>
      </c>
      <c r="P782" t="s">
        <v>275</v>
      </c>
      <c r="Q782" t="s">
        <v>275</v>
      </c>
      <c r="R782" t="s">
        <v>275</v>
      </c>
      <c r="S782" t="s">
        <v>275</v>
      </c>
      <c r="T782" t="s">
        <v>275</v>
      </c>
      <c r="U782" t="s">
        <v>275</v>
      </c>
      <c r="V782" t="s">
        <v>275</v>
      </c>
      <c r="W782" t="s">
        <v>10</v>
      </c>
      <c r="X782" t="s">
        <v>275</v>
      </c>
      <c r="Y782" t="s">
        <v>275</v>
      </c>
      <c r="Z782" t="s">
        <v>275</v>
      </c>
      <c r="AA782" t="s">
        <v>275</v>
      </c>
      <c r="AB782" t="s">
        <v>275</v>
      </c>
      <c r="AC782" t="s">
        <v>275</v>
      </c>
      <c r="AD782" t="s">
        <v>275</v>
      </c>
    </row>
    <row r="783" spans="1:30">
      <c r="A783">
        <v>781</v>
      </c>
      <c r="B783" t="s">
        <v>1537</v>
      </c>
      <c r="C783" t="s">
        <v>1538</v>
      </c>
      <c r="D783" t="str">
        <f>IF(VLOOKUP(C783,'Capabilities Overview'!$A$2:$A$587,1)=C783,"","Not in UCL")</f>
        <v/>
      </c>
      <c r="E783" t="s">
        <v>1</v>
      </c>
      <c r="F783" t="s">
        <v>1</v>
      </c>
      <c r="G783" t="s">
        <v>275</v>
      </c>
      <c r="H783" t="s">
        <v>275</v>
      </c>
      <c r="I783" t="s">
        <v>275</v>
      </c>
      <c r="J783" t="s">
        <v>275</v>
      </c>
      <c r="K783" t="s">
        <v>275</v>
      </c>
      <c r="L783" t="s">
        <v>275</v>
      </c>
      <c r="M783" t="s">
        <v>1</v>
      </c>
      <c r="N783" t="s">
        <v>1</v>
      </c>
      <c r="O783" t="s">
        <v>1</v>
      </c>
      <c r="P783" t="s">
        <v>275</v>
      </c>
      <c r="Q783" t="s">
        <v>275</v>
      </c>
      <c r="R783" t="s">
        <v>275</v>
      </c>
      <c r="S783" t="s">
        <v>275</v>
      </c>
      <c r="T783" t="s">
        <v>275</v>
      </c>
      <c r="U783" t="s">
        <v>275</v>
      </c>
      <c r="V783" t="s">
        <v>275</v>
      </c>
      <c r="W783" t="s">
        <v>10</v>
      </c>
      <c r="X783" t="s">
        <v>275</v>
      </c>
      <c r="Y783" t="s">
        <v>275</v>
      </c>
      <c r="Z783" t="s">
        <v>275</v>
      </c>
      <c r="AA783" t="s">
        <v>275</v>
      </c>
      <c r="AB783" t="s">
        <v>275</v>
      </c>
      <c r="AC783" t="s">
        <v>275</v>
      </c>
      <c r="AD783" t="s">
        <v>275</v>
      </c>
    </row>
    <row r="784" spans="1:30">
      <c r="A784">
        <v>782</v>
      </c>
      <c r="B784" t="s">
        <v>1539</v>
      </c>
      <c r="C784" t="s">
        <v>1540</v>
      </c>
      <c r="D784" t="str">
        <f>IF(VLOOKUP(C784,'Capabilities Overview'!$A$2:$A$587,1)=C784,"","Not in UCL")</f>
        <v>Not in UCL</v>
      </c>
      <c r="E784" t="s">
        <v>1</v>
      </c>
      <c r="F784" t="s">
        <v>1</v>
      </c>
      <c r="G784" t="s">
        <v>275</v>
      </c>
      <c r="H784" t="s">
        <v>275</v>
      </c>
      <c r="I784" t="s">
        <v>275</v>
      </c>
      <c r="J784" t="s">
        <v>275</v>
      </c>
      <c r="K784" t="s">
        <v>275</v>
      </c>
      <c r="L784" t="s">
        <v>275</v>
      </c>
      <c r="M784" t="s">
        <v>1</v>
      </c>
      <c r="N784" t="s">
        <v>1</v>
      </c>
      <c r="O784" t="s">
        <v>1</v>
      </c>
      <c r="P784" t="s">
        <v>275</v>
      </c>
      <c r="Q784" t="s">
        <v>275</v>
      </c>
      <c r="R784" t="s">
        <v>275</v>
      </c>
      <c r="S784" t="s">
        <v>275</v>
      </c>
      <c r="T784" t="s">
        <v>275</v>
      </c>
      <c r="U784" t="s">
        <v>275</v>
      </c>
      <c r="V784" t="s">
        <v>275</v>
      </c>
      <c r="W784" t="s">
        <v>10</v>
      </c>
      <c r="X784" t="s">
        <v>275</v>
      </c>
      <c r="Y784" t="s">
        <v>275</v>
      </c>
      <c r="Z784" t="s">
        <v>275</v>
      </c>
      <c r="AA784" t="s">
        <v>275</v>
      </c>
      <c r="AB784" t="s">
        <v>275</v>
      </c>
      <c r="AC784" t="s">
        <v>275</v>
      </c>
      <c r="AD784" t="s">
        <v>275</v>
      </c>
    </row>
    <row r="785" spans="1:30">
      <c r="A785">
        <v>783</v>
      </c>
      <c r="B785" t="s">
        <v>1541</v>
      </c>
      <c r="C785" t="s">
        <v>1542</v>
      </c>
      <c r="D785" t="str">
        <f>IF(VLOOKUP(C785,'Capabilities Overview'!$A$2:$A$587,1)=C785,"","Not in UCL")</f>
        <v/>
      </c>
      <c r="E785" t="s">
        <v>1</v>
      </c>
      <c r="F785" t="s">
        <v>1</v>
      </c>
      <c r="G785" t="s">
        <v>275</v>
      </c>
      <c r="H785" t="s">
        <v>275</v>
      </c>
      <c r="I785" t="s">
        <v>275</v>
      </c>
      <c r="J785" t="s">
        <v>275</v>
      </c>
      <c r="K785" t="s">
        <v>275</v>
      </c>
      <c r="L785" t="s">
        <v>275</v>
      </c>
      <c r="M785" t="s">
        <v>1</v>
      </c>
      <c r="N785" t="s">
        <v>1</v>
      </c>
      <c r="O785" t="s">
        <v>1</v>
      </c>
      <c r="P785" t="s">
        <v>275</v>
      </c>
      <c r="Q785" t="s">
        <v>275</v>
      </c>
      <c r="R785" t="s">
        <v>275</v>
      </c>
      <c r="S785" t="s">
        <v>275</v>
      </c>
      <c r="T785" t="s">
        <v>275</v>
      </c>
      <c r="U785" t="s">
        <v>275</v>
      </c>
      <c r="V785" t="s">
        <v>275</v>
      </c>
      <c r="W785" t="s">
        <v>10</v>
      </c>
      <c r="X785" t="s">
        <v>275</v>
      </c>
      <c r="Y785" t="s">
        <v>275</v>
      </c>
      <c r="Z785" t="s">
        <v>275</v>
      </c>
      <c r="AA785" t="s">
        <v>275</v>
      </c>
      <c r="AB785" t="s">
        <v>275</v>
      </c>
      <c r="AC785" t="s">
        <v>275</v>
      </c>
      <c r="AD785" t="s">
        <v>275</v>
      </c>
    </row>
    <row r="786" spans="1:30">
      <c r="A786">
        <v>784</v>
      </c>
      <c r="B786" t="s">
        <v>1543</v>
      </c>
      <c r="C786" t="s">
        <v>1544</v>
      </c>
      <c r="D786" t="str">
        <f>IF(VLOOKUP(C786,'Capabilities Overview'!$A$2:$A$587,1)=C786,"","Not in UCL")</f>
        <v/>
      </c>
      <c r="E786" t="s">
        <v>1</v>
      </c>
      <c r="F786" t="s">
        <v>1</v>
      </c>
      <c r="G786" t="s">
        <v>275</v>
      </c>
      <c r="H786" t="s">
        <v>275</v>
      </c>
      <c r="I786" t="s">
        <v>275</v>
      </c>
      <c r="J786" t="s">
        <v>275</v>
      </c>
      <c r="K786" t="s">
        <v>275</v>
      </c>
      <c r="L786" t="s">
        <v>275</v>
      </c>
      <c r="M786" t="s">
        <v>1</v>
      </c>
      <c r="N786" t="s">
        <v>1</v>
      </c>
      <c r="O786" t="s">
        <v>1</v>
      </c>
      <c r="P786" t="s">
        <v>275</v>
      </c>
      <c r="Q786" t="s">
        <v>275</v>
      </c>
      <c r="R786" t="s">
        <v>275</v>
      </c>
      <c r="S786" t="s">
        <v>275</v>
      </c>
      <c r="T786" t="s">
        <v>275</v>
      </c>
      <c r="U786" t="s">
        <v>275</v>
      </c>
      <c r="V786" t="s">
        <v>275</v>
      </c>
      <c r="W786" t="s">
        <v>10</v>
      </c>
      <c r="X786" t="s">
        <v>275</v>
      </c>
      <c r="Y786" t="s">
        <v>275</v>
      </c>
      <c r="Z786" t="s">
        <v>275</v>
      </c>
      <c r="AA786" t="s">
        <v>275</v>
      </c>
      <c r="AB786" t="s">
        <v>275</v>
      </c>
      <c r="AC786" t="s">
        <v>275</v>
      </c>
      <c r="AD786" t="s">
        <v>275</v>
      </c>
    </row>
    <row r="787" spans="1:30">
      <c r="A787">
        <v>785</v>
      </c>
      <c r="B787" t="s">
        <v>1545</v>
      </c>
      <c r="C787" t="s">
        <v>1546</v>
      </c>
      <c r="D787" t="str">
        <f>IF(VLOOKUP(C787,'Capabilities Overview'!$A$2:$A$587,1)=C787,"","Not in UCL")</f>
        <v/>
      </c>
      <c r="E787" t="s">
        <v>1</v>
      </c>
      <c r="F787" t="s">
        <v>1</v>
      </c>
      <c r="G787" t="s">
        <v>275</v>
      </c>
      <c r="H787" t="s">
        <v>275</v>
      </c>
      <c r="I787" t="s">
        <v>275</v>
      </c>
      <c r="J787" t="s">
        <v>275</v>
      </c>
      <c r="K787" t="s">
        <v>275</v>
      </c>
      <c r="L787" t="s">
        <v>275</v>
      </c>
      <c r="M787" t="s">
        <v>1</v>
      </c>
      <c r="N787" t="s">
        <v>1</v>
      </c>
      <c r="O787" t="s">
        <v>1</v>
      </c>
      <c r="P787" t="s">
        <v>275</v>
      </c>
      <c r="Q787" t="s">
        <v>275</v>
      </c>
      <c r="R787" t="s">
        <v>275</v>
      </c>
      <c r="S787" t="s">
        <v>275</v>
      </c>
      <c r="T787" t="s">
        <v>275</v>
      </c>
      <c r="U787" t="s">
        <v>275</v>
      </c>
      <c r="V787" t="s">
        <v>275</v>
      </c>
      <c r="W787" t="s">
        <v>10</v>
      </c>
      <c r="X787" t="s">
        <v>275</v>
      </c>
      <c r="Y787" t="s">
        <v>275</v>
      </c>
      <c r="Z787" t="s">
        <v>275</v>
      </c>
      <c r="AA787" t="s">
        <v>275</v>
      </c>
      <c r="AB787" t="s">
        <v>275</v>
      </c>
      <c r="AC787" t="s">
        <v>275</v>
      </c>
      <c r="AD787" t="s">
        <v>275</v>
      </c>
    </row>
    <row r="788" spans="1:30">
      <c r="A788">
        <v>786</v>
      </c>
      <c r="B788" t="s">
        <v>1547</v>
      </c>
      <c r="C788" t="s">
        <v>1548</v>
      </c>
      <c r="D788" t="str">
        <f>IF(VLOOKUP(C788,'Capabilities Overview'!$A$2:$A$587,1)=C788,"","Not in UCL")</f>
        <v>Not in UCL</v>
      </c>
      <c r="E788" t="s">
        <v>1</v>
      </c>
      <c r="F788" t="s">
        <v>1</v>
      </c>
      <c r="G788" t="s">
        <v>275</v>
      </c>
      <c r="H788" t="s">
        <v>275</v>
      </c>
      <c r="I788" t="s">
        <v>275</v>
      </c>
      <c r="J788" t="s">
        <v>275</v>
      </c>
      <c r="K788" t="s">
        <v>275</v>
      </c>
      <c r="L788" t="s">
        <v>275</v>
      </c>
      <c r="M788" t="s">
        <v>1</v>
      </c>
      <c r="N788" t="s">
        <v>1</v>
      </c>
      <c r="O788" t="s">
        <v>1</v>
      </c>
      <c r="P788" t="s">
        <v>275</v>
      </c>
      <c r="Q788" t="s">
        <v>275</v>
      </c>
      <c r="R788" t="s">
        <v>275</v>
      </c>
      <c r="S788" t="s">
        <v>275</v>
      </c>
      <c r="T788" t="s">
        <v>275</v>
      </c>
      <c r="U788" t="s">
        <v>275</v>
      </c>
      <c r="V788" t="s">
        <v>275</v>
      </c>
      <c r="W788" t="s">
        <v>10</v>
      </c>
      <c r="X788" t="s">
        <v>275</v>
      </c>
      <c r="Y788" t="s">
        <v>275</v>
      </c>
      <c r="Z788" t="s">
        <v>275</v>
      </c>
      <c r="AA788" t="s">
        <v>275</v>
      </c>
      <c r="AB788" t="s">
        <v>275</v>
      </c>
      <c r="AC788" t="s">
        <v>275</v>
      </c>
      <c r="AD788" t="s">
        <v>275</v>
      </c>
    </row>
    <row r="789" spans="1:30">
      <c r="A789">
        <v>787</v>
      </c>
      <c r="B789" t="s">
        <v>1549</v>
      </c>
      <c r="C789" t="s">
        <v>1550</v>
      </c>
      <c r="D789" t="str">
        <f>IF(VLOOKUP(C789,'Capabilities Overview'!$A$2:$A$587,1)=C789,"","Not in UCL")</f>
        <v>Not in UCL</v>
      </c>
      <c r="E789" t="s">
        <v>1</v>
      </c>
      <c r="F789" t="s">
        <v>1</v>
      </c>
      <c r="G789" t="s">
        <v>275</v>
      </c>
      <c r="H789" t="s">
        <v>275</v>
      </c>
      <c r="I789" t="s">
        <v>275</v>
      </c>
      <c r="J789" t="s">
        <v>275</v>
      </c>
      <c r="K789" t="s">
        <v>275</v>
      </c>
      <c r="L789" t="s">
        <v>275</v>
      </c>
      <c r="M789" t="s">
        <v>1</v>
      </c>
      <c r="N789" t="s">
        <v>1</v>
      </c>
      <c r="O789" t="s">
        <v>1</v>
      </c>
      <c r="P789" t="s">
        <v>275</v>
      </c>
      <c r="Q789" t="s">
        <v>275</v>
      </c>
      <c r="R789" t="s">
        <v>275</v>
      </c>
      <c r="S789" t="s">
        <v>275</v>
      </c>
      <c r="T789" t="s">
        <v>275</v>
      </c>
      <c r="U789" t="s">
        <v>275</v>
      </c>
      <c r="V789" t="s">
        <v>275</v>
      </c>
      <c r="W789" t="s">
        <v>10</v>
      </c>
      <c r="X789" t="s">
        <v>275</v>
      </c>
      <c r="Y789" t="s">
        <v>275</v>
      </c>
      <c r="Z789" t="s">
        <v>275</v>
      </c>
      <c r="AA789" t="s">
        <v>275</v>
      </c>
      <c r="AB789" t="s">
        <v>275</v>
      </c>
      <c r="AC789" t="s">
        <v>275</v>
      </c>
      <c r="AD789" t="s">
        <v>275</v>
      </c>
    </row>
    <row r="790" spans="1:30">
      <c r="A790">
        <v>788</v>
      </c>
      <c r="B790" t="s">
        <v>1551</v>
      </c>
      <c r="C790" t="s">
        <v>1552</v>
      </c>
      <c r="D790" t="str">
        <f>IF(VLOOKUP(C790,'Capabilities Overview'!$A$2:$A$587,1)=C790,"","Not in UCL")</f>
        <v/>
      </c>
      <c r="E790" t="s">
        <v>1</v>
      </c>
      <c r="F790" t="s">
        <v>1</v>
      </c>
      <c r="G790" t="s">
        <v>275</v>
      </c>
      <c r="H790" t="s">
        <v>275</v>
      </c>
      <c r="I790" t="s">
        <v>275</v>
      </c>
      <c r="J790" t="s">
        <v>275</v>
      </c>
      <c r="K790" t="s">
        <v>275</v>
      </c>
      <c r="L790" t="s">
        <v>275</v>
      </c>
      <c r="M790" t="s">
        <v>1</v>
      </c>
      <c r="N790" t="s">
        <v>1</v>
      </c>
      <c r="O790" t="s">
        <v>1</v>
      </c>
      <c r="P790" t="s">
        <v>275</v>
      </c>
      <c r="Q790" t="s">
        <v>275</v>
      </c>
      <c r="R790" t="s">
        <v>275</v>
      </c>
      <c r="S790" t="s">
        <v>275</v>
      </c>
      <c r="T790" t="s">
        <v>275</v>
      </c>
      <c r="U790" t="s">
        <v>275</v>
      </c>
      <c r="V790" t="s">
        <v>275</v>
      </c>
      <c r="W790" t="s">
        <v>10</v>
      </c>
      <c r="X790" t="s">
        <v>275</v>
      </c>
      <c r="Y790" t="s">
        <v>275</v>
      </c>
      <c r="Z790" t="s">
        <v>275</v>
      </c>
      <c r="AA790" t="s">
        <v>275</v>
      </c>
      <c r="AB790" t="s">
        <v>275</v>
      </c>
      <c r="AC790" t="s">
        <v>275</v>
      </c>
      <c r="AD790" t="s">
        <v>275</v>
      </c>
    </row>
    <row r="791" spans="1:30">
      <c r="A791">
        <v>789</v>
      </c>
      <c r="B791" t="s">
        <v>1553</v>
      </c>
      <c r="C791" t="s">
        <v>1554</v>
      </c>
      <c r="D791" t="str">
        <f>IF(VLOOKUP(C791,'Capabilities Overview'!$A$2:$A$587,1)=C791,"","Not in UCL")</f>
        <v/>
      </c>
      <c r="E791" t="s">
        <v>1</v>
      </c>
      <c r="F791" t="s">
        <v>1</v>
      </c>
      <c r="G791" t="s">
        <v>275</v>
      </c>
      <c r="H791" t="s">
        <v>275</v>
      </c>
      <c r="I791" t="s">
        <v>275</v>
      </c>
      <c r="J791" t="s">
        <v>275</v>
      </c>
      <c r="K791" t="s">
        <v>275</v>
      </c>
      <c r="L791" t="s">
        <v>275</v>
      </c>
      <c r="M791" t="s">
        <v>1</v>
      </c>
      <c r="N791" t="s">
        <v>1</v>
      </c>
      <c r="O791" t="s">
        <v>1</v>
      </c>
      <c r="P791" t="s">
        <v>275</v>
      </c>
      <c r="Q791" t="s">
        <v>275</v>
      </c>
      <c r="R791" t="s">
        <v>275</v>
      </c>
      <c r="S791" t="s">
        <v>275</v>
      </c>
      <c r="T791" t="s">
        <v>275</v>
      </c>
      <c r="U791" t="s">
        <v>275</v>
      </c>
      <c r="V791" t="s">
        <v>275</v>
      </c>
      <c r="W791" t="s">
        <v>10</v>
      </c>
      <c r="X791" t="s">
        <v>275</v>
      </c>
      <c r="Y791" t="s">
        <v>275</v>
      </c>
      <c r="Z791" t="s">
        <v>275</v>
      </c>
      <c r="AA791" t="s">
        <v>275</v>
      </c>
      <c r="AB791" t="s">
        <v>275</v>
      </c>
      <c r="AC791" t="s">
        <v>275</v>
      </c>
      <c r="AD791" t="s">
        <v>275</v>
      </c>
    </row>
    <row r="792" spans="1:30">
      <c r="A792">
        <v>790</v>
      </c>
      <c r="B792" t="s">
        <v>1555</v>
      </c>
      <c r="C792" t="s">
        <v>1556</v>
      </c>
      <c r="D792" t="str">
        <f>IF(VLOOKUP(C792,'Capabilities Overview'!$A$2:$A$587,1)=C792,"","Not in UCL")</f>
        <v>Not in UCL</v>
      </c>
      <c r="E792" t="s">
        <v>1</v>
      </c>
      <c r="F792" t="s">
        <v>1</v>
      </c>
      <c r="G792" t="s">
        <v>275</v>
      </c>
      <c r="H792" t="s">
        <v>275</v>
      </c>
      <c r="I792" t="s">
        <v>275</v>
      </c>
      <c r="J792" t="s">
        <v>275</v>
      </c>
      <c r="K792" t="s">
        <v>275</v>
      </c>
      <c r="L792" t="s">
        <v>275</v>
      </c>
      <c r="M792" t="s">
        <v>1</v>
      </c>
      <c r="N792" t="s">
        <v>1</v>
      </c>
      <c r="O792" t="s">
        <v>1</v>
      </c>
      <c r="P792" t="s">
        <v>275</v>
      </c>
      <c r="Q792" t="s">
        <v>275</v>
      </c>
      <c r="R792" t="s">
        <v>275</v>
      </c>
      <c r="S792" t="s">
        <v>275</v>
      </c>
      <c r="T792" t="s">
        <v>275</v>
      </c>
      <c r="U792" t="s">
        <v>275</v>
      </c>
      <c r="V792" t="s">
        <v>275</v>
      </c>
      <c r="W792" t="s">
        <v>10</v>
      </c>
      <c r="X792" t="s">
        <v>275</v>
      </c>
      <c r="Y792" t="s">
        <v>275</v>
      </c>
      <c r="Z792" t="s">
        <v>275</v>
      </c>
      <c r="AA792" t="s">
        <v>275</v>
      </c>
      <c r="AB792" t="s">
        <v>275</v>
      </c>
      <c r="AC792" t="s">
        <v>275</v>
      </c>
      <c r="AD792" t="s">
        <v>275</v>
      </c>
    </row>
    <row r="793" spans="1:30">
      <c r="A793">
        <v>791</v>
      </c>
      <c r="B793" t="s">
        <v>1557</v>
      </c>
      <c r="C793" t="s">
        <v>1558</v>
      </c>
      <c r="D793" t="str">
        <f>IF(VLOOKUP(C793,'Capabilities Overview'!$A$2:$A$587,1)=C793,"","Not in UCL")</f>
        <v>Not in UCL</v>
      </c>
      <c r="E793" t="s">
        <v>1</v>
      </c>
      <c r="F793" t="s">
        <v>1</v>
      </c>
      <c r="G793" t="s">
        <v>275</v>
      </c>
      <c r="H793" t="s">
        <v>275</v>
      </c>
      <c r="I793" t="s">
        <v>275</v>
      </c>
      <c r="J793" t="s">
        <v>275</v>
      </c>
      <c r="K793" t="s">
        <v>275</v>
      </c>
      <c r="L793" t="s">
        <v>275</v>
      </c>
      <c r="M793" t="s">
        <v>1</v>
      </c>
      <c r="N793" t="s">
        <v>1</v>
      </c>
      <c r="O793" t="s">
        <v>1</v>
      </c>
      <c r="P793" t="s">
        <v>275</v>
      </c>
      <c r="Q793" t="s">
        <v>275</v>
      </c>
      <c r="R793" t="s">
        <v>275</v>
      </c>
      <c r="S793" t="s">
        <v>275</v>
      </c>
      <c r="T793" t="s">
        <v>275</v>
      </c>
      <c r="U793" t="s">
        <v>275</v>
      </c>
      <c r="V793" t="s">
        <v>275</v>
      </c>
      <c r="W793" t="s">
        <v>10</v>
      </c>
      <c r="X793" t="s">
        <v>275</v>
      </c>
      <c r="Y793" t="s">
        <v>275</v>
      </c>
      <c r="Z793" t="s">
        <v>275</v>
      </c>
      <c r="AA793" t="s">
        <v>275</v>
      </c>
      <c r="AB793" t="s">
        <v>275</v>
      </c>
      <c r="AC793" t="s">
        <v>275</v>
      </c>
      <c r="AD793" t="s">
        <v>275</v>
      </c>
    </row>
    <row r="794" spans="1:30">
      <c r="A794">
        <v>792</v>
      </c>
      <c r="B794" t="s">
        <v>1559</v>
      </c>
      <c r="C794" t="s">
        <v>1560</v>
      </c>
      <c r="D794" t="str">
        <f>IF(VLOOKUP(C794,'Capabilities Overview'!$A$2:$A$587,1)=C794,"","Not in UCL")</f>
        <v/>
      </c>
      <c r="E794" t="s">
        <v>1</v>
      </c>
      <c r="F794" t="s">
        <v>1</v>
      </c>
      <c r="G794" t="s">
        <v>275</v>
      </c>
      <c r="H794" t="s">
        <v>275</v>
      </c>
      <c r="I794" t="s">
        <v>275</v>
      </c>
      <c r="J794" t="s">
        <v>275</v>
      </c>
      <c r="K794" t="s">
        <v>275</v>
      </c>
      <c r="L794" t="s">
        <v>275</v>
      </c>
      <c r="M794" t="s">
        <v>1</v>
      </c>
      <c r="N794" t="s">
        <v>1</v>
      </c>
      <c r="O794" t="s">
        <v>1</v>
      </c>
      <c r="P794" t="s">
        <v>275</v>
      </c>
      <c r="Q794" t="s">
        <v>275</v>
      </c>
      <c r="R794" t="s">
        <v>275</v>
      </c>
      <c r="S794" t="s">
        <v>275</v>
      </c>
      <c r="T794" t="s">
        <v>275</v>
      </c>
      <c r="U794" t="s">
        <v>275</v>
      </c>
      <c r="V794" t="s">
        <v>275</v>
      </c>
      <c r="W794" t="s">
        <v>10</v>
      </c>
      <c r="X794" t="s">
        <v>275</v>
      </c>
      <c r="Y794" t="s">
        <v>275</v>
      </c>
      <c r="Z794" t="s">
        <v>275</v>
      </c>
      <c r="AA794" t="s">
        <v>275</v>
      </c>
      <c r="AB794" t="s">
        <v>275</v>
      </c>
      <c r="AC794" t="s">
        <v>275</v>
      </c>
      <c r="AD794" t="s">
        <v>275</v>
      </c>
    </row>
    <row r="795" spans="1:30">
      <c r="A795">
        <v>793</v>
      </c>
      <c r="B795" t="s">
        <v>1561</v>
      </c>
      <c r="C795" t="s">
        <v>1562</v>
      </c>
      <c r="D795" t="str">
        <f>IF(VLOOKUP(C795,'Capabilities Overview'!$A$2:$A$587,1)=C795,"","Not in UCL")</f>
        <v>Not in UCL</v>
      </c>
      <c r="E795" t="s">
        <v>1</v>
      </c>
      <c r="F795" t="s">
        <v>1</v>
      </c>
      <c r="G795" t="s">
        <v>275</v>
      </c>
      <c r="H795" t="s">
        <v>275</v>
      </c>
      <c r="I795" t="s">
        <v>275</v>
      </c>
      <c r="J795" t="s">
        <v>275</v>
      </c>
      <c r="K795" t="s">
        <v>275</v>
      </c>
      <c r="L795" t="s">
        <v>275</v>
      </c>
      <c r="M795" t="s">
        <v>1</v>
      </c>
      <c r="N795" t="s">
        <v>1</v>
      </c>
      <c r="O795" t="s">
        <v>1</v>
      </c>
      <c r="P795" t="s">
        <v>275</v>
      </c>
      <c r="Q795" t="s">
        <v>275</v>
      </c>
      <c r="R795" t="s">
        <v>275</v>
      </c>
      <c r="S795" t="s">
        <v>275</v>
      </c>
      <c r="T795" t="s">
        <v>275</v>
      </c>
      <c r="U795" t="s">
        <v>275</v>
      </c>
      <c r="V795" t="s">
        <v>275</v>
      </c>
      <c r="W795" t="s">
        <v>10</v>
      </c>
      <c r="X795" t="s">
        <v>275</v>
      </c>
      <c r="Y795" t="s">
        <v>275</v>
      </c>
      <c r="Z795" t="s">
        <v>275</v>
      </c>
      <c r="AA795" t="s">
        <v>275</v>
      </c>
      <c r="AB795" t="s">
        <v>275</v>
      </c>
      <c r="AC795" t="s">
        <v>275</v>
      </c>
      <c r="AD795" t="s">
        <v>275</v>
      </c>
    </row>
    <row r="796" spans="1:30">
      <c r="A796">
        <v>794</v>
      </c>
      <c r="B796" t="s">
        <v>1563</v>
      </c>
      <c r="C796" t="s">
        <v>1564</v>
      </c>
      <c r="D796" t="str">
        <f>IF(VLOOKUP(C796,'Capabilities Overview'!$A$2:$A$587,1)=C796,"","Not in UCL")</f>
        <v>Not in UCL</v>
      </c>
      <c r="E796" t="s">
        <v>1</v>
      </c>
      <c r="F796" t="s">
        <v>1</v>
      </c>
      <c r="G796" t="s">
        <v>275</v>
      </c>
      <c r="H796" t="s">
        <v>275</v>
      </c>
      <c r="I796" t="s">
        <v>275</v>
      </c>
      <c r="J796" t="s">
        <v>275</v>
      </c>
      <c r="K796" t="s">
        <v>275</v>
      </c>
      <c r="L796" t="s">
        <v>275</v>
      </c>
      <c r="M796" t="s">
        <v>1</v>
      </c>
      <c r="N796" t="s">
        <v>1</v>
      </c>
      <c r="O796" t="s">
        <v>1</v>
      </c>
      <c r="P796" t="s">
        <v>275</v>
      </c>
      <c r="Q796" t="s">
        <v>275</v>
      </c>
      <c r="R796" t="s">
        <v>275</v>
      </c>
      <c r="S796" t="s">
        <v>275</v>
      </c>
      <c r="T796" t="s">
        <v>275</v>
      </c>
      <c r="U796" t="s">
        <v>275</v>
      </c>
      <c r="V796" t="s">
        <v>275</v>
      </c>
      <c r="W796" t="s">
        <v>10</v>
      </c>
      <c r="X796" t="s">
        <v>275</v>
      </c>
      <c r="Y796" t="s">
        <v>275</v>
      </c>
      <c r="Z796" t="s">
        <v>275</v>
      </c>
      <c r="AA796" t="s">
        <v>275</v>
      </c>
      <c r="AB796" t="s">
        <v>275</v>
      </c>
      <c r="AC796" t="s">
        <v>275</v>
      </c>
      <c r="AD796" t="s">
        <v>275</v>
      </c>
    </row>
    <row r="797" spans="1:30">
      <c r="A797">
        <v>795</v>
      </c>
      <c r="B797" t="s">
        <v>1565</v>
      </c>
      <c r="C797" t="s">
        <v>1566</v>
      </c>
      <c r="D797" t="str">
        <f>IF(VLOOKUP(C797,'Capabilities Overview'!$A$2:$A$587,1)=C797,"","Not in UCL")</f>
        <v/>
      </c>
      <c r="E797" t="s">
        <v>1</v>
      </c>
      <c r="F797" t="s">
        <v>275</v>
      </c>
      <c r="G797" t="s">
        <v>275</v>
      </c>
      <c r="H797" t="s">
        <v>275</v>
      </c>
      <c r="I797" t="s">
        <v>275</v>
      </c>
      <c r="J797" t="s">
        <v>275</v>
      </c>
      <c r="K797" t="s">
        <v>275</v>
      </c>
      <c r="L797" t="s">
        <v>275</v>
      </c>
      <c r="M797" t="s">
        <v>1</v>
      </c>
      <c r="N797" t="s">
        <v>1</v>
      </c>
      <c r="O797" t="s">
        <v>1</v>
      </c>
      <c r="P797" t="s">
        <v>275</v>
      </c>
      <c r="Q797" t="s">
        <v>275</v>
      </c>
      <c r="R797" t="s">
        <v>275</v>
      </c>
      <c r="S797" t="s">
        <v>275</v>
      </c>
      <c r="T797" t="s">
        <v>275</v>
      </c>
      <c r="U797" t="s">
        <v>275</v>
      </c>
      <c r="V797" t="s">
        <v>275</v>
      </c>
      <c r="W797" t="s">
        <v>10</v>
      </c>
      <c r="X797" t="s">
        <v>275</v>
      </c>
      <c r="Y797" t="s">
        <v>275</v>
      </c>
      <c r="Z797" t="s">
        <v>275</v>
      </c>
      <c r="AA797" t="s">
        <v>275</v>
      </c>
      <c r="AB797" t="s">
        <v>275</v>
      </c>
      <c r="AC797" t="s">
        <v>275</v>
      </c>
      <c r="AD797" t="s">
        <v>275</v>
      </c>
    </row>
    <row r="798" spans="1:30">
      <c r="A798">
        <v>796</v>
      </c>
      <c r="B798" t="s">
        <v>1567</v>
      </c>
      <c r="C798" t="s">
        <v>1568</v>
      </c>
      <c r="D798" t="str">
        <f>IF(VLOOKUP(C798,'Capabilities Overview'!$A$2:$A$587,1)=C798,"","Not in UCL")</f>
        <v/>
      </c>
      <c r="E798" t="s">
        <v>1</v>
      </c>
      <c r="F798" t="s">
        <v>275</v>
      </c>
      <c r="G798" t="s">
        <v>275</v>
      </c>
      <c r="H798" t="s">
        <v>275</v>
      </c>
      <c r="I798" t="s">
        <v>275</v>
      </c>
      <c r="J798" t="s">
        <v>275</v>
      </c>
      <c r="K798" t="s">
        <v>275</v>
      </c>
      <c r="L798" t="s">
        <v>275</v>
      </c>
      <c r="M798" t="s">
        <v>1</v>
      </c>
      <c r="N798" t="s">
        <v>1</v>
      </c>
      <c r="O798" t="s">
        <v>1</v>
      </c>
      <c r="P798" t="s">
        <v>275</v>
      </c>
      <c r="Q798" t="s">
        <v>1</v>
      </c>
      <c r="R798" t="s">
        <v>1</v>
      </c>
      <c r="S798" t="s">
        <v>275</v>
      </c>
      <c r="T798" t="s">
        <v>275</v>
      </c>
      <c r="U798" t="s">
        <v>275</v>
      </c>
      <c r="V798" t="s">
        <v>275</v>
      </c>
      <c r="W798" t="s">
        <v>10</v>
      </c>
      <c r="X798" t="s">
        <v>275</v>
      </c>
      <c r="Y798" t="s">
        <v>275</v>
      </c>
      <c r="Z798" t="s">
        <v>275</v>
      </c>
      <c r="AA798" t="s">
        <v>275</v>
      </c>
      <c r="AB798" t="s">
        <v>275</v>
      </c>
      <c r="AC798" t="s">
        <v>275</v>
      </c>
      <c r="AD798" t="s">
        <v>275</v>
      </c>
    </row>
    <row r="799" spans="1:30">
      <c r="A799">
        <v>797</v>
      </c>
      <c r="B799" t="s">
        <v>1569</v>
      </c>
      <c r="C799" t="s">
        <v>1570</v>
      </c>
      <c r="D799" t="str">
        <f>IF(VLOOKUP(C799,'Capabilities Overview'!$A$2:$A$587,1)=C799,"","Not in UCL")</f>
        <v>Not in UCL</v>
      </c>
      <c r="E799" t="s">
        <v>1</v>
      </c>
      <c r="F799" t="s">
        <v>1</v>
      </c>
      <c r="G799" t="s">
        <v>275</v>
      </c>
      <c r="H799" t="s">
        <v>275</v>
      </c>
      <c r="I799" t="s">
        <v>275</v>
      </c>
      <c r="J799" t="s">
        <v>275</v>
      </c>
      <c r="K799" t="s">
        <v>275</v>
      </c>
      <c r="L799" t="s">
        <v>275</v>
      </c>
      <c r="M799" t="s">
        <v>1</v>
      </c>
      <c r="N799" t="s">
        <v>1</v>
      </c>
      <c r="O799" t="s">
        <v>1</v>
      </c>
      <c r="P799" t="s">
        <v>275</v>
      </c>
      <c r="Q799" t="s">
        <v>275</v>
      </c>
      <c r="R799" t="s">
        <v>275</v>
      </c>
      <c r="S799" t="s">
        <v>275</v>
      </c>
      <c r="T799" t="s">
        <v>275</v>
      </c>
      <c r="U799" t="s">
        <v>275</v>
      </c>
      <c r="V799" t="s">
        <v>275</v>
      </c>
      <c r="W799" t="s">
        <v>10</v>
      </c>
      <c r="X799" t="s">
        <v>275</v>
      </c>
      <c r="Y799" t="s">
        <v>275</v>
      </c>
      <c r="Z799" t="s">
        <v>275</v>
      </c>
      <c r="AA799" t="s">
        <v>275</v>
      </c>
      <c r="AB799" t="s">
        <v>275</v>
      </c>
      <c r="AC799" t="s">
        <v>275</v>
      </c>
      <c r="AD799" t="s">
        <v>275</v>
      </c>
    </row>
    <row r="800" spans="1:30">
      <c r="A800">
        <v>798</v>
      </c>
      <c r="B800" t="s">
        <v>1571</v>
      </c>
      <c r="C800" t="s">
        <v>1572</v>
      </c>
      <c r="D800" t="str">
        <f>IF(VLOOKUP(C800,'Capabilities Overview'!$A$2:$A$587,1)=C800,"","Not in UCL")</f>
        <v>Not in UCL</v>
      </c>
      <c r="E800" t="s">
        <v>1</v>
      </c>
      <c r="F800" t="s">
        <v>1</v>
      </c>
      <c r="G800" t="s">
        <v>275</v>
      </c>
      <c r="H800" t="s">
        <v>275</v>
      </c>
      <c r="I800" t="s">
        <v>275</v>
      </c>
      <c r="J800" t="s">
        <v>275</v>
      </c>
      <c r="K800" t="s">
        <v>275</v>
      </c>
      <c r="L800" t="s">
        <v>275</v>
      </c>
      <c r="M800" t="s">
        <v>1</v>
      </c>
      <c r="N800" t="s">
        <v>1</v>
      </c>
      <c r="O800" t="s">
        <v>1</v>
      </c>
      <c r="P800" t="s">
        <v>275</v>
      </c>
      <c r="Q800" t="s">
        <v>275</v>
      </c>
      <c r="R800" t="s">
        <v>275</v>
      </c>
      <c r="S800" t="s">
        <v>275</v>
      </c>
      <c r="T800" t="s">
        <v>275</v>
      </c>
      <c r="U800" t="s">
        <v>275</v>
      </c>
      <c r="V800" t="s">
        <v>275</v>
      </c>
      <c r="W800" t="s">
        <v>10</v>
      </c>
      <c r="X800" t="s">
        <v>275</v>
      </c>
      <c r="Y800" t="s">
        <v>275</v>
      </c>
      <c r="Z800" t="s">
        <v>275</v>
      </c>
      <c r="AA800" t="s">
        <v>275</v>
      </c>
      <c r="AB800" t="s">
        <v>275</v>
      </c>
      <c r="AC800" t="s">
        <v>275</v>
      </c>
      <c r="AD800" t="s">
        <v>275</v>
      </c>
    </row>
    <row r="801" spans="1:30">
      <c r="A801">
        <v>799</v>
      </c>
      <c r="B801" t="s">
        <v>1573</v>
      </c>
      <c r="C801" t="s">
        <v>1574</v>
      </c>
      <c r="D801" t="str">
        <f>IF(VLOOKUP(C801,'Capabilities Overview'!$A$2:$A$587,1)=C801,"","Not in UCL")</f>
        <v>Not in UCL</v>
      </c>
      <c r="E801" t="s">
        <v>1</v>
      </c>
      <c r="F801" t="s">
        <v>275</v>
      </c>
      <c r="G801" t="s">
        <v>275</v>
      </c>
      <c r="H801" t="s">
        <v>275</v>
      </c>
      <c r="I801" t="s">
        <v>275</v>
      </c>
      <c r="J801" t="s">
        <v>275</v>
      </c>
      <c r="K801" t="s">
        <v>275</v>
      </c>
      <c r="L801" t="s">
        <v>275</v>
      </c>
      <c r="M801" t="s">
        <v>1</v>
      </c>
      <c r="N801" t="s">
        <v>1</v>
      </c>
      <c r="O801" t="s">
        <v>1</v>
      </c>
      <c r="P801" t="s">
        <v>275</v>
      </c>
      <c r="Q801" t="s">
        <v>1</v>
      </c>
      <c r="R801" t="s">
        <v>1</v>
      </c>
      <c r="S801" t="s">
        <v>275</v>
      </c>
      <c r="T801" t="s">
        <v>275</v>
      </c>
      <c r="U801" t="s">
        <v>275</v>
      </c>
      <c r="V801" t="s">
        <v>275</v>
      </c>
      <c r="W801" t="s">
        <v>275</v>
      </c>
      <c r="X801" t="s">
        <v>275</v>
      </c>
      <c r="Y801" t="s">
        <v>275</v>
      </c>
      <c r="Z801" t="s">
        <v>275</v>
      </c>
      <c r="AA801" t="s">
        <v>275</v>
      </c>
      <c r="AB801" t="s">
        <v>275</v>
      </c>
      <c r="AC801" t="s">
        <v>275</v>
      </c>
      <c r="AD801" t="s">
        <v>275</v>
      </c>
    </row>
    <row r="802" spans="1:30">
      <c r="A802">
        <v>800</v>
      </c>
      <c r="B802" t="s">
        <v>1575</v>
      </c>
      <c r="C802" t="s">
        <v>1576</v>
      </c>
      <c r="D802" t="str">
        <f>IF(VLOOKUP(C802,'Capabilities Overview'!$A$2:$A$587,1)=C802,"","Not in UCL")</f>
        <v>Not in UCL</v>
      </c>
      <c r="E802" t="s">
        <v>1</v>
      </c>
      <c r="F802" t="s">
        <v>275</v>
      </c>
      <c r="G802" t="s">
        <v>275</v>
      </c>
      <c r="H802" t="s">
        <v>275</v>
      </c>
      <c r="I802" t="s">
        <v>275</v>
      </c>
      <c r="J802" t="s">
        <v>275</v>
      </c>
      <c r="K802" t="s">
        <v>275</v>
      </c>
      <c r="L802" t="s">
        <v>275</v>
      </c>
      <c r="M802" t="s">
        <v>1</v>
      </c>
      <c r="N802" t="s">
        <v>1</v>
      </c>
      <c r="O802" t="s">
        <v>1</v>
      </c>
      <c r="P802" t="s">
        <v>275</v>
      </c>
      <c r="Q802" t="s">
        <v>1</v>
      </c>
      <c r="R802" t="s">
        <v>1</v>
      </c>
      <c r="S802" t="s">
        <v>275</v>
      </c>
      <c r="T802" t="s">
        <v>275</v>
      </c>
      <c r="U802" t="s">
        <v>275</v>
      </c>
      <c r="V802" t="s">
        <v>275</v>
      </c>
      <c r="W802" t="s">
        <v>275</v>
      </c>
      <c r="X802" t="s">
        <v>275</v>
      </c>
      <c r="Y802" t="s">
        <v>275</v>
      </c>
      <c r="Z802" t="s">
        <v>275</v>
      </c>
      <c r="AA802" t="s">
        <v>275</v>
      </c>
      <c r="AB802" t="s">
        <v>275</v>
      </c>
      <c r="AC802" t="s">
        <v>275</v>
      </c>
      <c r="AD802" t="s">
        <v>275</v>
      </c>
    </row>
    <row r="803" spans="1:30">
      <c r="A803">
        <v>801</v>
      </c>
      <c r="B803" t="s">
        <v>1577</v>
      </c>
      <c r="C803" t="s">
        <v>1578</v>
      </c>
      <c r="D803" t="str">
        <f>IF(VLOOKUP(C803,'Capabilities Overview'!$A$2:$A$587,1)=C803,"","Not in UCL")</f>
        <v>Not in UCL</v>
      </c>
      <c r="E803" t="s">
        <v>1</v>
      </c>
      <c r="F803" t="s">
        <v>1</v>
      </c>
      <c r="G803" t="s">
        <v>275</v>
      </c>
      <c r="H803" t="s">
        <v>275</v>
      </c>
      <c r="I803" t="s">
        <v>275</v>
      </c>
      <c r="J803" t="s">
        <v>275</v>
      </c>
      <c r="K803" t="s">
        <v>275</v>
      </c>
      <c r="L803" t="s">
        <v>275</v>
      </c>
      <c r="M803" t="s">
        <v>1</v>
      </c>
      <c r="N803" t="s">
        <v>1</v>
      </c>
      <c r="O803" t="s">
        <v>1</v>
      </c>
      <c r="P803" t="s">
        <v>275</v>
      </c>
      <c r="Q803" t="s">
        <v>275</v>
      </c>
      <c r="R803" t="s">
        <v>275</v>
      </c>
      <c r="S803" t="s">
        <v>275</v>
      </c>
      <c r="T803" t="s">
        <v>275</v>
      </c>
      <c r="U803" t="s">
        <v>275</v>
      </c>
      <c r="V803" t="s">
        <v>275</v>
      </c>
      <c r="W803" t="s">
        <v>10</v>
      </c>
      <c r="X803" t="s">
        <v>275</v>
      </c>
      <c r="Y803" t="s">
        <v>275</v>
      </c>
      <c r="Z803" t="s">
        <v>275</v>
      </c>
      <c r="AA803" t="s">
        <v>275</v>
      </c>
      <c r="AB803" t="s">
        <v>275</v>
      </c>
      <c r="AC803" t="s">
        <v>275</v>
      </c>
      <c r="AD803" t="s">
        <v>275</v>
      </c>
    </row>
    <row r="804" spans="1:30">
      <c r="A804">
        <v>802</v>
      </c>
      <c r="B804" t="s">
        <v>1579</v>
      </c>
      <c r="C804" t="s">
        <v>1580</v>
      </c>
      <c r="D804" t="str">
        <f>IF(VLOOKUP(C804,'Capabilities Overview'!$A$2:$A$587,1)=C804,"","Not in UCL")</f>
        <v/>
      </c>
      <c r="E804" t="s">
        <v>1</v>
      </c>
      <c r="F804" t="s">
        <v>1</v>
      </c>
      <c r="G804" t="s">
        <v>275</v>
      </c>
      <c r="H804" t="s">
        <v>275</v>
      </c>
      <c r="I804" t="s">
        <v>275</v>
      </c>
      <c r="J804" t="s">
        <v>275</v>
      </c>
      <c r="K804" t="s">
        <v>275</v>
      </c>
      <c r="L804" t="s">
        <v>275</v>
      </c>
      <c r="M804" t="s">
        <v>1</v>
      </c>
      <c r="N804" t="s">
        <v>1</v>
      </c>
      <c r="O804" t="s">
        <v>1</v>
      </c>
      <c r="P804" t="s">
        <v>275</v>
      </c>
      <c r="Q804" t="s">
        <v>275</v>
      </c>
      <c r="R804" t="s">
        <v>275</v>
      </c>
      <c r="S804" t="s">
        <v>275</v>
      </c>
      <c r="T804" t="s">
        <v>275</v>
      </c>
      <c r="U804" t="s">
        <v>275</v>
      </c>
      <c r="V804" t="s">
        <v>275</v>
      </c>
      <c r="W804" t="s">
        <v>10</v>
      </c>
      <c r="X804" t="s">
        <v>275</v>
      </c>
      <c r="Y804" t="s">
        <v>275</v>
      </c>
      <c r="Z804" t="s">
        <v>275</v>
      </c>
      <c r="AA804" t="s">
        <v>275</v>
      </c>
      <c r="AB804" t="s">
        <v>275</v>
      </c>
      <c r="AC804" t="s">
        <v>275</v>
      </c>
      <c r="AD804" t="s">
        <v>275</v>
      </c>
    </row>
    <row r="805" spans="1:30">
      <c r="A805">
        <v>803</v>
      </c>
      <c r="B805" t="s">
        <v>1581</v>
      </c>
      <c r="C805" t="s">
        <v>1582</v>
      </c>
      <c r="D805" t="str">
        <f>IF(VLOOKUP(C805,'Capabilities Overview'!$A$2:$A$587,1)=C805,"","Not in UCL")</f>
        <v>Not in UCL</v>
      </c>
      <c r="E805" t="s">
        <v>1</v>
      </c>
      <c r="F805" t="s">
        <v>1</v>
      </c>
      <c r="G805" t="s">
        <v>275</v>
      </c>
      <c r="H805" t="s">
        <v>275</v>
      </c>
      <c r="I805" t="s">
        <v>275</v>
      </c>
      <c r="J805" t="s">
        <v>275</v>
      </c>
      <c r="K805" t="s">
        <v>275</v>
      </c>
      <c r="L805" t="s">
        <v>275</v>
      </c>
      <c r="M805" t="s">
        <v>1</v>
      </c>
      <c r="N805" t="s">
        <v>1</v>
      </c>
      <c r="O805" t="s">
        <v>1</v>
      </c>
      <c r="P805" t="s">
        <v>275</v>
      </c>
      <c r="Q805" t="s">
        <v>275</v>
      </c>
      <c r="R805" t="s">
        <v>275</v>
      </c>
      <c r="S805" t="s">
        <v>275</v>
      </c>
      <c r="T805" t="s">
        <v>275</v>
      </c>
      <c r="U805" t="s">
        <v>275</v>
      </c>
      <c r="V805" t="s">
        <v>275</v>
      </c>
      <c r="W805" t="s">
        <v>10</v>
      </c>
      <c r="X805" t="s">
        <v>275</v>
      </c>
      <c r="Y805" t="s">
        <v>275</v>
      </c>
      <c r="Z805" t="s">
        <v>275</v>
      </c>
      <c r="AA805" t="s">
        <v>275</v>
      </c>
      <c r="AB805" t="s">
        <v>275</v>
      </c>
      <c r="AC805" t="s">
        <v>275</v>
      </c>
      <c r="AD805" t="s">
        <v>275</v>
      </c>
    </row>
    <row r="806" spans="1:30">
      <c r="A806">
        <v>804</v>
      </c>
      <c r="B806" t="s">
        <v>1583</v>
      </c>
      <c r="C806" t="s">
        <v>1584</v>
      </c>
      <c r="D806" t="str">
        <f>IF(VLOOKUP(C806,'Capabilities Overview'!$A$2:$A$587,1)=C806,"","Not in UCL")</f>
        <v>Not in UCL</v>
      </c>
      <c r="E806" t="s">
        <v>1</v>
      </c>
      <c r="F806" t="s">
        <v>1</v>
      </c>
      <c r="G806" t="s">
        <v>275</v>
      </c>
      <c r="H806" t="s">
        <v>275</v>
      </c>
      <c r="I806" t="s">
        <v>275</v>
      </c>
      <c r="J806" t="s">
        <v>275</v>
      </c>
      <c r="K806" t="s">
        <v>275</v>
      </c>
      <c r="L806" t="s">
        <v>275</v>
      </c>
      <c r="M806" t="s">
        <v>1</v>
      </c>
      <c r="N806" t="s">
        <v>1</v>
      </c>
      <c r="O806" t="s">
        <v>1</v>
      </c>
      <c r="P806" t="s">
        <v>275</v>
      </c>
      <c r="Q806" t="s">
        <v>275</v>
      </c>
      <c r="R806" t="s">
        <v>275</v>
      </c>
      <c r="S806" t="s">
        <v>275</v>
      </c>
      <c r="T806" t="s">
        <v>275</v>
      </c>
      <c r="U806" t="s">
        <v>275</v>
      </c>
      <c r="V806" t="s">
        <v>275</v>
      </c>
      <c r="W806" t="s">
        <v>10</v>
      </c>
      <c r="X806" t="s">
        <v>275</v>
      </c>
      <c r="Y806" t="s">
        <v>275</v>
      </c>
      <c r="Z806" t="s">
        <v>275</v>
      </c>
      <c r="AA806" t="s">
        <v>275</v>
      </c>
      <c r="AB806" t="s">
        <v>275</v>
      </c>
      <c r="AC806" t="s">
        <v>275</v>
      </c>
      <c r="AD806" t="s">
        <v>275</v>
      </c>
    </row>
    <row r="807" spans="1:30">
      <c r="A807">
        <v>805</v>
      </c>
      <c r="B807" t="s">
        <v>1585</v>
      </c>
      <c r="C807" t="s">
        <v>1586</v>
      </c>
      <c r="D807" t="str">
        <f>IF(VLOOKUP(C807,'Capabilities Overview'!$A$2:$A$587,1)=C807,"","Not in UCL")</f>
        <v>Not in UCL</v>
      </c>
      <c r="E807" t="s">
        <v>1</v>
      </c>
      <c r="F807" t="s">
        <v>1</v>
      </c>
      <c r="G807" t="s">
        <v>275</v>
      </c>
      <c r="H807" t="s">
        <v>275</v>
      </c>
      <c r="I807" t="s">
        <v>275</v>
      </c>
      <c r="J807" t="s">
        <v>275</v>
      </c>
      <c r="K807" t="s">
        <v>275</v>
      </c>
      <c r="L807" t="s">
        <v>275</v>
      </c>
      <c r="M807" t="s">
        <v>1</v>
      </c>
      <c r="N807" t="s">
        <v>1</v>
      </c>
      <c r="O807" t="s">
        <v>1</v>
      </c>
      <c r="P807" t="s">
        <v>275</v>
      </c>
      <c r="Q807" t="s">
        <v>275</v>
      </c>
      <c r="R807" t="s">
        <v>275</v>
      </c>
      <c r="S807" t="s">
        <v>275</v>
      </c>
      <c r="T807" t="s">
        <v>275</v>
      </c>
      <c r="U807" t="s">
        <v>275</v>
      </c>
      <c r="V807" t="s">
        <v>275</v>
      </c>
      <c r="W807" t="s">
        <v>10</v>
      </c>
      <c r="X807" t="s">
        <v>275</v>
      </c>
      <c r="Y807" t="s">
        <v>275</v>
      </c>
      <c r="Z807" t="s">
        <v>275</v>
      </c>
      <c r="AA807" t="s">
        <v>275</v>
      </c>
      <c r="AB807" t="s">
        <v>275</v>
      </c>
      <c r="AC807" t="s">
        <v>275</v>
      </c>
      <c r="AD807" t="s">
        <v>275</v>
      </c>
    </row>
    <row r="808" spans="1:30">
      <c r="A808">
        <v>806</v>
      </c>
      <c r="B808" t="s">
        <v>1587</v>
      </c>
      <c r="C808" t="s">
        <v>1588</v>
      </c>
      <c r="D808" t="str">
        <f>IF(VLOOKUP(C808,'Capabilities Overview'!$A$2:$A$587,1)=C808,"","Not in UCL")</f>
        <v>Not in UCL</v>
      </c>
      <c r="E808" t="s">
        <v>1</v>
      </c>
      <c r="F808" t="s">
        <v>1</v>
      </c>
      <c r="G808" t="s">
        <v>275</v>
      </c>
      <c r="H808" t="s">
        <v>275</v>
      </c>
      <c r="I808" t="s">
        <v>275</v>
      </c>
      <c r="J808" t="s">
        <v>275</v>
      </c>
      <c r="K808" t="s">
        <v>275</v>
      </c>
      <c r="L808" t="s">
        <v>275</v>
      </c>
      <c r="M808" t="s">
        <v>1</v>
      </c>
      <c r="N808" t="s">
        <v>1</v>
      </c>
      <c r="O808" t="s">
        <v>1</v>
      </c>
      <c r="P808" t="s">
        <v>275</v>
      </c>
      <c r="Q808" t="s">
        <v>275</v>
      </c>
      <c r="R808" t="s">
        <v>275</v>
      </c>
      <c r="S808" t="s">
        <v>275</v>
      </c>
      <c r="T808" t="s">
        <v>275</v>
      </c>
      <c r="U808" t="s">
        <v>275</v>
      </c>
      <c r="V808" t="s">
        <v>275</v>
      </c>
      <c r="W808" t="s">
        <v>10</v>
      </c>
      <c r="X808" t="s">
        <v>275</v>
      </c>
      <c r="Y808" t="s">
        <v>275</v>
      </c>
      <c r="Z808" t="s">
        <v>275</v>
      </c>
      <c r="AA808" t="s">
        <v>275</v>
      </c>
      <c r="AB808" t="s">
        <v>275</v>
      </c>
      <c r="AC808" t="s">
        <v>275</v>
      </c>
      <c r="AD808" t="s">
        <v>275</v>
      </c>
    </row>
    <row r="809" spans="1:30">
      <c r="A809">
        <v>807</v>
      </c>
      <c r="B809" t="s">
        <v>1589</v>
      </c>
      <c r="C809" t="s">
        <v>1590</v>
      </c>
      <c r="D809" t="str">
        <f>IF(VLOOKUP(C809,'Capabilities Overview'!$A$2:$A$587,1)=C809,"","Not in UCL")</f>
        <v>Not in UCL</v>
      </c>
      <c r="E809" t="s">
        <v>1</v>
      </c>
      <c r="F809" t="s">
        <v>1</v>
      </c>
      <c r="G809" t="s">
        <v>275</v>
      </c>
      <c r="H809" t="s">
        <v>275</v>
      </c>
      <c r="I809" t="s">
        <v>275</v>
      </c>
      <c r="J809" t="s">
        <v>275</v>
      </c>
      <c r="K809" t="s">
        <v>275</v>
      </c>
      <c r="L809" t="s">
        <v>275</v>
      </c>
      <c r="M809" t="s">
        <v>1</v>
      </c>
      <c r="N809" t="s">
        <v>1</v>
      </c>
      <c r="O809" t="s">
        <v>1</v>
      </c>
      <c r="P809" t="s">
        <v>275</v>
      </c>
      <c r="Q809" t="s">
        <v>275</v>
      </c>
      <c r="R809" t="s">
        <v>275</v>
      </c>
      <c r="S809" t="s">
        <v>275</v>
      </c>
      <c r="T809" t="s">
        <v>275</v>
      </c>
      <c r="U809" t="s">
        <v>275</v>
      </c>
      <c r="V809" t="s">
        <v>275</v>
      </c>
      <c r="W809" t="s">
        <v>10</v>
      </c>
      <c r="X809" t="s">
        <v>275</v>
      </c>
      <c r="Y809" t="s">
        <v>275</v>
      </c>
      <c r="Z809" t="s">
        <v>275</v>
      </c>
      <c r="AA809" t="s">
        <v>275</v>
      </c>
      <c r="AB809" t="s">
        <v>275</v>
      </c>
      <c r="AC809" t="s">
        <v>275</v>
      </c>
      <c r="AD809" t="s">
        <v>275</v>
      </c>
    </row>
    <row r="810" spans="1:30">
      <c r="A810">
        <v>808</v>
      </c>
      <c r="B810" t="s">
        <v>1591</v>
      </c>
      <c r="C810" t="s">
        <v>1592</v>
      </c>
      <c r="D810" t="str">
        <f>IF(VLOOKUP(C810,'Capabilities Overview'!$A$2:$A$587,1)=C810,"","Not in UCL")</f>
        <v>Not in UCL</v>
      </c>
      <c r="E810" t="s">
        <v>1</v>
      </c>
      <c r="F810" t="s">
        <v>1</v>
      </c>
      <c r="G810" t="s">
        <v>275</v>
      </c>
      <c r="H810" t="s">
        <v>275</v>
      </c>
      <c r="I810" t="s">
        <v>275</v>
      </c>
      <c r="J810" t="s">
        <v>275</v>
      </c>
      <c r="K810" t="s">
        <v>275</v>
      </c>
      <c r="L810" t="s">
        <v>275</v>
      </c>
      <c r="M810" t="s">
        <v>1</v>
      </c>
      <c r="N810" t="s">
        <v>1</v>
      </c>
      <c r="O810" t="s">
        <v>1</v>
      </c>
      <c r="P810" t="s">
        <v>275</v>
      </c>
      <c r="Q810" t="s">
        <v>275</v>
      </c>
      <c r="R810" t="s">
        <v>275</v>
      </c>
      <c r="S810" t="s">
        <v>275</v>
      </c>
      <c r="T810" t="s">
        <v>275</v>
      </c>
      <c r="U810" t="s">
        <v>275</v>
      </c>
      <c r="V810" t="s">
        <v>275</v>
      </c>
      <c r="W810" t="s">
        <v>10</v>
      </c>
      <c r="X810" t="s">
        <v>275</v>
      </c>
      <c r="Y810" t="s">
        <v>275</v>
      </c>
      <c r="Z810" t="s">
        <v>275</v>
      </c>
      <c r="AA810" t="s">
        <v>275</v>
      </c>
      <c r="AB810" t="s">
        <v>275</v>
      </c>
      <c r="AC810" t="s">
        <v>275</v>
      </c>
      <c r="AD810" t="s">
        <v>275</v>
      </c>
    </row>
    <row r="811" spans="1:30">
      <c r="A811">
        <v>809</v>
      </c>
      <c r="B811" t="s">
        <v>1593</v>
      </c>
      <c r="C811" t="s">
        <v>1594</v>
      </c>
      <c r="D811" t="str">
        <f>IF(VLOOKUP(C811,'Capabilities Overview'!$A$2:$A$587,1)=C811,"","Not in UCL")</f>
        <v/>
      </c>
      <c r="E811" t="s">
        <v>1</v>
      </c>
      <c r="F811" t="s">
        <v>1</v>
      </c>
      <c r="G811" t="s">
        <v>275</v>
      </c>
      <c r="H811" t="s">
        <v>275</v>
      </c>
      <c r="I811" t="s">
        <v>275</v>
      </c>
      <c r="J811" t="s">
        <v>275</v>
      </c>
      <c r="K811" t="s">
        <v>275</v>
      </c>
      <c r="L811" t="s">
        <v>275</v>
      </c>
      <c r="M811" t="s">
        <v>1</v>
      </c>
      <c r="N811" t="s">
        <v>1</v>
      </c>
      <c r="O811" t="s">
        <v>1</v>
      </c>
      <c r="P811" t="s">
        <v>275</v>
      </c>
      <c r="Q811" t="s">
        <v>275</v>
      </c>
      <c r="R811" t="s">
        <v>275</v>
      </c>
      <c r="S811" t="s">
        <v>275</v>
      </c>
      <c r="T811" t="s">
        <v>275</v>
      </c>
      <c r="U811" t="s">
        <v>275</v>
      </c>
      <c r="V811" t="s">
        <v>275</v>
      </c>
      <c r="W811" t="s">
        <v>10</v>
      </c>
      <c r="X811" t="s">
        <v>275</v>
      </c>
      <c r="Y811" t="s">
        <v>275</v>
      </c>
      <c r="Z811" t="s">
        <v>275</v>
      </c>
      <c r="AA811" t="s">
        <v>275</v>
      </c>
      <c r="AB811" t="s">
        <v>275</v>
      </c>
      <c r="AC811" t="s">
        <v>275</v>
      </c>
      <c r="AD811" t="s">
        <v>275</v>
      </c>
    </row>
    <row r="812" spans="1:30">
      <c r="A812">
        <v>810</v>
      </c>
      <c r="B812" t="s">
        <v>1595</v>
      </c>
      <c r="C812" t="s">
        <v>1596</v>
      </c>
      <c r="D812" t="str">
        <f>IF(VLOOKUP(C812,'Capabilities Overview'!$A$2:$A$587,1)=C812,"","Not in UCL")</f>
        <v>Not in UCL</v>
      </c>
      <c r="E812" t="s">
        <v>1</v>
      </c>
      <c r="F812" t="s">
        <v>1</v>
      </c>
      <c r="G812" t="s">
        <v>275</v>
      </c>
      <c r="H812" t="s">
        <v>275</v>
      </c>
      <c r="I812" t="s">
        <v>275</v>
      </c>
      <c r="J812" t="s">
        <v>275</v>
      </c>
      <c r="K812" t="s">
        <v>275</v>
      </c>
      <c r="L812" t="s">
        <v>275</v>
      </c>
      <c r="M812" t="s">
        <v>1</v>
      </c>
      <c r="N812" t="s">
        <v>1</v>
      </c>
      <c r="O812" t="s">
        <v>1</v>
      </c>
      <c r="P812" t="s">
        <v>275</v>
      </c>
      <c r="Q812" t="s">
        <v>275</v>
      </c>
      <c r="R812" t="s">
        <v>275</v>
      </c>
      <c r="S812" t="s">
        <v>275</v>
      </c>
      <c r="T812" t="s">
        <v>275</v>
      </c>
      <c r="U812" t="s">
        <v>275</v>
      </c>
      <c r="V812" t="s">
        <v>275</v>
      </c>
      <c r="W812" t="s">
        <v>10</v>
      </c>
      <c r="X812" t="s">
        <v>275</v>
      </c>
      <c r="Y812" t="s">
        <v>275</v>
      </c>
      <c r="Z812" t="s">
        <v>275</v>
      </c>
      <c r="AA812" t="s">
        <v>275</v>
      </c>
      <c r="AB812" t="s">
        <v>275</v>
      </c>
      <c r="AC812" t="s">
        <v>275</v>
      </c>
      <c r="AD812" t="s">
        <v>275</v>
      </c>
    </row>
    <row r="813" spans="1:30">
      <c r="A813">
        <v>811</v>
      </c>
      <c r="B813" t="s">
        <v>1597</v>
      </c>
      <c r="C813" t="s">
        <v>1598</v>
      </c>
      <c r="D813" t="str">
        <f>IF(VLOOKUP(C813,'Capabilities Overview'!$A$2:$A$587,1)=C813,"","Not in UCL")</f>
        <v>Not in UCL</v>
      </c>
      <c r="E813" t="s">
        <v>1</v>
      </c>
      <c r="F813" t="s">
        <v>1</v>
      </c>
      <c r="G813" t="s">
        <v>275</v>
      </c>
      <c r="H813" t="s">
        <v>275</v>
      </c>
      <c r="I813" t="s">
        <v>275</v>
      </c>
      <c r="J813" t="s">
        <v>275</v>
      </c>
      <c r="K813" t="s">
        <v>275</v>
      </c>
      <c r="L813" t="s">
        <v>275</v>
      </c>
      <c r="M813" t="s">
        <v>1</v>
      </c>
      <c r="N813" t="s">
        <v>1</v>
      </c>
      <c r="O813" t="s">
        <v>1</v>
      </c>
      <c r="P813" t="s">
        <v>275</v>
      </c>
      <c r="Q813" t="s">
        <v>275</v>
      </c>
      <c r="R813" t="s">
        <v>275</v>
      </c>
      <c r="S813" t="s">
        <v>275</v>
      </c>
      <c r="T813" t="s">
        <v>275</v>
      </c>
      <c r="U813" t="s">
        <v>275</v>
      </c>
      <c r="V813" t="s">
        <v>275</v>
      </c>
      <c r="W813" t="s">
        <v>10</v>
      </c>
      <c r="X813" t="s">
        <v>275</v>
      </c>
      <c r="Y813" t="s">
        <v>275</v>
      </c>
      <c r="Z813" t="s">
        <v>275</v>
      </c>
      <c r="AA813" t="s">
        <v>275</v>
      </c>
      <c r="AB813" t="s">
        <v>275</v>
      </c>
      <c r="AC813" t="s">
        <v>275</v>
      </c>
      <c r="AD813" t="s">
        <v>275</v>
      </c>
    </row>
    <row r="814" spans="1:30">
      <c r="A814">
        <v>812</v>
      </c>
      <c r="B814" t="s">
        <v>1599</v>
      </c>
      <c r="C814" t="s">
        <v>1600</v>
      </c>
      <c r="D814" t="str">
        <f>IF(VLOOKUP(C814,'Capabilities Overview'!$A$2:$A$587,1)=C814,"","Not in UCL")</f>
        <v>Not in UCL</v>
      </c>
      <c r="E814" t="s">
        <v>1</v>
      </c>
      <c r="F814" t="s">
        <v>275</v>
      </c>
      <c r="G814" t="s">
        <v>275</v>
      </c>
      <c r="H814" t="s">
        <v>275</v>
      </c>
      <c r="I814" t="s">
        <v>275</v>
      </c>
      <c r="J814" t="s">
        <v>275</v>
      </c>
      <c r="K814" t="s">
        <v>275</v>
      </c>
      <c r="L814" t="s">
        <v>275</v>
      </c>
      <c r="M814" t="s">
        <v>1</v>
      </c>
      <c r="N814" t="s">
        <v>1</v>
      </c>
      <c r="O814" t="s">
        <v>1</v>
      </c>
      <c r="P814" t="s">
        <v>275</v>
      </c>
      <c r="Q814" t="s">
        <v>1</v>
      </c>
      <c r="R814" t="s">
        <v>10</v>
      </c>
      <c r="S814" t="s">
        <v>275</v>
      </c>
      <c r="T814" t="s">
        <v>275</v>
      </c>
      <c r="U814" t="s">
        <v>275</v>
      </c>
      <c r="V814" t="s">
        <v>275</v>
      </c>
      <c r="W814" t="s">
        <v>275</v>
      </c>
      <c r="X814" t="s">
        <v>275</v>
      </c>
      <c r="Y814" t="s">
        <v>275</v>
      </c>
      <c r="Z814" t="s">
        <v>275</v>
      </c>
      <c r="AA814" t="s">
        <v>275</v>
      </c>
      <c r="AB814" t="s">
        <v>275</v>
      </c>
      <c r="AC814" t="s">
        <v>275</v>
      </c>
      <c r="AD814" t="s">
        <v>275</v>
      </c>
    </row>
    <row r="815" spans="1:30">
      <c r="A815">
        <v>813</v>
      </c>
      <c r="B815" t="s">
        <v>1601</v>
      </c>
      <c r="C815" t="s">
        <v>1602</v>
      </c>
      <c r="D815" t="str">
        <f>IF(VLOOKUP(C815,'Capabilities Overview'!$A$2:$A$587,1)=C815,"","Not in UCL")</f>
        <v/>
      </c>
      <c r="E815" t="s">
        <v>1</v>
      </c>
      <c r="F815" t="s">
        <v>1</v>
      </c>
      <c r="G815" t="s">
        <v>275</v>
      </c>
      <c r="H815" t="s">
        <v>275</v>
      </c>
      <c r="I815" t="s">
        <v>275</v>
      </c>
      <c r="J815" t="s">
        <v>275</v>
      </c>
      <c r="K815" t="s">
        <v>275</v>
      </c>
      <c r="L815" t="s">
        <v>275</v>
      </c>
      <c r="M815" t="s">
        <v>1</v>
      </c>
      <c r="N815" t="s">
        <v>1</v>
      </c>
      <c r="O815" t="s">
        <v>1</v>
      </c>
      <c r="P815" t="s">
        <v>275</v>
      </c>
      <c r="Q815" t="s">
        <v>275</v>
      </c>
      <c r="R815" t="s">
        <v>275</v>
      </c>
      <c r="S815" t="s">
        <v>275</v>
      </c>
      <c r="T815" t="s">
        <v>275</v>
      </c>
      <c r="U815" t="s">
        <v>275</v>
      </c>
      <c r="V815" t="s">
        <v>275</v>
      </c>
      <c r="W815" t="s">
        <v>10</v>
      </c>
      <c r="X815" t="s">
        <v>275</v>
      </c>
      <c r="Y815" t="s">
        <v>275</v>
      </c>
      <c r="Z815" t="s">
        <v>275</v>
      </c>
      <c r="AA815" t="s">
        <v>275</v>
      </c>
      <c r="AB815" t="s">
        <v>275</v>
      </c>
      <c r="AC815" t="s">
        <v>275</v>
      </c>
      <c r="AD815" t="s">
        <v>275</v>
      </c>
    </row>
    <row r="816" spans="1:30">
      <c r="A816">
        <v>814</v>
      </c>
      <c r="B816" t="s">
        <v>227</v>
      </c>
      <c r="C816" t="s">
        <v>228</v>
      </c>
      <c r="D816" t="str">
        <f>IF(VLOOKUP(C816,'Capabilities Overview'!$A$2:$A$587,1)=C816,"","Not in UCL")</f>
        <v>Not in UCL</v>
      </c>
      <c r="E816" t="s">
        <v>1</v>
      </c>
      <c r="F816" t="s">
        <v>275</v>
      </c>
      <c r="G816" t="s">
        <v>275</v>
      </c>
      <c r="H816" t="s">
        <v>275</v>
      </c>
      <c r="I816" t="s">
        <v>275</v>
      </c>
      <c r="J816" t="s">
        <v>275</v>
      </c>
      <c r="K816" t="s">
        <v>275</v>
      </c>
      <c r="L816" t="s">
        <v>275</v>
      </c>
      <c r="M816" t="s">
        <v>1</v>
      </c>
      <c r="N816" t="s">
        <v>1</v>
      </c>
      <c r="O816" t="s">
        <v>1</v>
      </c>
      <c r="P816" t="s">
        <v>275</v>
      </c>
      <c r="Q816" t="s">
        <v>275</v>
      </c>
      <c r="R816" t="s">
        <v>1</v>
      </c>
      <c r="S816" t="s">
        <v>275</v>
      </c>
      <c r="T816" t="s">
        <v>1</v>
      </c>
      <c r="U816" t="s">
        <v>275</v>
      </c>
      <c r="V816" t="s">
        <v>275</v>
      </c>
      <c r="W816" t="s">
        <v>275</v>
      </c>
      <c r="X816" t="s">
        <v>275</v>
      </c>
      <c r="Y816" t="s">
        <v>275</v>
      </c>
      <c r="Z816" t="s">
        <v>275</v>
      </c>
      <c r="AA816" t="s">
        <v>275</v>
      </c>
      <c r="AB816" t="s">
        <v>275</v>
      </c>
      <c r="AC816" t="s">
        <v>275</v>
      </c>
      <c r="AD816" t="s">
        <v>1</v>
      </c>
    </row>
    <row r="817" spans="1:30">
      <c r="A817">
        <v>815</v>
      </c>
      <c r="B817" t="s">
        <v>1603</v>
      </c>
      <c r="C817" t="s">
        <v>1604</v>
      </c>
      <c r="D817" t="str">
        <f>IF(VLOOKUP(C817,'Capabilities Overview'!$A$2:$A$587,1)=C817,"","Not in UCL")</f>
        <v>Not in UCL</v>
      </c>
      <c r="E817" t="s">
        <v>1</v>
      </c>
      <c r="F817" t="s">
        <v>1</v>
      </c>
      <c r="G817" t="s">
        <v>275</v>
      </c>
      <c r="H817" t="s">
        <v>275</v>
      </c>
      <c r="I817" t="s">
        <v>275</v>
      </c>
      <c r="J817" t="s">
        <v>275</v>
      </c>
      <c r="K817" t="s">
        <v>275</v>
      </c>
      <c r="L817" t="s">
        <v>275</v>
      </c>
      <c r="M817" t="s">
        <v>1</v>
      </c>
      <c r="N817" t="s">
        <v>1</v>
      </c>
      <c r="O817" t="s">
        <v>1</v>
      </c>
      <c r="P817" t="s">
        <v>275</v>
      </c>
      <c r="Q817" t="s">
        <v>275</v>
      </c>
      <c r="R817" t="s">
        <v>275</v>
      </c>
      <c r="S817" t="s">
        <v>275</v>
      </c>
      <c r="T817" t="s">
        <v>275</v>
      </c>
      <c r="U817" t="s">
        <v>275</v>
      </c>
      <c r="V817" t="s">
        <v>275</v>
      </c>
      <c r="W817" t="s">
        <v>10</v>
      </c>
      <c r="X817" t="s">
        <v>275</v>
      </c>
      <c r="Y817" t="s">
        <v>275</v>
      </c>
      <c r="Z817" t="s">
        <v>275</v>
      </c>
      <c r="AA817" t="s">
        <v>275</v>
      </c>
      <c r="AB817" t="s">
        <v>275</v>
      </c>
      <c r="AC817" t="s">
        <v>275</v>
      </c>
      <c r="AD817" t="s">
        <v>275</v>
      </c>
    </row>
    <row r="818" spans="1:30">
      <c r="A818">
        <v>816</v>
      </c>
      <c r="B818" t="s">
        <v>229</v>
      </c>
      <c r="C818" t="s">
        <v>230</v>
      </c>
      <c r="D818" t="str">
        <f>IF(VLOOKUP(C818,'Capabilities Overview'!$A$2:$A$587,1)=C818,"","Not in UCL")</f>
        <v>Not in UCL</v>
      </c>
      <c r="E818" t="s">
        <v>1</v>
      </c>
      <c r="F818" t="s">
        <v>275</v>
      </c>
      <c r="G818" t="s">
        <v>275</v>
      </c>
      <c r="H818" t="s">
        <v>275</v>
      </c>
      <c r="I818" t="s">
        <v>275</v>
      </c>
      <c r="J818" t="s">
        <v>275</v>
      </c>
      <c r="K818" t="s">
        <v>275</v>
      </c>
      <c r="L818" t="s">
        <v>275</v>
      </c>
      <c r="M818" t="s">
        <v>1</v>
      </c>
      <c r="N818" t="s">
        <v>1</v>
      </c>
      <c r="O818" t="s">
        <v>1</v>
      </c>
      <c r="P818" t="s">
        <v>275</v>
      </c>
      <c r="Q818" t="s">
        <v>275</v>
      </c>
      <c r="R818" t="s">
        <v>1</v>
      </c>
      <c r="S818" t="s">
        <v>275</v>
      </c>
      <c r="T818" t="s">
        <v>1</v>
      </c>
      <c r="U818" t="s">
        <v>275</v>
      </c>
      <c r="V818" t="s">
        <v>275</v>
      </c>
      <c r="W818" t="s">
        <v>275</v>
      </c>
      <c r="X818" t="s">
        <v>275</v>
      </c>
      <c r="Y818" t="s">
        <v>275</v>
      </c>
      <c r="Z818" t="s">
        <v>275</v>
      </c>
      <c r="AA818" t="s">
        <v>275</v>
      </c>
      <c r="AB818" t="s">
        <v>275</v>
      </c>
      <c r="AC818" t="s">
        <v>275</v>
      </c>
      <c r="AD818" t="s">
        <v>1</v>
      </c>
    </row>
    <row r="819" spans="1:30">
      <c r="A819">
        <v>817</v>
      </c>
      <c r="B819" t="s">
        <v>231</v>
      </c>
      <c r="C819" t="s">
        <v>232</v>
      </c>
      <c r="D819" t="str">
        <f>IF(VLOOKUP(C819,'Capabilities Overview'!$A$2:$A$587,1)=C819,"","Not in UCL")</f>
        <v>Not in UCL</v>
      </c>
      <c r="E819" t="s">
        <v>1</v>
      </c>
      <c r="F819" t="s">
        <v>275</v>
      </c>
      <c r="G819" t="s">
        <v>275</v>
      </c>
      <c r="H819" t="s">
        <v>275</v>
      </c>
      <c r="I819" t="s">
        <v>275</v>
      </c>
      <c r="J819" t="s">
        <v>275</v>
      </c>
      <c r="K819" t="s">
        <v>275</v>
      </c>
      <c r="L819" t="s">
        <v>275</v>
      </c>
      <c r="M819" t="s">
        <v>1</v>
      </c>
      <c r="N819" t="s">
        <v>1</v>
      </c>
      <c r="O819" t="s">
        <v>1</v>
      </c>
      <c r="P819" t="s">
        <v>275</v>
      </c>
      <c r="Q819" t="s">
        <v>275</v>
      </c>
      <c r="R819" t="s">
        <v>41</v>
      </c>
      <c r="S819" t="s">
        <v>275</v>
      </c>
      <c r="T819" t="s">
        <v>41</v>
      </c>
      <c r="U819" t="s">
        <v>275</v>
      </c>
      <c r="V819" t="s">
        <v>275</v>
      </c>
      <c r="W819" t="s">
        <v>275</v>
      </c>
      <c r="X819" t="s">
        <v>275</v>
      </c>
      <c r="Y819" t="s">
        <v>275</v>
      </c>
      <c r="Z819" t="s">
        <v>275</v>
      </c>
      <c r="AA819" t="s">
        <v>275</v>
      </c>
      <c r="AB819" t="s">
        <v>275</v>
      </c>
      <c r="AC819" t="s">
        <v>275</v>
      </c>
      <c r="AD819" t="s">
        <v>41</v>
      </c>
    </row>
    <row r="820" spans="1:30">
      <c r="A820">
        <v>818</v>
      </c>
      <c r="B820" t="s">
        <v>233</v>
      </c>
      <c r="C820" t="s">
        <v>234</v>
      </c>
      <c r="D820" t="str">
        <f>IF(VLOOKUP(C820,'Capabilities Overview'!$A$2:$A$587,1)=C820,"","Not in UCL")</f>
        <v>Not in UCL</v>
      </c>
      <c r="E820" t="s">
        <v>1</v>
      </c>
      <c r="F820" t="s">
        <v>275</v>
      </c>
      <c r="G820" t="s">
        <v>275</v>
      </c>
      <c r="H820" t="s">
        <v>275</v>
      </c>
      <c r="I820" t="s">
        <v>275</v>
      </c>
      <c r="J820" t="s">
        <v>275</v>
      </c>
      <c r="K820" t="s">
        <v>275</v>
      </c>
      <c r="L820" t="s">
        <v>275</v>
      </c>
      <c r="M820" t="s">
        <v>1</v>
      </c>
      <c r="N820" t="s">
        <v>1</v>
      </c>
      <c r="O820" t="s">
        <v>1</v>
      </c>
      <c r="P820" t="s">
        <v>275</v>
      </c>
      <c r="Q820" t="s">
        <v>275</v>
      </c>
      <c r="R820" t="s">
        <v>41</v>
      </c>
      <c r="S820" t="s">
        <v>275</v>
      </c>
      <c r="T820" t="s">
        <v>1</v>
      </c>
      <c r="U820" t="s">
        <v>275</v>
      </c>
      <c r="V820" t="s">
        <v>275</v>
      </c>
      <c r="W820" t="s">
        <v>275</v>
      </c>
      <c r="X820" t="s">
        <v>275</v>
      </c>
      <c r="Y820" t="s">
        <v>275</v>
      </c>
      <c r="Z820" t="s">
        <v>275</v>
      </c>
      <c r="AA820" t="s">
        <v>275</v>
      </c>
      <c r="AB820" t="s">
        <v>275</v>
      </c>
      <c r="AC820" t="s">
        <v>275</v>
      </c>
      <c r="AD820" t="s">
        <v>1</v>
      </c>
    </row>
    <row r="821" spans="1:30">
      <c r="A821">
        <v>819</v>
      </c>
      <c r="B821" t="s">
        <v>1605</v>
      </c>
      <c r="C821" t="s">
        <v>1606</v>
      </c>
      <c r="D821" t="str">
        <f>IF(VLOOKUP(C821,'Capabilities Overview'!$A$2:$A$587,1)=C821,"","Not in UCL")</f>
        <v>Not in UCL</v>
      </c>
      <c r="E821" t="s">
        <v>1</v>
      </c>
      <c r="F821" t="s">
        <v>275</v>
      </c>
      <c r="G821" t="s">
        <v>275</v>
      </c>
      <c r="H821" t="s">
        <v>275</v>
      </c>
      <c r="I821" t="s">
        <v>275</v>
      </c>
      <c r="J821" t="s">
        <v>275</v>
      </c>
      <c r="K821" t="s">
        <v>275</v>
      </c>
      <c r="L821" t="s">
        <v>275</v>
      </c>
      <c r="M821" t="s">
        <v>275</v>
      </c>
      <c r="N821" t="s">
        <v>275</v>
      </c>
      <c r="O821" t="s">
        <v>275</v>
      </c>
      <c r="P821" t="s">
        <v>275</v>
      </c>
      <c r="Q821" t="s">
        <v>275</v>
      </c>
      <c r="R821" t="s">
        <v>275</v>
      </c>
      <c r="S821" t="s">
        <v>275</v>
      </c>
      <c r="T821" t="s">
        <v>275</v>
      </c>
      <c r="U821" t="s">
        <v>275</v>
      </c>
      <c r="V821" t="s">
        <v>275</v>
      </c>
      <c r="W821" t="s">
        <v>275</v>
      </c>
      <c r="X821" t="s">
        <v>275</v>
      </c>
      <c r="Y821" t="s">
        <v>275</v>
      </c>
      <c r="Z821" t="s">
        <v>275</v>
      </c>
      <c r="AA821" t="s">
        <v>275</v>
      </c>
      <c r="AB821" t="s">
        <v>275</v>
      </c>
      <c r="AC821" t="s">
        <v>275</v>
      </c>
      <c r="AD821" t="s">
        <v>275</v>
      </c>
    </row>
    <row r="822" spans="1:30">
      <c r="A822">
        <v>820</v>
      </c>
      <c r="B822" t="s">
        <v>235</v>
      </c>
      <c r="C822" t="s">
        <v>236</v>
      </c>
      <c r="D822" t="str">
        <f>IF(VLOOKUP(C822,'Capabilities Overview'!$A$2:$A$587,1)=C822,"","Not in UCL")</f>
        <v>Not in UCL</v>
      </c>
      <c r="E822" t="s">
        <v>1</v>
      </c>
      <c r="F822" t="s">
        <v>275</v>
      </c>
      <c r="G822" t="s">
        <v>275</v>
      </c>
      <c r="H822" t="s">
        <v>275</v>
      </c>
      <c r="I822" t="s">
        <v>275</v>
      </c>
      <c r="J822" t="s">
        <v>275</v>
      </c>
      <c r="K822" t="s">
        <v>275</v>
      </c>
      <c r="L822" t="s">
        <v>275</v>
      </c>
      <c r="M822" t="s">
        <v>1</v>
      </c>
      <c r="N822" t="s">
        <v>1</v>
      </c>
      <c r="O822" t="s">
        <v>1</v>
      </c>
      <c r="P822" t="s">
        <v>275</v>
      </c>
      <c r="Q822" t="s">
        <v>275</v>
      </c>
      <c r="R822" t="s">
        <v>1</v>
      </c>
      <c r="S822" t="s">
        <v>275</v>
      </c>
      <c r="T822" t="s">
        <v>1</v>
      </c>
      <c r="U822" t="s">
        <v>275</v>
      </c>
      <c r="V822" t="s">
        <v>275</v>
      </c>
      <c r="W822" t="s">
        <v>275</v>
      </c>
      <c r="X822" t="s">
        <v>275</v>
      </c>
      <c r="Y822" t="s">
        <v>275</v>
      </c>
      <c r="Z822" t="s">
        <v>275</v>
      </c>
      <c r="AA822" t="s">
        <v>275</v>
      </c>
      <c r="AB822" t="s">
        <v>275</v>
      </c>
      <c r="AC822" t="s">
        <v>275</v>
      </c>
      <c r="AD822" t="s">
        <v>1</v>
      </c>
    </row>
    <row r="823" spans="1:30">
      <c r="A823">
        <v>821</v>
      </c>
      <c r="B823" t="s">
        <v>1607</v>
      </c>
      <c r="C823" t="s">
        <v>1608</v>
      </c>
      <c r="D823" t="str">
        <f>IF(VLOOKUP(C823,'Capabilities Overview'!$A$2:$A$587,1)=C823,"","Not in UCL")</f>
        <v>Not in UCL</v>
      </c>
      <c r="E823" t="s">
        <v>1</v>
      </c>
      <c r="F823" t="s">
        <v>275</v>
      </c>
      <c r="G823" t="s">
        <v>275</v>
      </c>
      <c r="H823" t="s">
        <v>275</v>
      </c>
      <c r="I823" t="s">
        <v>275</v>
      </c>
      <c r="J823" t="s">
        <v>275</v>
      </c>
      <c r="K823" t="s">
        <v>275</v>
      </c>
      <c r="L823" t="s">
        <v>275</v>
      </c>
      <c r="M823" t="s">
        <v>1</v>
      </c>
      <c r="N823" t="s">
        <v>1</v>
      </c>
      <c r="O823" t="s">
        <v>1</v>
      </c>
      <c r="P823" t="s">
        <v>275</v>
      </c>
      <c r="Q823" t="s">
        <v>275</v>
      </c>
      <c r="R823" t="s">
        <v>1</v>
      </c>
      <c r="S823" t="s">
        <v>275</v>
      </c>
      <c r="T823" t="s">
        <v>275</v>
      </c>
      <c r="U823" t="s">
        <v>275</v>
      </c>
      <c r="V823" t="s">
        <v>275</v>
      </c>
      <c r="W823" t="s">
        <v>275</v>
      </c>
      <c r="X823" t="s">
        <v>275</v>
      </c>
      <c r="Y823" t="s">
        <v>275</v>
      </c>
      <c r="Z823" t="s">
        <v>275</v>
      </c>
      <c r="AA823" t="s">
        <v>275</v>
      </c>
      <c r="AB823" t="s">
        <v>275</v>
      </c>
      <c r="AC823" t="s">
        <v>275</v>
      </c>
      <c r="AD823" t="s">
        <v>275</v>
      </c>
    </row>
    <row r="824" spans="1:30">
      <c r="A824">
        <v>822</v>
      </c>
      <c r="B824" t="s">
        <v>237</v>
      </c>
      <c r="C824" t="s">
        <v>238</v>
      </c>
      <c r="D824" t="str">
        <f>IF(VLOOKUP(C824,'Capabilities Overview'!$A$2:$A$587,1)=C824,"","Not in UCL")</f>
        <v>Not in UCL</v>
      </c>
      <c r="E824" t="s">
        <v>1</v>
      </c>
      <c r="F824" t="s">
        <v>275</v>
      </c>
      <c r="G824" t="s">
        <v>275</v>
      </c>
      <c r="H824" t="s">
        <v>275</v>
      </c>
      <c r="I824" t="s">
        <v>275</v>
      </c>
      <c r="J824" t="s">
        <v>275</v>
      </c>
      <c r="K824" t="s">
        <v>275</v>
      </c>
      <c r="L824" t="s">
        <v>275</v>
      </c>
      <c r="M824" t="s">
        <v>1</v>
      </c>
      <c r="N824" t="s">
        <v>1</v>
      </c>
      <c r="O824" t="s">
        <v>1</v>
      </c>
      <c r="P824" t="s">
        <v>275</v>
      </c>
      <c r="Q824" t="s">
        <v>275</v>
      </c>
      <c r="R824" t="s">
        <v>1</v>
      </c>
      <c r="S824" t="s">
        <v>275</v>
      </c>
      <c r="T824" t="s">
        <v>1</v>
      </c>
      <c r="U824" t="s">
        <v>275</v>
      </c>
      <c r="V824" t="s">
        <v>275</v>
      </c>
      <c r="W824" t="s">
        <v>275</v>
      </c>
      <c r="X824" t="s">
        <v>275</v>
      </c>
      <c r="Y824" t="s">
        <v>275</v>
      </c>
      <c r="Z824" t="s">
        <v>275</v>
      </c>
      <c r="AA824" t="s">
        <v>275</v>
      </c>
      <c r="AB824" t="s">
        <v>275</v>
      </c>
      <c r="AC824" t="s">
        <v>275</v>
      </c>
      <c r="AD824" t="s">
        <v>1</v>
      </c>
    </row>
    <row r="825" spans="1:30">
      <c r="A825">
        <v>823</v>
      </c>
      <c r="B825" t="s">
        <v>239</v>
      </c>
      <c r="C825" t="s">
        <v>240</v>
      </c>
      <c r="D825" t="str">
        <f>IF(VLOOKUP(C825,'Capabilities Overview'!$A$2:$A$587,1)=C825,"","Not in UCL")</f>
        <v>Not in UCL</v>
      </c>
      <c r="E825" t="s">
        <v>1</v>
      </c>
      <c r="F825" t="s">
        <v>275</v>
      </c>
      <c r="G825" t="s">
        <v>275</v>
      </c>
      <c r="H825" t="s">
        <v>275</v>
      </c>
      <c r="I825" t="s">
        <v>275</v>
      </c>
      <c r="J825" t="s">
        <v>275</v>
      </c>
      <c r="K825" t="s">
        <v>275</v>
      </c>
      <c r="L825" t="s">
        <v>275</v>
      </c>
      <c r="M825" t="s">
        <v>1</v>
      </c>
      <c r="N825" t="s">
        <v>1</v>
      </c>
      <c r="O825" t="s">
        <v>1</v>
      </c>
      <c r="P825" t="s">
        <v>275</v>
      </c>
      <c r="Q825" t="s">
        <v>275</v>
      </c>
      <c r="R825" t="s">
        <v>1</v>
      </c>
      <c r="S825" t="s">
        <v>275</v>
      </c>
      <c r="T825" t="s">
        <v>1</v>
      </c>
      <c r="U825" t="s">
        <v>275</v>
      </c>
      <c r="V825" t="s">
        <v>275</v>
      </c>
      <c r="W825" t="s">
        <v>275</v>
      </c>
      <c r="X825" t="s">
        <v>275</v>
      </c>
      <c r="Y825" t="s">
        <v>275</v>
      </c>
      <c r="Z825" t="s">
        <v>275</v>
      </c>
      <c r="AA825" t="s">
        <v>275</v>
      </c>
      <c r="AB825" t="s">
        <v>275</v>
      </c>
      <c r="AC825" t="s">
        <v>275</v>
      </c>
      <c r="AD825" t="s">
        <v>1</v>
      </c>
    </row>
    <row r="826" spans="1:30">
      <c r="A826">
        <v>824</v>
      </c>
      <c r="B826" t="s">
        <v>1609</v>
      </c>
      <c r="C826" t="s">
        <v>1610</v>
      </c>
      <c r="D826" t="str">
        <f>IF(VLOOKUP(C826,'Capabilities Overview'!$A$2:$A$587,1)=C826,"","Not in UCL")</f>
        <v>Not in UCL</v>
      </c>
      <c r="E826" t="s">
        <v>1</v>
      </c>
      <c r="F826" t="s">
        <v>275</v>
      </c>
      <c r="G826" t="s">
        <v>275</v>
      </c>
      <c r="H826" t="s">
        <v>275</v>
      </c>
      <c r="I826" t="s">
        <v>275</v>
      </c>
      <c r="J826" t="s">
        <v>275</v>
      </c>
      <c r="K826" t="s">
        <v>275</v>
      </c>
      <c r="L826" t="s">
        <v>275</v>
      </c>
      <c r="M826" t="s">
        <v>1</v>
      </c>
      <c r="N826" t="s">
        <v>1</v>
      </c>
      <c r="O826" t="s">
        <v>1</v>
      </c>
      <c r="P826" t="s">
        <v>275</v>
      </c>
      <c r="Q826" t="s">
        <v>275</v>
      </c>
      <c r="R826" t="s">
        <v>275</v>
      </c>
      <c r="S826" t="s">
        <v>275</v>
      </c>
      <c r="T826" t="s">
        <v>275</v>
      </c>
      <c r="U826" t="s">
        <v>275</v>
      </c>
      <c r="V826" t="s">
        <v>275</v>
      </c>
      <c r="W826" t="s">
        <v>275</v>
      </c>
      <c r="X826" t="s">
        <v>275</v>
      </c>
      <c r="Y826" t="s">
        <v>275</v>
      </c>
      <c r="Z826" t="s">
        <v>275</v>
      </c>
      <c r="AA826" t="s">
        <v>275</v>
      </c>
      <c r="AB826" t="s">
        <v>275</v>
      </c>
      <c r="AC826" t="s">
        <v>275</v>
      </c>
      <c r="AD826" t="s">
        <v>275</v>
      </c>
    </row>
    <row r="827" spans="1:30">
      <c r="A827">
        <v>825</v>
      </c>
      <c r="B827" t="s">
        <v>241</v>
      </c>
      <c r="C827" t="s">
        <v>242</v>
      </c>
      <c r="D827" t="str">
        <f>IF(VLOOKUP(C827,'Capabilities Overview'!$A$2:$A$587,1)=C827,"","Not in UCL")</f>
        <v>Not in UCL</v>
      </c>
      <c r="E827" t="s">
        <v>1</v>
      </c>
      <c r="F827" t="s">
        <v>275</v>
      </c>
      <c r="G827" t="s">
        <v>275</v>
      </c>
      <c r="H827" t="s">
        <v>275</v>
      </c>
      <c r="I827" t="s">
        <v>275</v>
      </c>
      <c r="J827" t="s">
        <v>275</v>
      </c>
      <c r="K827" t="s">
        <v>275</v>
      </c>
      <c r="L827" t="s">
        <v>275</v>
      </c>
      <c r="M827" t="s">
        <v>1</v>
      </c>
      <c r="N827" t="s">
        <v>1</v>
      </c>
      <c r="O827" t="s">
        <v>1</v>
      </c>
      <c r="P827" t="s">
        <v>275</v>
      </c>
      <c r="Q827" t="s">
        <v>275</v>
      </c>
      <c r="R827" t="s">
        <v>1</v>
      </c>
      <c r="S827" t="s">
        <v>275</v>
      </c>
      <c r="T827" t="s">
        <v>1</v>
      </c>
      <c r="U827" t="s">
        <v>275</v>
      </c>
      <c r="V827" t="s">
        <v>275</v>
      </c>
      <c r="W827" t="s">
        <v>275</v>
      </c>
      <c r="X827" t="s">
        <v>275</v>
      </c>
      <c r="Y827" t="s">
        <v>275</v>
      </c>
      <c r="Z827" t="s">
        <v>275</v>
      </c>
      <c r="AA827" t="s">
        <v>275</v>
      </c>
      <c r="AB827" t="s">
        <v>275</v>
      </c>
      <c r="AC827" t="s">
        <v>275</v>
      </c>
      <c r="AD827" t="s">
        <v>1</v>
      </c>
    </row>
    <row r="828" spans="1:30">
      <c r="A828">
        <v>826</v>
      </c>
      <c r="B828" t="s">
        <v>1611</v>
      </c>
      <c r="C828" t="s">
        <v>1612</v>
      </c>
      <c r="D828" t="str">
        <f>IF(VLOOKUP(C828,'Capabilities Overview'!$A$2:$A$587,1)=C828,"","Not in UCL")</f>
        <v>Not in UCL</v>
      </c>
      <c r="E828" t="s">
        <v>1</v>
      </c>
      <c r="F828" t="s">
        <v>1</v>
      </c>
      <c r="G828" t="s">
        <v>275</v>
      </c>
      <c r="H828" t="s">
        <v>275</v>
      </c>
      <c r="I828" t="s">
        <v>275</v>
      </c>
      <c r="J828" t="s">
        <v>275</v>
      </c>
      <c r="K828" t="s">
        <v>275</v>
      </c>
      <c r="L828" t="s">
        <v>275</v>
      </c>
      <c r="M828" t="s">
        <v>1</v>
      </c>
      <c r="N828" t="s">
        <v>1</v>
      </c>
      <c r="O828" t="s">
        <v>1</v>
      </c>
      <c r="P828" t="s">
        <v>275</v>
      </c>
      <c r="Q828" t="s">
        <v>275</v>
      </c>
      <c r="R828" t="s">
        <v>275</v>
      </c>
      <c r="S828" t="s">
        <v>275</v>
      </c>
      <c r="T828" t="s">
        <v>275</v>
      </c>
      <c r="U828" t="s">
        <v>275</v>
      </c>
      <c r="V828" t="s">
        <v>275</v>
      </c>
      <c r="W828" t="s">
        <v>10</v>
      </c>
      <c r="X828" t="s">
        <v>275</v>
      </c>
      <c r="Y828" t="s">
        <v>275</v>
      </c>
      <c r="Z828" t="s">
        <v>275</v>
      </c>
      <c r="AA828" t="s">
        <v>275</v>
      </c>
      <c r="AB828" t="s">
        <v>275</v>
      </c>
      <c r="AC828" t="s">
        <v>275</v>
      </c>
      <c r="AD828" t="s">
        <v>275</v>
      </c>
    </row>
    <row r="829" spans="1:30">
      <c r="A829">
        <v>827</v>
      </c>
      <c r="B829" t="s">
        <v>1613</v>
      </c>
      <c r="C829" t="s">
        <v>1614</v>
      </c>
      <c r="D829" t="str">
        <f>IF(VLOOKUP(C829,'Capabilities Overview'!$A$2:$A$587,1)=C829,"","Not in UCL")</f>
        <v/>
      </c>
      <c r="E829" t="s">
        <v>1</v>
      </c>
      <c r="F829" t="s">
        <v>1</v>
      </c>
      <c r="G829" t="s">
        <v>275</v>
      </c>
      <c r="H829" t="s">
        <v>275</v>
      </c>
      <c r="I829" t="s">
        <v>275</v>
      </c>
      <c r="J829" t="s">
        <v>275</v>
      </c>
      <c r="K829" t="s">
        <v>275</v>
      </c>
      <c r="L829" t="s">
        <v>275</v>
      </c>
      <c r="M829" t="s">
        <v>1</v>
      </c>
      <c r="N829" t="s">
        <v>1</v>
      </c>
      <c r="O829" t="s">
        <v>1</v>
      </c>
      <c r="P829" t="s">
        <v>275</v>
      </c>
      <c r="Q829" t="s">
        <v>275</v>
      </c>
      <c r="R829" t="s">
        <v>275</v>
      </c>
      <c r="S829" t="s">
        <v>275</v>
      </c>
      <c r="T829" t="s">
        <v>275</v>
      </c>
      <c r="U829" t="s">
        <v>275</v>
      </c>
      <c r="V829" t="s">
        <v>275</v>
      </c>
      <c r="W829" t="s">
        <v>10</v>
      </c>
      <c r="X829" t="s">
        <v>275</v>
      </c>
      <c r="Y829" t="s">
        <v>275</v>
      </c>
      <c r="Z829" t="s">
        <v>275</v>
      </c>
      <c r="AA829" t="s">
        <v>275</v>
      </c>
      <c r="AB829" t="s">
        <v>275</v>
      </c>
      <c r="AC829" t="s">
        <v>275</v>
      </c>
      <c r="AD829" t="s">
        <v>275</v>
      </c>
    </row>
    <row r="830" spans="1:30">
      <c r="A830">
        <v>828</v>
      </c>
      <c r="B830" t="s">
        <v>1615</v>
      </c>
      <c r="C830" t="s">
        <v>1616</v>
      </c>
      <c r="D830" t="str">
        <f>IF(VLOOKUP(C830,'Capabilities Overview'!$A$2:$A$587,1)=C830,"","Not in UCL")</f>
        <v>Not in UCL</v>
      </c>
      <c r="E830" t="s">
        <v>1</v>
      </c>
      <c r="F830" t="s">
        <v>1</v>
      </c>
      <c r="G830" t="s">
        <v>275</v>
      </c>
      <c r="H830" t="s">
        <v>275</v>
      </c>
      <c r="I830" t="s">
        <v>275</v>
      </c>
      <c r="J830" t="s">
        <v>275</v>
      </c>
      <c r="K830" t="s">
        <v>275</v>
      </c>
      <c r="L830" t="s">
        <v>275</v>
      </c>
      <c r="M830" t="s">
        <v>1</v>
      </c>
      <c r="N830" t="s">
        <v>1</v>
      </c>
      <c r="O830" t="s">
        <v>1</v>
      </c>
      <c r="P830" t="s">
        <v>275</v>
      </c>
      <c r="Q830" t="s">
        <v>275</v>
      </c>
      <c r="R830" t="s">
        <v>275</v>
      </c>
      <c r="S830" t="s">
        <v>275</v>
      </c>
      <c r="T830" t="s">
        <v>275</v>
      </c>
      <c r="U830" t="s">
        <v>275</v>
      </c>
      <c r="V830" t="s">
        <v>275</v>
      </c>
      <c r="W830" t="s">
        <v>10</v>
      </c>
      <c r="X830" t="s">
        <v>275</v>
      </c>
      <c r="Y830" t="s">
        <v>275</v>
      </c>
      <c r="Z830" t="s">
        <v>275</v>
      </c>
      <c r="AA830" t="s">
        <v>275</v>
      </c>
      <c r="AB830" t="s">
        <v>275</v>
      </c>
      <c r="AC830" t="s">
        <v>275</v>
      </c>
      <c r="AD830" t="s">
        <v>275</v>
      </c>
    </row>
    <row r="831" spans="1:30">
      <c r="A831">
        <v>829</v>
      </c>
      <c r="B831" t="s">
        <v>1617</v>
      </c>
      <c r="C831" t="s">
        <v>1618</v>
      </c>
      <c r="D831" t="str">
        <f>IF(VLOOKUP(C831,'Capabilities Overview'!$A$2:$A$587,1)=C831,"","Not in UCL")</f>
        <v>Not in UCL</v>
      </c>
      <c r="E831" t="s">
        <v>1</v>
      </c>
      <c r="F831" t="s">
        <v>275</v>
      </c>
      <c r="G831" t="s">
        <v>275</v>
      </c>
      <c r="H831" t="s">
        <v>275</v>
      </c>
      <c r="I831" t="s">
        <v>275</v>
      </c>
      <c r="J831" t="s">
        <v>275</v>
      </c>
      <c r="K831" t="s">
        <v>275</v>
      </c>
      <c r="L831" t="s">
        <v>275</v>
      </c>
      <c r="M831" t="s">
        <v>1</v>
      </c>
      <c r="N831" t="s">
        <v>1</v>
      </c>
      <c r="O831" t="s">
        <v>1</v>
      </c>
      <c r="P831" t="s">
        <v>275</v>
      </c>
      <c r="Q831" t="s">
        <v>275</v>
      </c>
      <c r="R831" t="s">
        <v>275</v>
      </c>
      <c r="S831" t="s">
        <v>275</v>
      </c>
      <c r="T831" t="s">
        <v>275</v>
      </c>
      <c r="U831" t="s">
        <v>275</v>
      </c>
      <c r="V831" t="s">
        <v>275</v>
      </c>
      <c r="W831" t="s">
        <v>275</v>
      </c>
      <c r="X831" t="s">
        <v>275</v>
      </c>
      <c r="Y831" t="s">
        <v>275</v>
      </c>
      <c r="Z831" t="s">
        <v>275</v>
      </c>
      <c r="AA831" t="s">
        <v>275</v>
      </c>
      <c r="AB831" t="s">
        <v>275</v>
      </c>
      <c r="AC831" t="s">
        <v>275</v>
      </c>
      <c r="AD831" t="s">
        <v>275</v>
      </c>
    </row>
    <row r="832" spans="1:30">
      <c r="A832">
        <v>830</v>
      </c>
      <c r="B832" t="s">
        <v>1619</v>
      </c>
      <c r="C832" t="s">
        <v>1620</v>
      </c>
      <c r="D832" t="str">
        <f>IF(VLOOKUP(C832,'Capabilities Overview'!$A$2:$A$587,1)=C832,"","Not in UCL")</f>
        <v/>
      </c>
      <c r="E832" t="s">
        <v>1</v>
      </c>
      <c r="F832" t="s">
        <v>1</v>
      </c>
      <c r="G832" t="s">
        <v>275</v>
      </c>
      <c r="H832" t="s">
        <v>275</v>
      </c>
      <c r="I832" t="s">
        <v>275</v>
      </c>
      <c r="J832" t="s">
        <v>275</v>
      </c>
      <c r="K832" t="s">
        <v>275</v>
      </c>
      <c r="L832" t="s">
        <v>275</v>
      </c>
      <c r="M832" t="s">
        <v>1</v>
      </c>
      <c r="N832" t="s">
        <v>1</v>
      </c>
      <c r="O832" t="s">
        <v>1</v>
      </c>
      <c r="P832" t="s">
        <v>275</v>
      </c>
      <c r="Q832" t="s">
        <v>275</v>
      </c>
      <c r="R832" t="s">
        <v>275</v>
      </c>
      <c r="S832" t="s">
        <v>275</v>
      </c>
      <c r="T832" t="s">
        <v>275</v>
      </c>
      <c r="U832" t="s">
        <v>275</v>
      </c>
      <c r="V832" t="s">
        <v>275</v>
      </c>
      <c r="W832" t="s">
        <v>10</v>
      </c>
      <c r="X832" t="s">
        <v>275</v>
      </c>
      <c r="Y832" t="s">
        <v>275</v>
      </c>
      <c r="Z832" t="s">
        <v>275</v>
      </c>
      <c r="AA832" t="s">
        <v>275</v>
      </c>
      <c r="AB832" t="s">
        <v>275</v>
      </c>
      <c r="AC832" t="s">
        <v>275</v>
      </c>
      <c r="AD832" t="s">
        <v>275</v>
      </c>
    </row>
    <row r="833" spans="1:30">
      <c r="A833">
        <v>831</v>
      </c>
      <c r="B833" t="s">
        <v>1621</v>
      </c>
      <c r="C833" t="s">
        <v>1622</v>
      </c>
      <c r="D833" t="str">
        <f>IF(VLOOKUP(C833,'Capabilities Overview'!$A$2:$A$587,1)=C833,"","Not in UCL")</f>
        <v/>
      </c>
      <c r="E833" t="s">
        <v>1</v>
      </c>
      <c r="F833" t="s">
        <v>1</v>
      </c>
      <c r="G833" t="s">
        <v>275</v>
      </c>
      <c r="H833" t="s">
        <v>275</v>
      </c>
      <c r="I833" t="s">
        <v>275</v>
      </c>
      <c r="J833" t="s">
        <v>275</v>
      </c>
      <c r="K833" t="s">
        <v>275</v>
      </c>
      <c r="L833" t="s">
        <v>275</v>
      </c>
      <c r="M833" t="s">
        <v>1</v>
      </c>
      <c r="N833" t="s">
        <v>1</v>
      </c>
      <c r="O833" t="s">
        <v>1</v>
      </c>
      <c r="P833" t="s">
        <v>275</v>
      </c>
      <c r="Q833" t="s">
        <v>275</v>
      </c>
      <c r="R833" t="s">
        <v>275</v>
      </c>
      <c r="S833" t="s">
        <v>275</v>
      </c>
      <c r="T833" t="s">
        <v>275</v>
      </c>
      <c r="U833" t="s">
        <v>275</v>
      </c>
      <c r="V833" t="s">
        <v>275</v>
      </c>
      <c r="W833" t="s">
        <v>10</v>
      </c>
      <c r="X833" t="s">
        <v>275</v>
      </c>
      <c r="Y833" t="s">
        <v>275</v>
      </c>
      <c r="Z833" t="s">
        <v>275</v>
      </c>
      <c r="AA833" t="s">
        <v>275</v>
      </c>
      <c r="AB833" t="s">
        <v>275</v>
      </c>
      <c r="AC833" t="s">
        <v>275</v>
      </c>
      <c r="AD833" t="s">
        <v>275</v>
      </c>
    </row>
    <row r="834" spans="1:30">
      <c r="A834">
        <v>832</v>
      </c>
      <c r="B834" t="s">
        <v>1623</v>
      </c>
      <c r="C834" t="s">
        <v>1624</v>
      </c>
      <c r="D834" t="str">
        <f>IF(VLOOKUP(C834,'Capabilities Overview'!$A$2:$A$587,1)=C834,"","Not in UCL")</f>
        <v>Not in UCL</v>
      </c>
      <c r="E834" t="s">
        <v>1</v>
      </c>
      <c r="F834" t="s">
        <v>1</v>
      </c>
      <c r="G834" t="s">
        <v>275</v>
      </c>
      <c r="H834" t="s">
        <v>275</v>
      </c>
      <c r="I834" t="s">
        <v>275</v>
      </c>
      <c r="J834" t="s">
        <v>275</v>
      </c>
      <c r="K834" t="s">
        <v>275</v>
      </c>
      <c r="L834" t="s">
        <v>275</v>
      </c>
      <c r="M834" t="s">
        <v>1</v>
      </c>
      <c r="N834" t="s">
        <v>1</v>
      </c>
      <c r="O834" t="s">
        <v>1</v>
      </c>
      <c r="P834" t="s">
        <v>275</v>
      </c>
      <c r="Q834" t="s">
        <v>275</v>
      </c>
      <c r="R834" t="s">
        <v>275</v>
      </c>
      <c r="S834" t="s">
        <v>275</v>
      </c>
      <c r="T834" t="s">
        <v>275</v>
      </c>
      <c r="U834" t="s">
        <v>275</v>
      </c>
      <c r="V834" t="s">
        <v>275</v>
      </c>
      <c r="W834" t="s">
        <v>10</v>
      </c>
      <c r="X834" t="s">
        <v>275</v>
      </c>
      <c r="Y834" t="s">
        <v>275</v>
      </c>
      <c r="Z834" t="s">
        <v>275</v>
      </c>
      <c r="AA834" t="s">
        <v>275</v>
      </c>
      <c r="AB834" t="s">
        <v>275</v>
      </c>
      <c r="AC834" t="s">
        <v>275</v>
      </c>
      <c r="AD834" t="s">
        <v>275</v>
      </c>
    </row>
    <row r="835" spans="1:30">
      <c r="A835">
        <v>833</v>
      </c>
      <c r="B835" t="s">
        <v>1625</v>
      </c>
      <c r="C835" t="s">
        <v>1626</v>
      </c>
      <c r="D835" t="str">
        <f>IF(VLOOKUP(C835,'Capabilities Overview'!$A$2:$A$587,1)=C835,"","Not in UCL")</f>
        <v/>
      </c>
      <c r="E835" t="s">
        <v>1</v>
      </c>
      <c r="F835" t="s">
        <v>1</v>
      </c>
      <c r="G835" t="s">
        <v>275</v>
      </c>
      <c r="H835" t="s">
        <v>275</v>
      </c>
      <c r="I835" t="s">
        <v>275</v>
      </c>
      <c r="J835" t="s">
        <v>275</v>
      </c>
      <c r="K835" t="s">
        <v>275</v>
      </c>
      <c r="L835" t="s">
        <v>275</v>
      </c>
      <c r="M835" t="s">
        <v>1</v>
      </c>
      <c r="N835" t="s">
        <v>1</v>
      </c>
      <c r="O835" t="s">
        <v>1</v>
      </c>
      <c r="P835" t="s">
        <v>275</v>
      </c>
      <c r="Q835" t="s">
        <v>275</v>
      </c>
      <c r="R835" t="s">
        <v>275</v>
      </c>
      <c r="S835" t="s">
        <v>275</v>
      </c>
      <c r="T835" t="s">
        <v>275</v>
      </c>
      <c r="U835" t="s">
        <v>275</v>
      </c>
      <c r="V835" t="s">
        <v>275</v>
      </c>
      <c r="W835" t="s">
        <v>10</v>
      </c>
      <c r="X835" t="s">
        <v>275</v>
      </c>
      <c r="Y835" t="s">
        <v>275</v>
      </c>
      <c r="Z835" t="s">
        <v>275</v>
      </c>
      <c r="AA835" t="s">
        <v>275</v>
      </c>
      <c r="AB835" t="s">
        <v>275</v>
      </c>
      <c r="AC835" t="s">
        <v>275</v>
      </c>
      <c r="AD835" t="s">
        <v>275</v>
      </c>
    </row>
    <row r="836" spans="1:30">
      <c r="A836">
        <v>834</v>
      </c>
      <c r="B836" t="s">
        <v>1627</v>
      </c>
      <c r="C836" t="s">
        <v>1628</v>
      </c>
      <c r="D836" t="str">
        <f>IF(VLOOKUP(C836,'Capabilities Overview'!$A$2:$A$587,1)=C836,"","Not in UCL")</f>
        <v>Not in UCL</v>
      </c>
      <c r="E836" t="s">
        <v>1</v>
      </c>
      <c r="F836" t="s">
        <v>1</v>
      </c>
      <c r="G836" t="s">
        <v>275</v>
      </c>
      <c r="H836" t="s">
        <v>275</v>
      </c>
      <c r="I836" t="s">
        <v>275</v>
      </c>
      <c r="J836" t="s">
        <v>275</v>
      </c>
      <c r="K836" t="s">
        <v>275</v>
      </c>
      <c r="L836" t="s">
        <v>275</v>
      </c>
      <c r="M836" t="s">
        <v>1</v>
      </c>
      <c r="N836" t="s">
        <v>1</v>
      </c>
      <c r="O836" t="s">
        <v>1</v>
      </c>
      <c r="P836" t="s">
        <v>275</v>
      </c>
      <c r="Q836" t="s">
        <v>275</v>
      </c>
      <c r="R836" t="s">
        <v>275</v>
      </c>
      <c r="S836" t="s">
        <v>275</v>
      </c>
      <c r="T836" t="s">
        <v>275</v>
      </c>
      <c r="U836" t="s">
        <v>275</v>
      </c>
      <c r="V836" t="s">
        <v>275</v>
      </c>
      <c r="W836" t="s">
        <v>10</v>
      </c>
      <c r="X836" t="s">
        <v>275</v>
      </c>
      <c r="Y836" t="s">
        <v>275</v>
      </c>
      <c r="Z836" t="s">
        <v>275</v>
      </c>
      <c r="AA836" t="s">
        <v>275</v>
      </c>
      <c r="AB836" t="s">
        <v>275</v>
      </c>
      <c r="AC836" t="s">
        <v>275</v>
      </c>
      <c r="AD836" t="s">
        <v>275</v>
      </c>
    </row>
    <row r="837" spans="1:30">
      <c r="A837">
        <v>835</v>
      </c>
      <c r="B837" t="s">
        <v>1629</v>
      </c>
      <c r="C837" t="s">
        <v>1630</v>
      </c>
      <c r="D837" t="str">
        <f>IF(VLOOKUP(C837,'Capabilities Overview'!$A$2:$A$587,1)=C837,"","Not in UCL")</f>
        <v>Not in UCL</v>
      </c>
      <c r="E837" t="s">
        <v>1</v>
      </c>
      <c r="F837" t="s">
        <v>275</v>
      </c>
      <c r="G837" t="s">
        <v>275</v>
      </c>
      <c r="H837" t="s">
        <v>275</v>
      </c>
      <c r="I837" t="s">
        <v>275</v>
      </c>
      <c r="J837" t="s">
        <v>275</v>
      </c>
      <c r="K837" t="s">
        <v>275</v>
      </c>
      <c r="L837" t="s">
        <v>275</v>
      </c>
      <c r="M837" t="s">
        <v>1</v>
      </c>
      <c r="N837" t="s">
        <v>1</v>
      </c>
      <c r="O837" t="s">
        <v>1</v>
      </c>
      <c r="P837" t="s">
        <v>275</v>
      </c>
      <c r="Q837" t="s">
        <v>1</v>
      </c>
      <c r="R837" t="s">
        <v>10</v>
      </c>
      <c r="S837" t="s">
        <v>275</v>
      </c>
      <c r="T837" t="s">
        <v>275</v>
      </c>
      <c r="U837" t="s">
        <v>275</v>
      </c>
      <c r="V837" t="s">
        <v>275</v>
      </c>
      <c r="W837" t="s">
        <v>275</v>
      </c>
      <c r="X837" t="s">
        <v>275</v>
      </c>
      <c r="Y837" t="s">
        <v>275</v>
      </c>
      <c r="Z837" t="s">
        <v>275</v>
      </c>
      <c r="AA837" t="s">
        <v>275</v>
      </c>
      <c r="AB837" t="s">
        <v>275</v>
      </c>
      <c r="AC837" t="s">
        <v>275</v>
      </c>
      <c r="AD837" t="s">
        <v>275</v>
      </c>
    </row>
    <row r="838" spans="1:30">
      <c r="A838">
        <v>836</v>
      </c>
      <c r="B838" t="s">
        <v>1631</v>
      </c>
      <c r="C838" t="s">
        <v>1632</v>
      </c>
      <c r="D838" t="str">
        <f>IF(VLOOKUP(C838,'Capabilities Overview'!$A$2:$A$587,1)=C838,"","Not in UCL")</f>
        <v>Not in UCL</v>
      </c>
      <c r="E838" t="s">
        <v>1</v>
      </c>
      <c r="F838" t="s">
        <v>275</v>
      </c>
      <c r="G838" t="s">
        <v>275</v>
      </c>
      <c r="H838" t="s">
        <v>275</v>
      </c>
      <c r="I838" t="s">
        <v>275</v>
      </c>
      <c r="J838" t="s">
        <v>275</v>
      </c>
      <c r="K838" t="s">
        <v>275</v>
      </c>
      <c r="L838" t="s">
        <v>275</v>
      </c>
      <c r="M838" t="s">
        <v>1</v>
      </c>
      <c r="N838" t="s">
        <v>1</v>
      </c>
      <c r="O838" t="s">
        <v>1</v>
      </c>
      <c r="P838" t="s">
        <v>275</v>
      </c>
      <c r="Q838" t="s">
        <v>1</v>
      </c>
      <c r="R838" t="s">
        <v>10</v>
      </c>
      <c r="S838" t="s">
        <v>275</v>
      </c>
      <c r="T838" t="s">
        <v>275</v>
      </c>
      <c r="U838" t="s">
        <v>275</v>
      </c>
      <c r="V838" t="s">
        <v>275</v>
      </c>
      <c r="W838" t="s">
        <v>275</v>
      </c>
      <c r="X838" t="s">
        <v>275</v>
      </c>
      <c r="Y838" t="s">
        <v>275</v>
      </c>
      <c r="Z838" t="s">
        <v>275</v>
      </c>
      <c r="AA838" t="s">
        <v>275</v>
      </c>
      <c r="AB838" t="s">
        <v>275</v>
      </c>
      <c r="AC838" t="s">
        <v>275</v>
      </c>
      <c r="AD838" t="s">
        <v>275</v>
      </c>
    </row>
    <row r="839" spans="1:30">
      <c r="A839">
        <v>837</v>
      </c>
      <c r="B839" t="s">
        <v>1633</v>
      </c>
      <c r="C839" t="s">
        <v>1634</v>
      </c>
      <c r="D839" t="str">
        <f>IF(VLOOKUP(C839,'Capabilities Overview'!$A$2:$A$587,1)=C839,"","Not in UCL")</f>
        <v>Not in UCL</v>
      </c>
      <c r="E839" t="s">
        <v>1</v>
      </c>
      <c r="F839" t="s">
        <v>275</v>
      </c>
      <c r="G839" t="s">
        <v>275</v>
      </c>
      <c r="H839" t="s">
        <v>275</v>
      </c>
      <c r="I839" t="s">
        <v>275</v>
      </c>
      <c r="J839" t="s">
        <v>275</v>
      </c>
      <c r="K839" t="s">
        <v>275</v>
      </c>
      <c r="L839" t="s">
        <v>275</v>
      </c>
      <c r="M839" t="s">
        <v>1</v>
      </c>
      <c r="N839" t="s">
        <v>1</v>
      </c>
      <c r="O839" t="s">
        <v>1</v>
      </c>
      <c r="P839" t="s">
        <v>275</v>
      </c>
      <c r="Q839" t="s">
        <v>1</v>
      </c>
      <c r="R839" t="s">
        <v>10</v>
      </c>
      <c r="S839" t="s">
        <v>275</v>
      </c>
      <c r="T839" t="s">
        <v>275</v>
      </c>
      <c r="U839" t="s">
        <v>275</v>
      </c>
      <c r="V839" t="s">
        <v>275</v>
      </c>
      <c r="W839" t="s">
        <v>275</v>
      </c>
      <c r="X839" t="s">
        <v>275</v>
      </c>
      <c r="Y839" t="s">
        <v>275</v>
      </c>
      <c r="Z839" t="s">
        <v>275</v>
      </c>
      <c r="AA839" t="s">
        <v>275</v>
      </c>
      <c r="AB839" t="s">
        <v>275</v>
      </c>
      <c r="AC839" t="s">
        <v>275</v>
      </c>
      <c r="AD839" t="s">
        <v>275</v>
      </c>
    </row>
    <row r="840" spans="1:30">
      <c r="A840">
        <v>838</v>
      </c>
      <c r="B840" t="s">
        <v>1635</v>
      </c>
      <c r="C840" t="s">
        <v>1636</v>
      </c>
      <c r="D840" t="str">
        <f>IF(VLOOKUP(C840,'Capabilities Overview'!$A$2:$A$587,1)=C840,"","Not in UCL")</f>
        <v>Not in UCL</v>
      </c>
      <c r="E840" t="s">
        <v>1</v>
      </c>
      <c r="F840" t="s">
        <v>275</v>
      </c>
      <c r="G840" t="s">
        <v>275</v>
      </c>
      <c r="H840" t="s">
        <v>275</v>
      </c>
      <c r="I840" t="s">
        <v>275</v>
      </c>
      <c r="J840" t="s">
        <v>275</v>
      </c>
      <c r="K840" t="s">
        <v>275</v>
      </c>
      <c r="L840" t="s">
        <v>275</v>
      </c>
      <c r="M840" t="s">
        <v>1</v>
      </c>
      <c r="N840" t="s">
        <v>1</v>
      </c>
      <c r="O840" t="s">
        <v>1</v>
      </c>
      <c r="P840" t="s">
        <v>275</v>
      </c>
      <c r="Q840" t="s">
        <v>1</v>
      </c>
      <c r="R840" t="s">
        <v>10</v>
      </c>
      <c r="S840" t="s">
        <v>275</v>
      </c>
      <c r="T840" t="s">
        <v>275</v>
      </c>
      <c r="U840" t="s">
        <v>275</v>
      </c>
      <c r="V840" t="s">
        <v>275</v>
      </c>
      <c r="W840" t="s">
        <v>275</v>
      </c>
      <c r="X840" t="s">
        <v>275</v>
      </c>
      <c r="Y840" t="s">
        <v>275</v>
      </c>
      <c r="Z840" t="s">
        <v>275</v>
      </c>
      <c r="AA840" t="s">
        <v>275</v>
      </c>
      <c r="AB840" t="s">
        <v>275</v>
      </c>
      <c r="AC840" t="s">
        <v>275</v>
      </c>
      <c r="AD840" t="s">
        <v>275</v>
      </c>
    </row>
    <row r="841" spans="1:30">
      <c r="A841">
        <v>839</v>
      </c>
      <c r="B841" t="s">
        <v>1637</v>
      </c>
      <c r="C841" t="s">
        <v>1638</v>
      </c>
      <c r="D841" t="str">
        <f>IF(VLOOKUP(C841,'Capabilities Overview'!$A$2:$A$587,1)=C841,"","Not in UCL")</f>
        <v>Not in UCL</v>
      </c>
      <c r="E841" t="s">
        <v>1</v>
      </c>
      <c r="F841" t="s">
        <v>1</v>
      </c>
      <c r="G841" t="s">
        <v>275</v>
      </c>
      <c r="H841" t="s">
        <v>275</v>
      </c>
      <c r="I841" t="s">
        <v>275</v>
      </c>
      <c r="J841" t="s">
        <v>275</v>
      </c>
      <c r="K841" t="s">
        <v>275</v>
      </c>
      <c r="L841" t="s">
        <v>275</v>
      </c>
      <c r="M841" t="s">
        <v>1</v>
      </c>
      <c r="N841" t="s">
        <v>1</v>
      </c>
      <c r="O841" t="s">
        <v>1</v>
      </c>
      <c r="P841" t="s">
        <v>275</v>
      </c>
      <c r="Q841" t="s">
        <v>275</v>
      </c>
      <c r="R841" t="s">
        <v>275</v>
      </c>
      <c r="S841" t="s">
        <v>275</v>
      </c>
      <c r="T841" t="s">
        <v>275</v>
      </c>
      <c r="U841" t="s">
        <v>275</v>
      </c>
      <c r="V841" t="s">
        <v>275</v>
      </c>
      <c r="W841" t="s">
        <v>10</v>
      </c>
      <c r="X841" t="s">
        <v>275</v>
      </c>
      <c r="Y841" t="s">
        <v>275</v>
      </c>
      <c r="Z841" t="s">
        <v>275</v>
      </c>
      <c r="AA841" t="s">
        <v>275</v>
      </c>
      <c r="AB841" t="s">
        <v>275</v>
      </c>
      <c r="AC841" t="s">
        <v>275</v>
      </c>
      <c r="AD841" t="s">
        <v>275</v>
      </c>
    </row>
    <row r="842" spans="1:30">
      <c r="A842">
        <v>840</v>
      </c>
      <c r="B842" t="s">
        <v>1639</v>
      </c>
      <c r="C842" t="s">
        <v>1640</v>
      </c>
      <c r="D842" t="str">
        <f>IF(VLOOKUP(C842,'Capabilities Overview'!$A$2:$A$587,1)=C842,"","Not in UCL")</f>
        <v/>
      </c>
      <c r="E842" t="s">
        <v>1</v>
      </c>
      <c r="F842" t="s">
        <v>1</v>
      </c>
      <c r="G842" t="s">
        <v>275</v>
      </c>
      <c r="H842" t="s">
        <v>275</v>
      </c>
      <c r="I842" t="s">
        <v>275</v>
      </c>
      <c r="J842" t="s">
        <v>275</v>
      </c>
      <c r="K842" t="s">
        <v>275</v>
      </c>
      <c r="L842" t="s">
        <v>275</v>
      </c>
      <c r="M842" t="s">
        <v>1</v>
      </c>
      <c r="N842" t="s">
        <v>1</v>
      </c>
      <c r="O842" t="s">
        <v>1</v>
      </c>
      <c r="P842" t="s">
        <v>275</v>
      </c>
      <c r="Q842" t="s">
        <v>275</v>
      </c>
      <c r="R842" t="s">
        <v>275</v>
      </c>
      <c r="S842" t="s">
        <v>275</v>
      </c>
      <c r="T842" t="s">
        <v>275</v>
      </c>
      <c r="U842" t="s">
        <v>275</v>
      </c>
      <c r="V842" t="s">
        <v>275</v>
      </c>
      <c r="W842" t="s">
        <v>10</v>
      </c>
      <c r="X842" t="s">
        <v>275</v>
      </c>
      <c r="Y842" t="s">
        <v>275</v>
      </c>
      <c r="Z842" t="s">
        <v>275</v>
      </c>
      <c r="AA842" t="s">
        <v>275</v>
      </c>
      <c r="AB842" t="s">
        <v>275</v>
      </c>
      <c r="AC842" t="s">
        <v>275</v>
      </c>
      <c r="AD842" t="s">
        <v>275</v>
      </c>
    </row>
    <row r="843" spans="1:30">
      <c r="A843">
        <v>841</v>
      </c>
      <c r="B843" t="s">
        <v>1641</v>
      </c>
      <c r="C843" t="s">
        <v>1642</v>
      </c>
      <c r="D843" t="str">
        <f>IF(VLOOKUP(C843,'Capabilities Overview'!$A$2:$A$587,1)=C843,"","Not in UCL")</f>
        <v/>
      </c>
      <c r="E843" t="s">
        <v>1</v>
      </c>
      <c r="F843" t="s">
        <v>1</v>
      </c>
      <c r="G843" t="s">
        <v>275</v>
      </c>
      <c r="H843" t="s">
        <v>275</v>
      </c>
      <c r="I843" t="s">
        <v>275</v>
      </c>
      <c r="J843" t="s">
        <v>275</v>
      </c>
      <c r="K843" t="s">
        <v>275</v>
      </c>
      <c r="L843" t="s">
        <v>275</v>
      </c>
      <c r="M843" t="s">
        <v>1</v>
      </c>
      <c r="N843" t="s">
        <v>1</v>
      </c>
      <c r="O843" t="s">
        <v>1</v>
      </c>
      <c r="P843" t="s">
        <v>275</v>
      </c>
      <c r="Q843" t="s">
        <v>275</v>
      </c>
      <c r="R843" t="s">
        <v>275</v>
      </c>
      <c r="S843" t="s">
        <v>275</v>
      </c>
      <c r="T843" t="s">
        <v>275</v>
      </c>
      <c r="U843" t="s">
        <v>275</v>
      </c>
      <c r="V843" t="s">
        <v>275</v>
      </c>
      <c r="W843" t="s">
        <v>10</v>
      </c>
      <c r="X843" t="s">
        <v>275</v>
      </c>
      <c r="Y843" t="s">
        <v>275</v>
      </c>
      <c r="Z843" t="s">
        <v>275</v>
      </c>
      <c r="AA843" t="s">
        <v>275</v>
      </c>
      <c r="AB843" t="s">
        <v>275</v>
      </c>
      <c r="AC843" t="s">
        <v>275</v>
      </c>
      <c r="AD843" t="s">
        <v>275</v>
      </c>
    </row>
    <row r="844" spans="1:30">
      <c r="A844">
        <v>842</v>
      </c>
      <c r="B844" t="s">
        <v>1643</v>
      </c>
      <c r="C844" t="s">
        <v>1644</v>
      </c>
      <c r="D844" t="str">
        <f>IF(VLOOKUP(C844,'Capabilities Overview'!$A$2:$A$587,1)=C844,"","Not in UCL")</f>
        <v/>
      </c>
      <c r="E844" t="s">
        <v>1</v>
      </c>
      <c r="F844" t="s">
        <v>1</v>
      </c>
      <c r="G844" t="s">
        <v>275</v>
      </c>
      <c r="H844" t="s">
        <v>275</v>
      </c>
      <c r="I844" t="s">
        <v>275</v>
      </c>
      <c r="J844" t="s">
        <v>275</v>
      </c>
      <c r="K844" t="s">
        <v>275</v>
      </c>
      <c r="L844" t="s">
        <v>275</v>
      </c>
      <c r="M844" t="s">
        <v>1</v>
      </c>
      <c r="N844" t="s">
        <v>1</v>
      </c>
      <c r="O844" t="s">
        <v>1</v>
      </c>
      <c r="P844" t="s">
        <v>275</v>
      </c>
      <c r="Q844" t="s">
        <v>275</v>
      </c>
      <c r="R844" t="s">
        <v>275</v>
      </c>
      <c r="S844" t="s">
        <v>275</v>
      </c>
      <c r="T844" t="s">
        <v>275</v>
      </c>
      <c r="U844" t="s">
        <v>275</v>
      </c>
      <c r="V844" t="s">
        <v>275</v>
      </c>
      <c r="W844" t="s">
        <v>10</v>
      </c>
      <c r="X844" t="s">
        <v>275</v>
      </c>
      <c r="Y844" t="s">
        <v>275</v>
      </c>
      <c r="Z844" t="s">
        <v>275</v>
      </c>
      <c r="AA844" t="s">
        <v>275</v>
      </c>
      <c r="AB844" t="s">
        <v>275</v>
      </c>
      <c r="AC844" t="s">
        <v>275</v>
      </c>
      <c r="AD844" t="s">
        <v>275</v>
      </c>
    </row>
    <row r="845" spans="1:30">
      <c r="A845">
        <v>843</v>
      </c>
      <c r="B845" t="s">
        <v>1645</v>
      </c>
      <c r="C845" t="s">
        <v>1646</v>
      </c>
      <c r="D845" t="str">
        <f>IF(VLOOKUP(C845,'Capabilities Overview'!$A$2:$A$587,1)=C845,"","Not in UCL")</f>
        <v/>
      </c>
      <c r="E845" t="s">
        <v>1</v>
      </c>
      <c r="F845" t="s">
        <v>1</v>
      </c>
      <c r="G845" t="s">
        <v>275</v>
      </c>
      <c r="H845" t="s">
        <v>275</v>
      </c>
      <c r="I845" t="s">
        <v>275</v>
      </c>
      <c r="J845" t="s">
        <v>275</v>
      </c>
      <c r="K845" t="s">
        <v>275</v>
      </c>
      <c r="L845" t="s">
        <v>275</v>
      </c>
      <c r="M845" t="s">
        <v>1</v>
      </c>
      <c r="N845" t="s">
        <v>1</v>
      </c>
      <c r="O845" t="s">
        <v>1</v>
      </c>
      <c r="P845" t="s">
        <v>275</v>
      </c>
      <c r="Q845" t="s">
        <v>275</v>
      </c>
      <c r="R845" t="s">
        <v>275</v>
      </c>
      <c r="S845" t="s">
        <v>275</v>
      </c>
      <c r="T845" t="s">
        <v>275</v>
      </c>
      <c r="U845" t="s">
        <v>275</v>
      </c>
      <c r="V845" t="s">
        <v>275</v>
      </c>
      <c r="W845" t="s">
        <v>10</v>
      </c>
      <c r="X845" t="s">
        <v>275</v>
      </c>
      <c r="Y845" t="s">
        <v>275</v>
      </c>
      <c r="Z845" t="s">
        <v>275</v>
      </c>
      <c r="AA845" t="s">
        <v>275</v>
      </c>
      <c r="AB845" t="s">
        <v>275</v>
      </c>
      <c r="AC845" t="s">
        <v>275</v>
      </c>
      <c r="AD845" t="s">
        <v>275</v>
      </c>
    </row>
    <row r="846" spans="1:30">
      <c r="A846">
        <v>844</v>
      </c>
      <c r="B846" t="s">
        <v>243</v>
      </c>
      <c r="C846" t="s">
        <v>244</v>
      </c>
      <c r="D846" t="str">
        <f>IF(VLOOKUP(C846,'Capabilities Overview'!$A$2:$A$587,1)=C846,"","Not in UCL")</f>
        <v/>
      </c>
      <c r="E846" t="s">
        <v>1</v>
      </c>
      <c r="F846" t="s">
        <v>1</v>
      </c>
      <c r="G846" t="s">
        <v>275</v>
      </c>
      <c r="H846" t="s">
        <v>275</v>
      </c>
      <c r="I846" t="s">
        <v>1</v>
      </c>
      <c r="J846" t="s">
        <v>1</v>
      </c>
      <c r="K846" t="s">
        <v>1</v>
      </c>
      <c r="L846" t="s">
        <v>1</v>
      </c>
      <c r="M846" t="s">
        <v>1</v>
      </c>
      <c r="N846" t="s">
        <v>1</v>
      </c>
      <c r="O846" t="s">
        <v>1</v>
      </c>
      <c r="P846" t="s">
        <v>275</v>
      </c>
      <c r="Q846" t="s">
        <v>1</v>
      </c>
      <c r="R846" t="s">
        <v>1</v>
      </c>
      <c r="S846" t="s">
        <v>1</v>
      </c>
      <c r="T846" t="s">
        <v>1</v>
      </c>
      <c r="U846" t="s">
        <v>275</v>
      </c>
      <c r="V846" t="s">
        <v>275</v>
      </c>
      <c r="W846" t="s">
        <v>10</v>
      </c>
      <c r="X846" t="s">
        <v>275</v>
      </c>
      <c r="Y846" t="s">
        <v>275</v>
      </c>
      <c r="Z846" t="s">
        <v>275</v>
      </c>
      <c r="AA846" t="s">
        <v>275</v>
      </c>
      <c r="AB846" t="s">
        <v>275</v>
      </c>
      <c r="AC846" t="s">
        <v>275</v>
      </c>
      <c r="AD846" t="s">
        <v>1</v>
      </c>
    </row>
    <row r="847" spans="1:30">
      <c r="A847">
        <v>845</v>
      </c>
      <c r="B847" t="s">
        <v>1647</v>
      </c>
      <c r="C847" t="s">
        <v>1648</v>
      </c>
      <c r="D847" t="str">
        <f>IF(VLOOKUP(C847,'Capabilities Overview'!$A$2:$A$587,1)=C847,"","Not in UCL")</f>
        <v/>
      </c>
      <c r="E847" t="s">
        <v>1</v>
      </c>
      <c r="F847" t="s">
        <v>1</v>
      </c>
      <c r="G847" t="s">
        <v>275</v>
      </c>
      <c r="H847" t="s">
        <v>275</v>
      </c>
      <c r="I847" t="s">
        <v>275</v>
      </c>
      <c r="J847" t="s">
        <v>275</v>
      </c>
      <c r="K847" t="s">
        <v>275</v>
      </c>
      <c r="L847" t="s">
        <v>275</v>
      </c>
      <c r="M847" t="s">
        <v>1</v>
      </c>
      <c r="N847" t="s">
        <v>1</v>
      </c>
      <c r="O847" t="s">
        <v>1</v>
      </c>
      <c r="P847" t="s">
        <v>275</v>
      </c>
      <c r="Q847" t="s">
        <v>275</v>
      </c>
      <c r="R847" t="s">
        <v>275</v>
      </c>
      <c r="S847" t="s">
        <v>275</v>
      </c>
      <c r="T847" t="s">
        <v>275</v>
      </c>
      <c r="U847" t="s">
        <v>275</v>
      </c>
      <c r="V847" t="s">
        <v>275</v>
      </c>
      <c r="W847" t="s">
        <v>10</v>
      </c>
      <c r="X847" t="s">
        <v>275</v>
      </c>
      <c r="Y847" t="s">
        <v>275</v>
      </c>
      <c r="Z847" t="s">
        <v>275</v>
      </c>
      <c r="AA847" t="s">
        <v>275</v>
      </c>
      <c r="AB847" t="s">
        <v>275</v>
      </c>
      <c r="AC847" t="s">
        <v>275</v>
      </c>
      <c r="AD847" t="s">
        <v>275</v>
      </c>
    </row>
    <row r="848" spans="1:30">
      <c r="A848">
        <v>846</v>
      </c>
      <c r="B848" t="s">
        <v>1649</v>
      </c>
      <c r="C848" t="s">
        <v>1650</v>
      </c>
      <c r="D848" t="str">
        <f>IF(VLOOKUP(C848,'Capabilities Overview'!$A$2:$A$587,1)=C848,"","Not in UCL")</f>
        <v>Not in UCL</v>
      </c>
      <c r="E848" t="s">
        <v>1</v>
      </c>
      <c r="F848" t="s">
        <v>275</v>
      </c>
      <c r="G848" t="s">
        <v>275</v>
      </c>
      <c r="H848" t="s">
        <v>275</v>
      </c>
      <c r="I848" t="s">
        <v>275</v>
      </c>
      <c r="J848" t="s">
        <v>275</v>
      </c>
      <c r="K848" t="s">
        <v>275</v>
      </c>
      <c r="L848" t="s">
        <v>275</v>
      </c>
      <c r="M848" t="s">
        <v>1</v>
      </c>
      <c r="N848" t="s">
        <v>1</v>
      </c>
      <c r="O848" t="s">
        <v>1</v>
      </c>
      <c r="P848" t="s">
        <v>275</v>
      </c>
      <c r="Q848" t="s">
        <v>275</v>
      </c>
      <c r="R848" t="s">
        <v>275</v>
      </c>
      <c r="S848" t="s">
        <v>275</v>
      </c>
      <c r="T848" t="s">
        <v>275</v>
      </c>
      <c r="U848" t="s">
        <v>275</v>
      </c>
      <c r="V848" t="s">
        <v>275</v>
      </c>
      <c r="W848" t="s">
        <v>275</v>
      </c>
      <c r="X848" t="s">
        <v>275</v>
      </c>
      <c r="Y848" t="s">
        <v>275</v>
      </c>
      <c r="Z848" t="s">
        <v>275</v>
      </c>
      <c r="AA848" t="s">
        <v>275</v>
      </c>
      <c r="AB848" t="s">
        <v>275</v>
      </c>
      <c r="AC848" t="s">
        <v>275</v>
      </c>
      <c r="AD848" t="s">
        <v>275</v>
      </c>
    </row>
    <row r="849" spans="1:30">
      <c r="A849">
        <v>847</v>
      </c>
      <c r="B849" t="s">
        <v>1651</v>
      </c>
      <c r="C849" t="s">
        <v>1652</v>
      </c>
      <c r="D849" t="str">
        <f>IF(VLOOKUP(C849,'Capabilities Overview'!$A$2:$A$587,1)=C849,"","Not in UCL")</f>
        <v/>
      </c>
      <c r="E849" t="s">
        <v>1</v>
      </c>
      <c r="F849" t="s">
        <v>1</v>
      </c>
      <c r="G849" t="s">
        <v>275</v>
      </c>
      <c r="H849" t="s">
        <v>275</v>
      </c>
      <c r="I849" t="s">
        <v>275</v>
      </c>
      <c r="J849" t="s">
        <v>275</v>
      </c>
      <c r="K849" t="s">
        <v>275</v>
      </c>
      <c r="L849" t="s">
        <v>275</v>
      </c>
      <c r="M849" t="s">
        <v>1</v>
      </c>
      <c r="N849" t="s">
        <v>1</v>
      </c>
      <c r="O849" t="s">
        <v>1</v>
      </c>
      <c r="P849" t="s">
        <v>275</v>
      </c>
      <c r="Q849" t="s">
        <v>275</v>
      </c>
      <c r="R849" t="s">
        <v>275</v>
      </c>
      <c r="S849" t="s">
        <v>275</v>
      </c>
      <c r="T849" t="s">
        <v>275</v>
      </c>
      <c r="U849" t="s">
        <v>275</v>
      </c>
      <c r="V849" t="s">
        <v>275</v>
      </c>
      <c r="W849" t="s">
        <v>10</v>
      </c>
      <c r="X849" t="s">
        <v>275</v>
      </c>
      <c r="Y849" t="s">
        <v>275</v>
      </c>
      <c r="Z849" t="s">
        <v>275</v>
      </c>
      <c r="AA849" t="s">
        <v>275</v>
      </c>
      <c r="AB849" t="s">
        <v>275</v>
      </c>
      <c r="AC849" t="s">
        <v>275</v>
      </c>
      <c r="AD849" t="s">
        <v>275</v>
      </c>
    </row>
    <row r="850" spans="1:30">
      <c r="A850">
        <v>848</v>
      </c>
      <c r="B850" t="s">
        <v>1653</v>
      </c>
      <c r="C850" t="s">
        <v>1654</v>
      </c>
      <c r="D850" t="str">
        <f>IF(VLOOKUP(C850,'Capabilities Overview'!$A$2:$A$587,1)=C850,"","Not in UCL")</f>
        <v>Not in UCL</v>
      </c>
      <c r="E850" t="s">
        <v>1</v>
      </c>
      <c r="F850" t="s">
        <v>1</v>
      </c>
      <c r="G850" t="s">
        <v>275</v>
      </c>
      <c r="H850" t="s">
        <v>275</v>
      </c>
      <c r="I850" t="s">
        <v>275</v>
      </c>
      <c r="J850" t="s">
        <v>275</v>
      </c>
      <c r="K850" t="s">
        <v>275</v>
      </c>
      <c r="L850" t="s">
        <v>275</v>
      </c>
      <c r="M850" t="s">
        <v>1</v>
      </c>
      <c r="N850" t="s">
        <v>1</v>
      </c>
      <c r="O850" t="s">
        <v>1</v>
      </c>
      <c r="P850" t="s">
        <v>275</v>
      </c>
      <c r="Q850" t="s">
        <v>275</v>
      </c>
      <c r="R850" t="s">
        <v>275</v>
      </c>
      <c r="S850" t="s">
        <v>275</v>
      </c>
      <c r="T850" t="s">
        <v>275</v>
      </c>
      <c r="U850" t="s">
        <v>275</v>
      </c>
      <c r="V850" t="s">
        <v>275</v>
      </c>
      <c r="W850" t="s">
        <v>10</v>
      </c>
      <c r="X850" t="s">
        <v>275</v>
      </c>
      <c r="Y850" t="s">
        <v>275</v>
      </c>
      <c r="Z850" t="s">
        <v>275</v>
      </c>
      <c r="AA850" t="s">
        <v>275</v>
      </c>
      <c r="AB850" t="s">
        <v>275</v>
      </c>
      <c r="AC850" t="s">
        <v>275</v>
      </c>
      <c r="AD850" t="s">
        <v>275</v>
      </c>
    </row>
    <row r="851" spans="1:30">
      <c r="A851">
        <v>849</v>
      </c>
      <c r="B851" t="s">
        <v>245</v>
      </c>
      <c r="C851" t="s">
        <v>246</v>
      </c>
      <c r="D851" t="str">
        <f>IF(VLOOKUP(C851,'Capabilities Overview'!$A$2:$A$587,1)=C851,"","Not in UCL")</f>
        <v>Not in UCL</v>
      </c>
      <c r="E851" t="s">
        <v>1</v>
      </c>
      <c r="F851" t="s">
        <v>275</v>
      </c>
      <c r="G851" t="s">
        <v>275</v>
      </c>
      <c r="H851" t="s">
        <v>275</v>
      </c>
      <c r="I851" t="s">
        <v>41</v>
      </c>
      <c r="J851" t="s">
        <v>41</v>
      </c>
      <c r="K851" t="s">
        <v>41</v>
      </c>
      <c r="L851" t="s">
        <v>275</v>
      </c>
      <c r="M851" t="s">
        <v>275</v>
      </c>
      <c r="N851" t="s">
        <v>275</v>
      </c>
      <c r="O851" t="s">
        <v>275</v>
      </c>
      <c r="P851" t="s">
        <v>275</v>
      </c>
      <c r="Q851" t="s">
        <v>275</v>
      </c>
      <c r="R851" t="s">
        <v>275</v>
      </c>
      <c r="S851" t="s">
        <v>275</v>
      </c>
      <c r="T851" t="s">
        <v>1</v>
      </c>
      <c r="U851" t="s">
        <v>275</v>
      </c>
      <c r="V851" t="s">
        <v>275</v>
      </c>
      <c r="W851" t="s">
        <v>10</v>
      </c>
      <c r="X851" t="s">
        <v>275</v>
      </c>
      <c r="Y851" t="s">
        <v>275</v>
      </c>
      <c r="Z851" t="s">
        <v>275</v>
      </c>
      <c r="AA851" t="s">
        <v>275</v>
      </c>
      <c r="AB851" t="s">
        <v>275</v>
      </c>
      <c r="AC851" t="s">
        <v>275</v>
      </c>
      <c r="AD851" t="s">
        <v>1</v>
      </c>
    </row>
    <row r="852" spans="1:30">
      <c r="A852">
        <v>850</v>
      </c>
      <c r="B852" t="s">
        <v>1655</v>
      </c>
      <c r="C852" t="s">
        <v>1656</v>
      </c>
      <c r="D852" t="str">
        <f>IF(VLOOKUP(C852,'Capabilities Overview'!$A$2:$A$587,1)=C852,"","Not in UCL")</f>
        <v/>
      </c>
      <c r="E852" t="s">
        <v>1</v>
      </c>
      <c r="F852" t="s">
        <v>1</v>
      </c>
      <c r="G852" t="s">
        <v>275</v>
      </c>
      <c r="H852" t="s">
        <v>275</v>
      </c>
      <c r="I852" t="s">
        <v>275</v>
      </c>
      <c r="J852" t="s">
        <v>275</v>
      </c>
      <c r="K852" t="s">
        <v>275</v>
      </c>
      <c r="L852" t="s">
        <v>275</v>
      </c>
      <c r="M852" t="s">
        <v>1</v>
      </c>
      <c r="N852" t="s">
        <v>1</v>
      </c>
      <c r="O852" t="s">
        <v>1</v>
      </c>
      <c r="P852" t="s">
        <v>275</v>
      </c>
      <c r="Q852" t="s">
        <v>275</v>
      </c>
      <c r="R852" t="s">
        <v>275</v>
      </c>
      <c r="S852" t="s">
        <v>275</v>
      </c>
      <c r="T852" t="s">
        <v>275</v>
      </c>
      <c r="U852" t="s">
        <v>275</v>
      </c>
      <c r="V852" t="s">
        <v>275</v>
      </c>
      <c r="W852" t="s">
        <v>10</v>
      </c>
      <c r="X852" t="s">
        <v>275</v>
      </c>
      <c r="Y852" t="s">
        <v>275</v>
      </c>
      <c r="Z852" t="s">
        <v>275</v>
      </c>
      <c r="AA852" t="s">
        <v>275</v>
      </c>
      <c r="AB852" t="s">
        <v>275</v>
      </c>
      <c r="AC852" t="s">
        <v>275</v>
      </c>
      <c r="AD852" t="s">
        <v>275</v>
      </c>
    </row>
    <row r="853" spans="1:30">
      <c r="A853">
        <v>851</v>
      </c>
      <c r="B853" t="s">
        <v>1657</v>
      </c>
      <c r="C853" t="s">
        <v>1658</v>
      </c>
      <c r="D853" t="str">
        <f>IF(VLOOKUP(C853,'Capabilities Overview'!$A$2:$A$587,1)=C853,"","Not in UCL")</f>
        <v>Not in UCL</v>
      </c>
      <c r="E853" t="s">
        <v>1</v>
      </c>
      <c r="F853" t="s">
        <v>1</v>
      </c>
      <c r="G853" t="s">
        <v>275</v>
      </c>
      <c r="H853" t="s">
        <v>275</v>
      </c>
      <c r="I853" t="s">
        <v>275</v>
      </c>
      <c r="J853" t="s">
        <v>275</v>
      </c>
      <c r="K853" t="s">
        <v>275</v>
      </c>
      <c r="L853" t="s">
        <v>275</v>
      </c>
      <c r="M853" t="s">
        <v>1</v>
      </c>
      <c r="N853" t="s">
        <v>1</v>
      </c>
      <c r="O853" t="s">
        <v>1</v>
      </c>
      <c r="P853" t="s">
        <v>275</v>
      </c>
      <c r="Q853" t="s">
        <v>275</v>
      </c>
      <c r="R853" t="s">
        <v>275</v>
      </c>
      <c r="S853" t="s">
        <v>275</v>
      </c>
      <c r="T853" t="s">
        <v>275</v>
      </c>
      <c r="U853" t="s">
        <v>275</v>
      </c>
      <c r="V853" t="s">
        <v>275</v>
      </c>
      <c r="W853" t="s">
        <v>10</v>
      </c>
      <c r="X853" t="s">
        <v>275</v>
      </c>
      <c r="Y853" t="s">
        <v>275</v>
      </c>
      <c r="Z853" t="s">
        <v>275</v>
      </c>
      <c r="AA853" t="s">
        <v>275</v>
      </c>
      <c r="AB853" t="s">
        <v>275</v>
      </c>
      <c r="AC853" t="s">
        <v>275</v>
      </c>
      <c r="AD853" t="s">
        <v>275</v>
      </c>
    </row>
    <row r="854" spans="1:30">
      <c r="A854">
        <v>852</v>
      </c>
      <c r="B854" t="s">
        <v>1659</v>
      </c>
      <c r="C854" t="s">
        <v>1660</v>
      </c>
      <c r="D854" t="str">
        <f>IF(VLOOKUP(C854,'Capabilities Overview'!$A$2:$A$587,1)=C854,"","Not in UCL")</f>
        <v/>
      </c>
      <c r="E854" t="s">
        <v>1</v>
      </c>
      <c r="F854" t="s">
        <v>1</v>
      </c>
      <c r="G854" t="s">
        <v>275</v>
      </c>
      <c r="H854" t="s">
        <v>275</v>
      </c>
      <c r="I854" t="s">
        <v>275</v>
      </c>
      <c r="J854" t="s">
        <v>275</v>
      </c>
      <c r="K854" t="s">
        <v>275</v>
      </c>
      <c r="L854" t="s">
        <v>275</v>
      </c>
      <c r="M854" t="s">
        <v>1</v>
      </c>
      <c r="N854" t="s">
        <v>1</v>
      </c>
      <c r="O854" t="s">
        <v>1</v>
      </c>
      <c r="P854" t="s">
        <v>275</v>
      </c>
      <c r="Q854" t="s">
        <v>275</v>
      </c>
      <c r="R854" t="s">
        <v>275</v>
      </c>
      <c r="S854" t="s">
        <v>275</v>
      </c>
      <c r="T854" t="s">
        <v>275</v>
      </c>
      <c r="U854" t="s">
        <v>275</v>
      </c>
      <c r="V854" t="s">
        <v>275</v>
      </c>
      <c r="W854" t="s">
        <v>10</v>
      </c>
      <c r="X854" t="s">
        <v>275</v>
      </c>
      <c r="Y854" t="s">
        <v>275</v>
      </c>
      <c r="Z854" t="s">
        <v>275</v>
      </c>
      <c r="AA854" t="s">
        <v>275</v>
      </c>
      <c r="AB854" t="s">
        <v>275</v>
      </c>
      <c r="AC854" t="s">
        <v>275</v>
      </c>
      <c r="AD854" t="s">
        <v>275</v>
      </c>
    </row>
    <row r="855" spans="1:30">
      <c r="A855">
        <v>853</v>
      </c>
      <c r="B855" t="s">
        <v>1661</v>
      </c>
      <c r="C855" t="s">
        <v>1662</v>
      </c>
      <c r="D855" t="str">
        <f>IF(VLOOKUP(C855,'Capabilities Overview'!$A$2:$A$587,1)=C855,"","Not in UCL")</f>
        <v/>
      </c>
      <c r="E855" t="s">
        <v>1</v>
      </c>
      <c r="F855" t="s">
        <v>1</v>
      </c>
      <c r="G855" t="s">
        <v>275</v>
      </c>
      <c r="H855" t="s">
        <v>275</v>
      </c>
      <c r="I855" t="s">
        <v>275</v>
      </c>
      <c r="J855" t="s">
        <v>275</v>
      </c>
      <c r="K855" t="s">
        <v>275</v>
      </c>
      <c r="L855" t="s">
        <v>275</v>
      </c>
      <c r="M855" t="s">
        <v>1</v>
      </c>
      <c r="N855" t="s">
        <v>1</v>
      </c>
      <c r="O855" t="s">
        <v>1</v>
      </c>
      <c r="P855" t="s">
        <v>275</v>
      </c>
      <c r="Q855" t="s">
        <v>275</v>
      </c>
      <c r="R855" t="s">
        <v>275</v>
      </c>
      <c r="S855" t="s">
        <v>275</v>
      </c>
      <c r="T855" t="s">
        <v>275</v>
      </c>
      <c r="U855" t="s">
        <v>275</v>
      </c>
      <c r="V855" t="s">
        <v>275</v>
      </c>
      <c r="W855" t="s">
        <v>10</v>
      </c>
      <c r="X855" t="s">
        <v>275</v>
      </c>
      <c r="Y855" t="s">
        <v>275</v>
      </c>
      <c r="Z855" t="s">
        <v>275</v>
      </c>
      <c r="AA855" t="s">
        <v>275</v>
      </c>
      <c r="AB855" t="s">
        <v>275</v>
      </c>
      <c r="AC855" t="s">
        <v>275</v>
      </c>
      <c r="AD855" t="s">
        <v>275</v>
      </c>
    </row>
    <row r="856" spans="1:30">
      <c r="A856">
        <v>854</v>
      </c>
      <c r="B856" t="s">
        <v>1663</v>
      </c>
      <c r="C856" t="s">
        <v>1664</v>
      </c>
      <c r="D856" t="str">
        <f>IF(VLOOKUP(C856,'Capabilities Overview'!$A$2:$A$587,1)=C856,"","Not in UCL")</f>
        <v/>
      </c>
      <c r="E856" t="s">
        <v>1</v>
      </c>
      <c r="F856" t="s">
        <v>1</v>
      </c>
      <c r="G856" t="s">
        <v>275</v>
      </c>
      <c r="H856" t="s">
        <v>275</v>
      </c>
      <c r="I856" t="s">
        <v>275</v>
      </c>
      <c r="J856" t="s">
        <v>275</v>
      </c>
      <c r="K856" t="s">
        <v>275</v>
      </c>
      <c r="L856" t="s">
        <v>275</v>
      </c>
      <c r="M856" t="s">
        <v>1</v>
      </c>
      <c r="N856" t="s">
        <v>1</v>
      </c>
      <c r="O856" t="s">
        <v>1</v>
      </c>
      <c r="P856" t="s">
        <v>275</v>
      </c>
      <c r="Q856" t="s">
        <v>275</v>
      </c>
      <c r="R856" t="s">
        <v>275</v>
      </c>
      <c r="S856" t="s">
        <v>275</v>
      </c>
      <c r="T856" t="s">
        <v>275</v>
      </c>
      <c r="U856" t="s">
        <v>275</v>
      </c>
      <c r="V856" t="s">
        <v>275</v>
      </c>
      <c r="W856" t="s">
        <v>10</v>
      </c>
      <c r="X856" t="s">
        <v>275</v>
      </c>
      <c r="Y856" t="s">
        <v>275</v>
      </c>
      <c r="Z856" t="s">
        <v>275</v>
      </c>
      <c r="AA856" t="s">
        <v>275</v>
      </c>
      <c r="AB856" t="s">
        <v>275</v>
      </c>
      <c r="AC856" t="s">
        <v>275</v>
      </c>
      <c r="AD856" t="s">
        <v>275</v>
      </c>
    </row>
    <row r="857" spans="1:30">
      <c r="A857">
        <v>855</v>
      </c>
      <c r="B857" t="s">
        <v>1665</v>
      </c>
      <c r="C857" t="s">
        <v>1666</v>
      </c>
      <c r="D857" t="str">
        <f>IF(VLOOKUP(C857,'Capabilities Overview'!$A$2:$A$587,1)=C857,"","Not in UCL")</f>
        <v/>
      </c>
      <c r="E857" t="s">
        <v>1</v>
      </c>
      <c r="F857" t="s">
        <v>275</v>
      </c>
      <c r="G857" t="s">
        <v>275</v>
      </c>
      <c r="H857" t="s">
        <v>275</v>
      </c>
      <c r="I857" t="s">
        <v>275</v>
      </c>
      <c r="J857" t="s">
        <v>275</v>
      </c>
      <c r="K857" t="s">
        <v>275</v>
      </c>
      <c r="L857" t="s">
        <v>275</v>
      </c>
      <c r="M857" t="s">
        <v>275</v>
      </c>
      <c r="N857" t="s">
        <v>275</v>
      </c>
      <c r="O857" t="s">
        <v>275</v>
      </c>
      <c r="P857" t="s">
        <v>275</v>
      </c>
      <c r="Q857" t="s">
        <v>275</v>
      </c>
      <c r="R857" t="s">
        <v>275</v>
      </c>
      <c r="S857" t="s">
        <v>275</v>
      </c>
      <c r="T857" t="s">
        <v>275</v>
      </c>
      <c r="U857" t="s">
        <v>275</v>
      </c>
      <c r="V857" t="s">
        <v>275</v>
      </c>
      <c r="W857" t="s">
        <v>10</v>
      </c>
      <c r="X857" t="s">
        <v>275</v>
      </c>
      <c r="Y857" t="s">
        <v>275</v>
      </c>
      <c r="Z857" t="s">
        <v>275</v>
      </c>
      <c r="AA857" t="s">
        <v>275</v>
      </c>
      <c r="AB857" t="s">
        <v>275</v>
      </c>
      <c r="AC857" t="s">
        <v>275</v>
      </c>
      <c r="AD857" t="s">
        <v>275</v>
      </c>
    </row>
    <row r="858" spans="1:30">
      <c r="A858">
        <v>856</v>
      </c>
      <c r="B858" t="s">
        <v>1667</v>
      </c>
      <c r="C858" t="s">
        <v>1668</v>
      </c>
      <c r="D858" t="str">
        <f>IF(VLOOKUP(C858,'Capabilities Overview'!$A$2:$A$587,1)=C858,"","Not in UCL")</f>
        <v/>
      </c>
      <c r="E858" t="s">
        <v>1</v>
      </c>
      <c r="F858" t="s">
        <v>1</v>
      </c>
      <c r="G858" t="s">
        <v>275</v>
      </c>
      <c r="H858" t="s">
        <v>275</v>
      </c>
      <c r="I858" t="s">
        <v>1</v>
      </c>
      <c r="J858" t="s">
        <v>1</v>
      </c>
      <c r="K858" t="s">
        <v>1</v>
      </c>
      <c r="L858" t="s">
        <v>275</v>
      </c>
      <c r="M858" t="s">
        <v>1</v>
      </c>
      <c r="N858" t="s">
        <v>1</v>
      </c>
      <c r="O858" t="s">
        <v>1</v>
      </c>
      <c r="P858" t="s">
        <v>275</v>
      </c>
      <c r="Q858" t="s">
        <v>1</v>
      </c>
      <c r="R858" t="s">
        <v>275</v>
      </c>
      <c r="S858" t="s">
        <v>275</v>
      </c>
      <c r="T858" t="s">
        <v>275</v>
      </c>
      <c r="U858" t="s">
        <v>275</v>
      </c>
      <c r="V858" t="s">
        <v>275</v>
      </c>
      <c r="W858" t="s">
        <v>10</v>
      </c>
      <c r="X858" t="s">
        <v>275</v>
      </c>
      <c r="Y858" t="s">
        <v>275</v>
      </c>
      <c r="Z858" t="s">
        <v>275</v>
      </c>
      <c r="AA858" t="s">
        <v>275</v>
      </c>
      <c r="AB858" t="s">
        <v>275</v>
      </c>
      <c r="AC858" t="s">
        <v>275</v>
      </c>
      <c r="AD858" t="s">
        <v>275</v>
      </c>
    </row>
    <row r="859" spans="1:30">
      <c r="A859">
        <v>857</v>
      </c>
      <c r="B859" t="s">
        <v>1669</v>
      </c>
      <c r="C859" t="s">
        <v>1670</v>
      </c>
      <c r="D859" t="str">
        <f>IF(VLOOKUP(C859,'Capabilities Overview'!$A$2:$A$587,1)=C859,"","Not in UCL")</f>
        <v/>
      </c>
      <c r="E859" t="s">
        <v>1</v>
      </c>
      <c r="F859" t="s">
        <v>1</v>
      </c>
      <c r="G859" t="s">
        <v>275</v>
      </c>
      <c r="H859" t="s">
        <v>275</v>
      </c>
      <c r="I859" t="s">
        <v>275</v>
      </c>
      <c r="J859" t="s">
        <v>275</v>
      </c>
      <c r="K859" t="s">
        <v>275</v>
      </c>
      <c r="L859" t="s">
        <v>275</v>
      </c>
      <c r="M859" t="s">
        <v>1</v>
      </c>
      <c r="N859" t="s">
        <v>1</v>
      </c>
      <c r="O859" t="s">
        <v>1</v>
      </c>
      <c r="P859" t="s">
        <v>275</v>
      </c>
      <c r="Q859" t="s">
        <v>275</v>
      </c>
      <c r="R859" t="s">
        <v>275</v>
      </c>
      <c r="S859" t="s">
        <v>275</v>
      </c>
      <c r="T859" t="s">
        <v>275</v>
      </c>
      <c r="U859" t="s">
        <v>275</v>
      </c>
      <c r="V859" t="s">
        <v>275</v>
      </c>
      <c r="W859" t="s">
        <v>10</v>
      </c>
      <c r="X859" t="s">
        <v>275</v>
      </c>
      <c r="Y859" t="s">
        <v>275</v>
      </c>
      <c r="Z859" t="s">
        <v>275</v>
      </c>
      <c r="AA859" t="s">
        <v>275</v>
      </c>
      <c r="AB859" t="s">
        <v>275</v>
      </c>
      <c r="AC859" t="s">
        <v>275</v>
      </c>
      <c r="AD859" t="s">
        <v>275</v>
      </c>
    </row>
    <row r="860" spans="1:30">
      <c r="A860">
        <v>858</v>
      </c>
      <c r="B860" t="s">
        <v>1671</v>
      </c>
      <c r="C860" t="s">
        <v>1672</v>
      </c>
      <c r="D860" t="str">
        <f>IF(VLOOKUP(C860,'Capabilities Overview'!$A$2:$A$587,1)=C860,"","Not in UCL")</f>
        <v/>
      </c>
      <c r="E860" t="s">
        <v>1</v>
      </c>
      <c r="F860" t="s">
        <v>1</v>
      </c>
      <c r="G860" t="s">
        <v>275</v>
      </c>
      <c r="H860" t="s">
        <v>275</v>
      </c>
      <c r="I860" t="s">
        <v>275</v>
      </c>
      <c r="J860" t="s">
        <v>275</v>
      </c>
      <c r="K860" t="s">
        <v>275</v>
      </c>
      <c r="L860" t="s">
        <v>275</v>
      </c>
      <c r="M860" t="s">
        <v>1</v>
      </c>
      <c r="N860" t="s">
        <v>1</v>
      </c>
      <c r="O860" t="s">
        <v>1</v>
      </c>
      <c r="P860" t="s">
        <v>275</v>
      </c>
      <c r="Q860" t="s">
        <v>275</v>
      </c>
      <c r="R860" t="s">
        <v>275</v>
      </c>
      <c r="S860" t="s">
        <v>275</v>
      </c>
      <c r="T860" t="s">
        <v>275</v>
      </c>
      <c r="U860" t="s">
        <v>275</v>
      </c>
      <c r="V860" t="s">
        <v>275</v>
      </c>
      <c r="W860" t="s">
        <v>10</v>
      </c>
      <c r="X860" t="s">
        <v>275</v>
      </c>
      <c r="Y860" t="s">
        <v>275</v>
      </c>
      <c r="Z860" t="s">
        <v>275</v>
      </c>
      <c r="AA860" t="s">
        <v>275</v>
      </c>
      <c r="AB860" t="s">
        <v>275</v>
      </c>
      <c r="AC860" t="s">
        <v>275</v>
      </c>
      <c r="AD860" t="s">
        <v>275</v>
      </c>
    </row>
    <row r="861" spans="1:30">
      <c r="A861">
        <v>859</v>
      </c>
      <c r="B861" t="s">
        <v>1673</v>
      </c>
      <c r="C861" t="s">
        <v>1674</v>
      </c>
      <c r="D861" t="str">
        <f>IF(VLOOKUP(C861,'Capabilities Overview'!$A$2:$A$587,1)=C861,"","Not in UCL")</f>
        <v/>
      </c>
      <c r="E861" t="s">
        <v>1</v>
      </c>
      <c r="F861" t="s">
        <v>1</v>
      </c>
      <c r="G861" t="s">
        <v>275</v>
      </c>
      <c r="H861" t="s">
        <v>275</v>
      </c>
      <c r="I861" t="s">
        <v>275</v>
      </c>
      <c r="J861" t="s">
        <v>275</v>
      </c>
      <c r="K861" t="s">
        <v>275</v>
      </c>
      <c r="L861" t="s">
        <v>275</v>
      </c>
      <c r="M861" t="s">
        <v>1</v>
      </c>
      <c r="N861" t="s">
        <v>1</v>
      </c>
      <c r="O861" t="s">
        <v>1</v>
      </c>
      <c r="P861" t="s">
        <v>275</v>
      </c>
      <c r="Q861" t="s">
        <v>275</v>
      </c>
      <c r="R861" t="s">
        <v>275</v>
      </c>
      <c r="S861" t="s">
        <v>275</v>
      </c>
      <c r="T861" t="s">
        <v>275</v>
      </c>
      <c r="U861" t="s">
        <v>275</v>
      </c>
      <c r="V861" t="s">
        <v>275</v>
      </c>
      <c r="W861" t="s">
        <v>10</v>
      </c>
      <c r="X861" t="s">
        <v>275</v>
      </c>
      <c r="Y861" t="s">
        <v>275</v>
      </c>
      <c r="Z861" t="s">
        <v>275</v>
      </c>
      <c r="AA861" t="s">
        <v>275</v>
      </c>
      <c r="AB861" t="s">
        <v>275</v>
      </c>
      <c r="AC861" t="s">
        <v>275</v>
      </c>
      <c r="AD861" t="s">
        <v>275</v>
      </c>
    </row>
    <row r="862" spans="1:30">
      <c r="A862">
        <v>860</v>
      </c>
      <c r="B862" t="s">
        <v>1675</v>
      </c>
      <c r="C862" t="s">
        <v>1676</v>
      </c>
      <c r="D862" t="str">
        <f>IF(VLOOKUP(C862,'Capabilities Overview'!$A$2:$A$587,1)=C862,"","Not in UCL")</f>
        <v/>
      </c>
      <c r="E862" t="s">
        <v>1</v>
      </c>
      <c r="F862" t="s">
        <v>1</v>
      </c>
      <c r="G862" t="s">
        <v>275</v>
      </c>
      <c r="H862" t="s">
        <v>275</v>
      </c>
      <c r="I862" t="s">
        <v>275</v>
      </c>
      <c r="J862" t="s">
        <v>275</v>
      </c>
      <c r="K862" t="s">
        <v>275</v>
      </c>
      <c r="L862" t="s">
        <v>275</v>
      </c>
      <c r="M862" t="s">
        <v>1</v>
      </c>
      <c r="N862" t="s">
        <v>1</v>
      </c>
      <c r="O862" t="s">
        <v>1</v>
      </c>
      <c r="P862" t="s">
        <v>275</v>
      </c>
      <c r="Q862" t="s">
        <v>275</v>
      </c>
      <c r="R862" t="s">
        <v>275</v>
      </c>
      <c r="S862" t="s">
        <v>275</v>
      </c>
      <c r="T862" t="s">
        <v>275</v>
      </c>
      <c r="U862" t="s">
        <v>275</v>
      </c>
      <c r="V862" t="s">
        <v>275</v>
      </c>
      <c r="W862" t="s">
        <v>10</v>
      </c>
      <c r="X862" t="s">
        <v>275</v>
      </c>
      <c r="Y862" t="s">
        <v>275</v>
      </c>
      <c r="Z862" t="s">
        <v>275</v>
      </c>
      <c r="AA862" t="s">
        <v>275</v>
      </c>
      <c r="AB862" t="s">
        <v>275</v>
      </c>
      <c r="AC862" t="s">
        <v>275</v>
      </c>
      <c r="AD862" t="s">
        <v>275</v>
      </c>
    </row>
    <row r="863" spans="1:30">
      <c r="A863">
        <v>861</v>
      </c>
      <c r="B863" t="s">
        <v>1677</v>
      </c>
      <c r="C863" t="s">
        <v>1678</v>
      </c>
      <c r="D863" t="str">
        <f>IF(VLOOKUP(C863,'Capabilities Overview'!$A$2:$A$587,1)=C863,"","Not in UCL")</f>
        <v>Not in UCL</v>
      </c>
      <c r="E863" t="s">
        <v>1</v>
      </c>
      <c r="F863" t="s">
        <v>1</v>
      </c>
      <c r="G863" t="s">
        <v>275</v>
      </c>
      <c r="H863" t="s">
        <v>275</v>
      </c>
      <c r="I863" t="s">
        <v>275</v>
      </c>
      <c r="J863" t="s">
        <v>275</v>
      </c>
      <c r="K863" t="s">
        <v>275</v>
      </c>
      <c r="L863" t="s">
        <v>275</v>
      </c>
      <c r="M863" t="s">
        <v>1</v>
      </c>
      <c r="N863" t="s">
        <v>1</v>
      </c>
      <c r="O863" t="s">
        <v>1</v>
      </c>
      <c r="P863" t="s">
        <v>275</v>
      </c>
      <c r="Q863" t="s">
        <v>275</v>
      </c>
      <c r="R863" t="s">
        <v>275</v>
      </c>
      <c r="S863" t="s">
        <v>275</v>
      </c>
      <c r="T863" t="s">
        <v>275</v>
      </c>
      <c r="U863" t="s">
        <v>275</v>
      </c>
      <c r="V863" t="s">
        <v>275</v>
      </c>
      <c r="W863" t="s">
        <v>10</v>
      </c>
      <c r="X863" t="s">
        <v>275</v>
      </c>
      <c r="Y863" t="s">
        <v>275</v>
      </c>
      <c r="Z863" t="s">
        <v>275</v>
      </c>
      <c r="AA863" t="s">
        <v>275</v>
      </c>
      <c r="AB863" t="s">
        <v>275</v>
      </c>
      <c r="AC863" t="s">
        <v>275</v>
      </c>
      <c r="AD863" t="s">
        <v>275</v>
      </c>
    </row>
    <row r="864" spans="1:30">
      <c r="A864">
        <v>862</v>
      </c>
      <c r="B864" t="s">
        <v>1679</v>
      </c>
      <c r="C864" t="s">
        <v>1680</v>
      </c>
      <c r="D864" t="str">
        <f>IF(VLOOKUP(C864,'Capabilities Overview'!$A$2:$A$587,1)=C864,"","Not in UCL")</f>
        <v>Not in UCL</v>
      </c>
      <c r="E864" t="s">
        <v>1</v>
      </c>
      <c r="F864" t="s">
        <v>1</v>
      </c>
      <c r="G864" t="s">
        <v>275</v>
      </c>
      <c r="H864" t="s">
        <v>275</v>
      </c>
      <c r="I864" t="s">
        <v>275</v>
      </c>
      <c r="J864" t="s">
        <v>275</v>
      </c>
      <c r="K864" t="s">
        <v>275</v>
      </c>
      <c r="L864" t="s">
        <v>275</v>
      </c>
      <c r="M864" t="s">
        <v>1</v>
      </c>
      <c r="N864" t="s">
        <v>1</v>
      </c>
      <c r="O864" t="s">
        <v>1</v>
      </c>
      <c r="P864" t="s">
        <v>275</v>
      </c>
      <c r="Q864" t="s">
        <v>275</v>
      </c>
      <c r="R864" t="s">
        <v>275</v>
      </c>
      <c r="S864" t="s">
        <v>275</v>
      </c>
      <c r="T864" t="s">
        <v>275</v>
      </c>
      <c r="U864" t="s">
        <v>275</v>
      </c>
      <c r="V864" t="s">
        <v>275</v>
      </c>
      <c r="W864" t="s">
        <v>10</v>
      </c>
      <c r="X864" t="s">
        <v>275</v>
      </c>
      <c r="Y864" t="s">
        <v>275</v>
      </c>
      <c r="Z864" t="s">
        <v>275</v>
      </c>
      <c r="AA864" t="s">
        <v>275</v>
      </c>
      <c r="AB864" t="s">
        <v>275</v>
      </c>
      <c r="AC864" t="s">
        <v>275</v>
      </c>
      <c r="AD864" t="s">
        <v>275</v>
      </c>
    </row>
    <row r="865" spans="1:30">
      <c r="A865">
        <v>863</v>
      </c>
      <c r="B865" t="s">
        <v>1681</v>
      </c>
      <c r="C865" t="s">
        <v>1682</v>
      </c>
      <c r="D865" t="str">
        <f>IF(VLOOKUP(C865,'Capabilities Overview'!$A$2:$A$587,1)=C865,"","Not in UCL")</f>
        <v>Not in UCL</v>
      </c>
      <c r="E865" t="s">
        <v>1</v>
      </c>
      <c r="F865" t="s">
        <v>1</v>
      </c>
      <c r="G865" t="s">
        <v>275</v>
      </c>
      <c r="H865" t="s">
        <v>275</v>
      </c>
      <c r="I865" t="s">
        <v>275</v>
      </c>
      <c r="J865" t="s">
        <v>275</v>
      </c>
      <c r="K865" t="s">
        <v>275</v>
      </c>
      <c r="L865" t="s">
        <v>275</v>
      </c>
      <c r="M865" t="s">
        <v>1</v>
      </c>
      <c r="N865" t="s">
        <v>1</v>
      </c>
      <c r="O865" t="s">
        <v>1</v>
      </c>
      <c r="P865" t="s">
        <v>275</v>
      </c>
      <c r="Q865" t="s">
        <v>275</v>
      </c>
      <c r="R865" t="s">
        <v>275</v>
      </c>
      <c r="S865" t="s">
        <v>275</v>
      </c>
      <c r="T865" t="s">
        <v>275</v>
      </c>
      <c r="U865" t="s">
        <v>275</v>
      </c>
      <c r="V865" t="s">
        <v>275</v>
      </c>
      <c r="W865" t="s">
        <v>10</v>
      </c>
      <c r="X865" t="s">
        <v>275</v>
      </c>
      <c r="Y865" t="s">
        <v>275</v>
      </c>
      <c r="Z865" t="s">
        <v>275</v>
      </c>
      <c r="AA865" t="s">
        <v>275</v>
      </c>
      <c r="AB865" t="s">
        <v>275</v>
      </c>
      <c r="AC865" t="s">
        <v>275</v>
      </c>
      <c r="AD865" t="s">
        <v>275</v>
      </c>
    </row>
    <row r="866" spans="1:30">
      <c r="A866">
        <v>864</v>
      </c>
      <c r="B866" t="s">
        <v>1683</v>
      </c>
      <c r="C866" t="s">
        <v>1684</v>
      </c>
      <c r="D866" t="str">
        <f>IF(VLOOKUP(C866,'Capabilities Overview'!$A$2:$A$587,1)=C866,"","Not in UCL")</f>
        <v/>
      </c>
      <c r="E866" t="s">
        <v>1</v>
      </c>
      <c r="F866" t="s">
        <v>1</v>
      </c>
      <c r="G866" t="s">
        <v>275</v>
      </c>
      <c r="H866" t="s">
        <v>275</v>
      </c>
      <c r="I866" t="s">
        <v>275</v>
      </c>
      <c r="J866" t="s">
        <v>275</v>
      </c>
      <c r="K866" t="s">
        <v>275</v>
      </c>
      <c r="L866" t="s">
        <v>275</v>
      </c>
      <c r="M866" t="s">
        <v>1</v>
      </c>
      <c r="N866" t="s">
        <v>1</v>
      </c>
      <c r="O866" t="s">
        <v>1</v>
      </c>
      <c r="P866" t="s">
        <v>275</v>
      </c>
      <c r="Q866" t="s">
        <v>275</v>
      </c>
      <c r="R866" t="s">
        <v>275</v>
      </c>
      <c r="S866" t="s">
        <v>275</v>
      </c>
      <c r="T866" t="s">
        <v>275</v>
      </c>
      <c r="U866" t="s">
        <v>275</v>
      </c>
      <c r="V866" t="s">
        <v>275</v>
      </c>
      <c r="W866" t="s">
        <v>10</v>
      </c>
      <c r="X866" t="s">
        <v>275</v>
      </c>
      <c r="Y866" t="s">
        <v>275</v>
      </c>
      <c r="Z866" t="s">
        <v>275</v>
      </c>
      <c r="AA866" t="s">
        <v>275</v>
      </c>
      <c r="AB866" t="s">
        <v>275</v>
      </c>
      <c r="AC866" t="s">
        <v>275</v>
      </c>
      <c r="AD866" t="s">
        <v>275</v>
      </c>
    </row>
    <row r="867" spans="1:30">
      <c r="A867">
        <v>865</v>
      </c>
      <c r="B867" t="s">
        <v>1685</v>
      </c>
      <c r="C867" t="s">
        <v>1686</v>
      </c>
      <c r="D867" t="str">
        <f>IF(VLOOKUP(C867,'Capabilities Overview'!$A$2:$A$587,1)=C867,"","Not in UCL")</f>
        <v>Not in UCL</v>
      </c>
      <c r="E867" t="s">
        <v>1</v>
      </c>
      <c r="F867" t="s">
        <v>1</v>
      </c>
      <c r="G867" t="s">
        <v>275</v>
      </c>
      <c r="H867" t="s">
        <v>275</v>
      </c>
      <c r="I867" t="s">
        <v>275</v>
      </c>
      <c r="J867" t="s">
        <v>275</v>
      </c>
      <c r="K867" t="s">
        <v>275</v>
      </c>
      <c r="L867" t="s">
        <v>275</v>
      </c>
      <c r="M867" t="s">
        <v>1</v>
      </c>
      <c r="N867" t="s">
        <v>1</v>
      </c>
      <c r="O867" t="s">
        <v>1</v>
      </c>
      <c r="P867" t="s">
        <v>275</v>
      </c>
      <c r="Q867" t="s">
        <v>275</v>
      </c>
      <c r="R867" t="s">
        <v>275</v>
      </c>
      <c r="S867" t="s">
        <v>275</v>
      </c>
      <c r="T867" t="s">
        <v>275</v>
      </c>
      <c r="U867" t="s">
        <v>275</v>
      </c>
      <c r="V867" t="s">
        <v>275</v>
      </c>
      <c r="W867" t="s">
        <v>10</v>
      </c>
      <c r="X867" t="s">
        <v>275</v>
      </c>
      <c r="Y867" t="s">
        <v>275</v>
      </c>
      <c r="Z867" t="s">
        <v>275</v>
      </c>
      <c r="AA867" t="s">
        <v>275</v>
      </c>
      <c r="AB867" t="s">
        <v>275</v>
      </c>
      <c r="AC867" t="s">
        <v>275</v>
      </c>
      <c r="AD867" t="s">
        <v>275</v>
      </c>
    </row>
    <row r="868" spans="1:30">
      <c r="A868">
        <v>866</v>
      </c>
      <c r="B868" t="s">
        <v>1687</v>
      </c>
      <c r="C868" t="s">
        <v>1688</v>
      </c>
      <c r="D868" t="str">
        <f>IF(VLOOKUP(C868,'Capabilities Overview'!$A$2:$A$587,1)=C868,"","Not in UCL")</f>
        <v/>
      </c>
      <c r="E868" t="s">
        <v>1</v>
      </c>
      <c r="F868" t="s">
        <v>1</v>
      </c>
      <c r="G868" t="s">
        <v>275</v>
      </c>
      <c r="H868" t="s">
        <v>275</v>
      </c>
      <c r="I868" t="s">
        <v>275</v>
      </c>
      <c r="J868" t="s">
        <v>275</v>
      </c>
      <c r="K868" t="s">
        <v>275</v>
      </c>
      <c r="L868" t="s">
        <v>275</v>
      </c>
      <c r="M868" t="s">
        <v>1</v>
      </c>
      <c r="N868" t="s">
        <v>1</v>
      </c>
      <c r="O868" t="s">
        <v>1</v>
      </c>
      <c r="P868" t="s">
        <v>275</v>
      </c>
      <c r="Q868" t="s">
        <v>275</v>
      </c>
      <c r="R868" t="s">
        <v>275</v>
      </c>
      <c r="S868" t="s">
        <v>275</v>
      </c>
      <c r="T868" t="s">
        <v>275</v>
      </c>
      <c r="U868" t="s">
        <v>275</v>
      </c>
      <c r="V868" t="s">
        <v>275</v>
      </c>
      <c r="W868" t="s">
        <v>10</v>
      </c>
      <c r="X868" t="s">
        <v>275</v>
      </c>
      <c r="Y868" t="s">
        <v>275</v>
      </c>
      <c r="Z868" t="s">
        <v>275</v>
      </c>
      <c r="AA868" t="s">
        <v>275</v>
      </c>
      <c r="AB868" t="s">
        <v>275</v>
      </c>
      <c r="AC868" t="s">
        <v>275</v>
      </c>
      <c r="AD868" t="s">
        <v>275</v>
      </c>
    </row>
    <row r="869" spans="1:30">
      <c r="A869">
        <v>867</v>
      </c>
      <c r="B869" t="s">
        <v>1689</v>
      </c>
      <c r="C869" t="s">
        <v>1690</v>
      </c>
      <c r="D869" t="str">
        <f>IF(VLOOKUP(C869,'Capabilities Overview'!$A$2:$A$587,1)=C869,"","Not in UCL")</f>
        <v/>
      </c>
      <c r="E869" t="s">
        <v>1</v>
      </c>
      <c r="F869" t="s">
        <v>1</v>
      </c>
      <c r="G869" t="s">
        <v>275</v>
      </c>
      <c r="H869" t="s">
        <v>275</v>
      </c>
      <c r="I869" t="s">
        <v>275</v>
      </c>
      <c r="J869" t="s">
        <v>275</v>
      </c>
      <c r="K869" t="s">
        <v>275</v>
      </c>
      <c r="L869" t="s">
        <v>275</v>
      </c>
      <c r="M869" t="s">
        <v>1</v>
      </c>
      <c r="N869" t="s">
        <v>1</v>
      </c>
      <c r="O869" t="s">
        <v>1</v>
      </c>
      <c r="P869" t="s">
        <v>275</v>
      </c>
      <c r="Q869" t="s">
        <v>275</v>
      </c>
      <c r="R869" t="s">
        <v>275</v>
      </c>
      <c r="S869" t="s">
        <v>275</v>
      </c>
      <c r="T869" t="s">
        <v>275</v>
      </c>
      <c r="U869" t="s">
        <v>275</v>
      </c>
      <c r="V869" t="s">
        <v>275</v>
      </c>
      <c r="W869" t="s">
        <v>10</v>
      </c>
      <c r="X869" t="s">
        <v>275</v>
      </c>
      <c r="Y869" t="s">
        <v>275</v>
      </c>
      <c r="Z869" t="s">
        <v>275</v>
      </c>
      <c r="AA869" t="s">
        <v>275</v>
      </c>
      <c r="AB869" t="s">
        <v>275</v>
      </c>
      <c r="AC869" t="s">
        <v>275</v>
      </c>
      <c r="AD869" t="s">
        <v>275</v>
      </c>
    </row>
    <row r="870" spans="1:30">
      <c r="A870">
        <v>868</v>
      </c>
      <c r="B870" t="s">
        <v>1691</v>
      </c>
      <c r="C870" t="s">
        <v>1692</v>
      </c>
      <c r="D870" t="str">
        <f>IF(VLOOKUP(C870,'Capabilities Overview'!$A$2:$A$587,1)=C870,"","Not in UCL")</f>
        <v/>
      </c>
      <c r="E870" t="s">
        <v>1</v>
      </c>
      <c r="F870" t="s">
        <v>1</v>
      </c>
      <c r="G870" t="s">
        <v>275</v>
      </c>
      <c r="H870" t="s">
        <v>275</v>
      </c>
      <c r="I870" t="s">
        <v>275</v>
      </c>
      <c r="J870" t="s">
        <v>275</v>
      </c>
      <c r="K870" t="s">
        <v>275</v>
      </c>
      <c r="L870" t="s">
        <v>275</v>
      </c>
      <c r="M870" t="s">
        <v>1</v>
      </c>
      <c r="N870" t="s">
        <v>1</v>
      </c>
      <c r="O870" t="s">
        <v>1</v>
      </c>
      <c r="P870" t="s">
        <v>275</v>
      </c>
      <c r="Q870" t="s">
        <v>275</v>
      </c>
      <c r="R870" t="s">
        <v>275</v>
      </c>
      <c r="S870" t="s">
        <v>275</v>
      </c>
      <c r="T870" t="s">
        <v>275</v>
      </c>
      <c r="U870" t="s">
        <v>275</v>
      </c>
      <c r="V870" t="s">
        <v>275</v>
      </c>
      <c r="W870" t="s">
        <v>10</v>
      </c>
      <c r="X870" t="s">
        <v>275</v>
      </c>
      <c r="Y870" t="s">
        <v>275</v>
      </c>
      <c r="Z870" t="s">
        <v>275</v>
      </c>
      <c r="AA870" t="s">
        <v>275</v>
      </c>
      <c r="AB870" t="s">
        <v>275</v>
      </c>
      <c r="AC870" t="s">
        <v>275</v>
      </c>
      <c r="AD870" t="s">
        <v>275</v>
      </c>
    </row>
    <row r="871" spans="1:30">
      <c r="A871">
        <v>869</v>
      </c>
      <c r="B871" t="s">
        <v>1693</v>
      </c>
      <c r="C871" t="s">
        <v>1694</v>
      </c>
      <c r="D871" t="str">
        <f>IF(VLOOKUP(C871,'Capabilities Overview'!$A$2:$A$587,1)=C871,"","Not in UCL")</f>
        <v/>
      </c>
      <c r="E871" t="s">
        <v>1</v>
      </c>
      <c r="F871" t="s">
        <v>1</v>
      </c>
      <c r="G871" t="s">
        <v>275</v>
      </c>
      <c r="H871" t="s">
        <v>275</v>
      </c>
      <c r="I871" t="s">
        <v>275</v>
      </c>
      <c r="J871" t="s">
        <v>275</v>
      </c>
      <c r="K871" t="s">
        <v>275</v>
      </c>
      <c r="L871" t="s">
        <v>275</v>
      </c>
      <c r="M871" t="s">
        <v>1</v>
      </c>
      <c r="N871" t="s">
        <v>1</v>
      </c>
      <c r="O871" t="s">
        <v>1</v>
      </c>
      <c r="P871" t="s">
        <v>275</v>
      </c>
      <c r="Q871" t="s">
        <v>275</v>
      </c>
      <c r="R871" t="s">
        <v>275</v>
      </c>
      <c r="S871" t="s">
        <v>275</v>
      </c>
      <c r="T871" t="s">
        <v>275</v>
      </c>
      <c r="U871" t="s">
        <v>275</v>
      </c>
      <c r="V871" t="s">
        <v>275</v>
      </c>
      <c r="W871" t="s">
        <v>10</v>
      </c>
      <c r="X871" t="s">
        <v>275</v>
      </c>
      <c r="Y871" t="s">
        <v>275</v>
      </c>
      <c r="Z871" t="s">
        <v>275</v>
      </c>
      <c r="AA871" t="s">
        <v>275</v>
      </c>
      <c r="AB871" t="s">
        <v>275</v>
      </c>
      <c r="AC871" t="s">
        <v>275</v>
      </c>
      <c r="AD871" t="s">
        <v>275</v>
      </c>
    </row>
    <row r="872" spans="1:30">
      <c r="A872">
        <v>870</v>
      </c>
      <c r="B872" t="s">
        <v>1695</v>
      </c>
      <c r="C872" t="s">
        <v>1696</v>
      </c>
      <c r="D872" t="str">
        <f>IF(VLOOKUP(C872,'Capabilities Overview'!$A$2:$A$587,1)=C872,"","Not in UCL")</f>
        <v/>
      </c>
      <c r="E872" t="s">
        <v>1</v>
      </c>
      <c r="F872" t="s">
        <v>275</v>
      </c>
      <c r="G872" t="s">
        <v>1</v>
      </c>
      <c r="H872" t="s">
        <v>275</v>
      </c>
      <c r="I872" t="s">
        <v>275</v>
      </c>
      <c r="J872" t="s">
        <v>275</v>
      </c>
      <c r="K872" t="s">
        <v>275</v>
      </c>
      <c r="L872" t="s">
        <v>275</v>
      </c>
      <c r="M872" t="s">
        <v>1</v>
      </c>
      <c r="N872" t="s">
        <v>1</v>
      </c>
      <c r="O872" t="s">
        <v>1</v>
      </c>
      <c r="P872" t="s">
        <v>275</v>
      </c>
      <c r="Q872" t="s">
        <v>275</v>
      </c>
      <c r="R872" t="s">
        <v>275</v>
      </c>
      <c r="S872" t="s">
        <v>275</v>
      </c>
      <c r="T872" t="s">
        <v>275</v>
      </c>
      <c r="U872" t="s">
        <v>275</v>
      </c>
      <c r="V872" t="s">
        <v>275</v>
      </c>
      <c r="W872" t="s">
        <v>10</v>
      </c>
      <c r="X872" t="s">
        <v>275</v>
      </c>
      <c r="Y872" t="s">
        <v>275</v>
      </c>
      <c r="Z872" t="s">
        <v>275</v>
      </c>
      <c r="AA872" t="s">
        <v>275</v>
      </c>
      <c r="AB872" t="s">
        <v>275</v>
      </c>
      <c r="AC872" t="s">
        <v>275</v>
      </c>
      <c r="AD872" t="s">
        <v>275</v>
      </c>
    </row>
    <row r="873" spans="1:30">
      <c r="A873">
        <v>871</v>
      </c>
      <c r="B873" t="s">
        <v>247</v>
      </c>
      <c r="C873" t="s">
        <v>248</v>
      </c>
      <c r="D873" t="str">
        <f>IF(VLOOKUP(C873,'Capabilities Overview'!$A$2:$A$587,1)=C873,"","Not in UCL")</f>
        <v/>
      </c>
      <c r="E873" t="s">
        <v>1</v>
      </c>
      <c r="F873" t="s">
        <v>1</v>
      </c>
      <c r="G873" t="s">
        <v>1</v>
      </c>
      <c r="H873" t="s">
        <v>275</v>
      </c>
      <c r="I873" t="s">
        <v>1</v>
      </c>
      <c r="J873" t="s">
        <v>1</v>
      </c>
      <c r="K873" t="s">
        <v>1</v>
      </c>
      <c r="L873" t="s">
        <v>1</v>
      </c>
      <c r="M873" t="s">
        <v>1</v>
      </c>
      <c r="N873" t="s">
        <v>1</v>
      </c>
      <c r="O873" t="s">
        <v>1</v>
      </c>
      <c r="P873" t="s">
        <v>275</v>
      </c>
      <c r="Q873" t="s">
        <v>1</v>
      </c>
      <c r="R873" t="s">
        <v>1</v>
      </c>
      <c r="S873" t="s">
        <v>1</v>
      </c>
      <c r="T873" t="s">
        <v>1</v>
      </c>
      <c r="U873" t="s">
        <v>275</v>
      </c>
      <c r="V873" t="s">
        <v>275</v>
      </c>
      <c r="W873" t="s">
        <v>1</v>
      </c>
      <c r="X873" t="s">
        <v>275</v>
      </c>
      <c r="Y873" t="s">
        <v>275</v>
      </c>
      <c r="Z873" t="s">
        <v>275</v>
      </c>
      <c r="AA873" t="s">
        <v>275</v>
      </c>
      <c r="AB873" t="s">
        <v>275</v>
      </c>
      <c r="AC873" t="s">
        <v>275</v>
      </c>
      <c r="AD873" t="s">
        <v>1</v>
      </c>
    </row>
    <row r="874" spans="1:30">
      <c r="A874">
        <v>872</v>
      </c>
      <c r="B874" t="s">
        <v>1697</v>
      </c>
      <c r="C874" t="s">
        <v>1698</v>
      </c>
      <c r="D874" t="str">
        <f>IF(VLOOKUP(C874,'Capabilities Overview'!$A$2:$A$587,1)=C874,"","Not in UCL")</f>
        <v/>
      </c>
      <c r="E874" t="s">
        <v>1</v>
      </c>
      <c r="F874" t="s">
        <v>1</v>
      </c>
      <c r="G874" t="s">
        <v>275</v>
      </c>
      <c r="H874" t="s">
        <v>275</v>
      </c>
      <c r="I874" t="s">
        <v>275</v>
      </c>
      <c r="J874" t="s">
        <v>275</v>
      </c>
      <c r="K874" t="s">
        <v>275</v>
      </c>
      <c r="L874" t="s">
        <v>275</v>
      </c>
      <c r="M874" t="s">
        <v>1</v>
      </c>
      <c r="N874" t="s">
        <v>1</v>
      </c>
      <c r="O874" t="s">
        <v>1</v>
      </c>
      <c r="P874" t="s">
        <v>275</v>
      </c>
      <c r="Q874" t="s">
        <v>275</v>
      </c>
      <c r="R874" t="s">
        <v>275</v>
      </c>
      <c r="S874" t="s">
        <v>275</v>
      </c>
      <c r="T874" t="s">
        <v>275</v>
      </c>
      <c r="U874" t="s">
        <v>275</v>
      </c>
      <c r="V874" t="s">
        <v>275</v>
      </c>
      <c r="W874" t="s">
        <v>10</v>
      </c>
      <c r="X874" t="s">
        <v>275</v>
      </c>
      <c r="Y874" t="s">
        <v>275</v>
      </c>
      <c r="Z874" t="s">
        <v>275</v>
      </c>
      <c r="AA874" t="s">
        <v>275</v>
      </c>
      <c r="AB874" t="s">
        <v>275</v>
      </c>
      <c r="AC874" t="s">
        <v>275</v>
      </c>
      <c r="AD874" t="s">
        <v>275</v>
      </c>
    </row>
  </sheetData>
  <sortState ref="A3:AC874">
    <sortCondition ref="A3:A874"/>
  </sortState>
  <conditionalFormatting sqref="E3:AD874">
    <cfRule type="containsText" dxfId="5" priority="1" operator="containsText" text="Prohibit">
      <formula>NOT(ISERROR(SEARCH("Prohibit",E3)))</formula>
    </cfRule>
    <cfRule type="containsText" dxfId="4" priority="2" operator="containsText" text="Prevent">
      <formula>NOT(ISERROR(SEARCH("Prevent",E3)))</formula>
    </cfRule>
    <cfRule type="containsText" dxfId="3" priority="3" operator="containsText" text="Allow">
      <formula>NOT(ISERROR(SEARCH("Allow",E3)))</formula>
    </cfRule>
  </conditionalFormatting>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632"/>
  <sheetViews>
    <sheetView workbookViewId="0"/>
  </sheetViews>
  <sheetFormatPr baseColWidth="10" defaultRowHeight="15" x14ac:dyDescent="0"/>
  <cols>
    <col min="2" max="2" width="75.1640625" bestFit="1" customWidth="1"/>
    <col min="3" max="3" width="40" bestFit="1" customWidth="1"/>
    <col min="4" max="4" width="40" customWidth="1"/>
  </cols>
  <sheetData>
    <row r="1" spans="1:22">
      <c r="A1" t="s">
        <v>1802</v>
      </c>
      <c r="B1" t="s">
        <v>1803</v>
      </c>
      <c r="C1" t="s">
        <v>0</v>
      </c>
    </row>
    <row r="2" spans="1:22" ht="127">
      <c r="E2" s="1" t="s">
        <v>1699</v>
      </c>
      <c r="F2" s="1" t="s">
        <v>1700</v>
      </c>
      <c r="G2" s="1" t="s">
        <v>1701</v>
      </c>
      <c r="H2" s="1" t="s">
        <v>1702</v>
      </c>
      <c r="I2" s="1" t="s">
        <v>1703</v>
      </c>
      <c r="J2" s="1" t="s">
        <v>259</v>
      </c>
      <c r="K2" s="1" t="s">
        <v>261</v>
      </c>
      <c r="L2" s="1" t="s">
        <v>262</v>
      </c>
      <c r="M2" s="1" t="s">
        <v>1704</v>
      </c>
      <c r="N2" s="1" t="s">
        <v>1705</v>
      </c>
      <c r="O2" s="1" t="s">
        <v>263</v>
      </c>
      <c r="P2" s="1" t="s">
        <v>264</v>
      </c>
      <c r="Q2" s="1" t="s">
        <v>1706</v>
      </c>
      <c r="R2" s="1" t="s">
        <v>1707</v>
      </c>
      <c r="S2" s="1" t="s">
        <v>1708</v>
      </c>
      <c r="T2" s="1" t="s">
        <v>1709</v>
      </c>
      <c r="U2" s="1" t="s">
        <v>1710</v>
      </c>
      <c r="V2" s="1" t="s">
        <v>1711</v>
      </c>
    </row>
    <row r="3" spans="1:22">
      <c r="A3">
        <v>1</v>
      </c>
      <c r="B3" t="s">
        <v>8</v>
      </c>
      <c r="C3" t="s">
        <v>9</v>
      </c>
      <c r="D3" t="str">
        <f>IF(VLOOKUP(C3,'Capabilities Overview'!$A$2:$A$587,1)=C3,"","Not in IOE")</f>
        <v/>
      </c>
      <c r="E3" t="s">
        <v>275</v>
      </c>
      <c r="F3" t="s">
        <v>275</v>
      </c>
      <c r="G3" t="s">
        <v>275</v>
      </c>
      <c r="H3" t="s">
        <v>275</v>
      </c>
      <c r="I3" t="s">
        <v>275</v>
      </c>
      <c r="J3" t="s">
        <v>275</v>
      </c>
      <c r="K3" t="s">
        <v>275</v>
      </c>
      <c r="L3" t="s">
        <v>275</v>
      </c>
      <c r="M3" t="s">
        <v>275</v>
      </c>
      <c r="N3" t="s">
        <v>275</v>
      </c>
      <c r="O3" t="s">
        <v>1</v>
      </c>
      <c r="P3" t="s">
        <v>275</v>
      </c>
      <c r="Q3" t="s">
        <v>275</v>
      </c>
      <c r="R3" t="s">
        <v>275</v>
      </c>
      <c r="S3" t="s">
        <v>275</v>
      </c>
      <c r="T3" t="s">
        <v>275</v>
      </c>
      <c r="U3" t="s">
        <v>275</v>
      </c>
      <c r="V3" t="s">
        <v>275</v>
      </c>
    </row>
    <row r="4" spans="1:22">
      <c r="A4">
        <v>2</v>
      </c>
      <c r="B4" t="s">
        <v>11</v>
      </c>
      <c r="C4" t="s">
        <v>12</v>
      </c>
      <c r="D4" t="str">
        <f>IF(VLOOKUP(C4,'Capabilities Overview'!$A$2:$A$587,1)=C4,"","Not in IOE")</f>
        <v/>
      </c>
      <c r="E4" t="s">
        <v>275</v>
      </c>
      <c r="F4" t="s">
        <v>275</v>
      </c>
      <c r="G4" t="s">
        <v>275</v>
      </c>
      <c r="H4" t="s">
        <v>275</v>
      </c>
      <c r="I4" t="s">
        <v>275</v>
      </c>
      <c r="J4" t="s">
        <v>275</v>
      </c>
      <c r="K4" t="s">
        <v>275</v>
      </c>
      <c r="L4" t="s">
        <v>275</v>
      </c>
      <c r="M4" t="s">
        <v>275</v>
      </c>
      <c r="N4" t="s">
        <v>275</v>
      </c>
      <c r="O4" t="s">
        <v>1</v>
      </c>
      <c r="P4" t="s">
        <v>275</v>
      </c>
      <c r="Q4" t="s">
        <v>275</v>
      </c>
      <c r="R4" t="s">
        <v>275</v>
      </c>
      <c r="S4" t="s">
        <v>275</v>
      </c>
      <c r="T4" t="s">
        <v>275</v>
      </c>
      <c r="U4" t="s">
        <v>275</v>
      </c>
      <c r="V4" t="s">
        <v>275</v>
      </c>
    </row>
    <row r="5" spans="1:22">
      <c r="A5">
        <v>3</v>
      </c>
      <c r="B5" t="s">
        <v>13</v>
      </c>
      <c r="C5" t="s">
        <v>14</v>
      </c>
      <c r="D5" t="str">
        <f>IF(VLOOKUP(C5,'Capabilities Overview'!$A$2:$A$587,1)=C5,"","Not in IOE")</f>
        <v/>
      </c>
      <c r="E5" t="s">
        <v>275</v>
      </c>
      <c r="F5" t="s">
        <v>275</v>
      </c>
      <c r="G5" t="s">
        <v>275</v>
      </c>
      <c r="H5" t="s">
        <v>275</v>
      </c>
      <c r="I5" t="s">
        <v>275</v>
      </c>
      <c r="J5" t="s">
        <v>275</v>
      </c>
      <c r="K5" t="s">
        <v>275</v>
      </c>
      <c r="L5" t="s">
        <v>275</v>
      </c>
      <c r="M5" t="s">
        <v>275</v>
      </c>
      <c r="N5" t="s">
        <v>275</v>
      </c>
      <c r="O5" t="s">
        <v>1</v>
      </c>
      <c r="P5" t="s">
        <v>275</v>
      </c>
      <c r="Q5" t="s">
        <v>275</v>
      </c>
      <c r="R5" t="s">
        <v>275</v>
      </c>
      <c r="S5" t="s">
        <v>275</v>
      </c>
      <c r="T5" t="s">
        <v>275</v>
      </c>
      <c r="U5" t="s">
        <v>275</v>
      </c>
      <c r="V5" t="s">
        <v>275</v>
      </c>
    </row>
    <row r="6" spans="1:22">
      <c r="A6">
        <v>4</v>
      </c>
      <c r="B6" t="s">
        <v>15</v>
      </c>
      <c r="C6" t="s">
        <v>16</v>
      </c>
      <c r="D6" t="str">
        <f>IF(VLOOKUP(C6,'Capabilities Overview'!$A$2:$A$587,1)=C6,"","Not in IOE")</f>
        <v/>
      </c>
      <c r="E6" t="s">
        <v>275</v>
      </c>
      <c r="F6" t="s">
        <v>275</v>
      </c>
      <c r="G6" t="s">
        <v>275</v>
      </c>
      <c r="H6" t="s">
        <v>275</v>
      </c>
      <c r="I6" t="s">
        <v>275</v>
      </c>
      <c r="J6" t="s">
        <v>275</v>
      </c>
      <c r="K6" t="s">
        <v>275</v>
      </c>
      <c r="L6" t="s">
        <v>275</v>
      </c>
      <c r="M6" t="s">
        <v>275</v>
      </c>
      <c r="N6" t="s">
        <v>275</v>
      </c>
      <c r="O6" t="s">
        <v>1</v>
      </c>
      <c r="P6" t="s">
        <v>275</v>
      </c>
      <c r="Q6" t="s">
        <v>275</v>
      </c>
      <c r="R6" t="s">
        <v>275</v>
      </c>
      <c r="S6" t="s">
        <v>275</v>
      </c>
      <c r="T6" t="s">
        <v>275</v>
      </c>
      <c r="U6" t="s">
        <v>275</v>
      </c>
      <c r="V6" t="s">
        <v>275</v>
      </c>
    </row>
    <row r="7" spans="1:22">
      <c r="A7">
        <v>5</v>
      </c>
      <c r="B7" t="s">
        <v>17</v>
      </c>
      <c r="C7" t="s">
        <v>18</v>
      </c>
      <c r="D7" t="str">
        <f>IF(VLOOKUP(C7,'Capabilities Overview'!$A$2:$A$587,1)=C7,"","Not in IOE")</f>
        <v/>
      </c>
      <c r="E7" t="s">
        <v>275</v>
      </c>
      <c r="F7" t="s">
        <v>275</v>
      </c>
      <c r="G7" t="s">
        <v>275</v>
      </c>
      <c r="H7" t="s">
        <v>275</v>
      </c>
      <c r="I7" t="s">
        <v>275</v>
      </c>
      <c r="J7" t="s">
        <v>275</v>
      </c>
      <c r="K7" t="s">
        <v>275</v>
      </c>
      <c r="L7" t="s">
        <v>275</v>
      </c>
      <c r="M7" t="s">
        <v>275</v>
      </c>
      <c r="N7" t="s">
        <v>275</v>
      </c>
      <c r="O7" t="s">
        <v>1</v>
      </c>
      <c r="P7" t="s">
        <v>275</v>
      </c>
      <c r="Q7" t="s">
        <v>275</v>
      </c>
      <c r="R7" t="s">
        <v>275</v>
      </c>
      <c r="S7" t="s">
        <v>275</v>
      </c>
      <c r="T7" t="s">
        <v>275</v>
      </c>
      <c r="U7" t="s">
        <v>275</v>
      </c>
      <c r="V7" t="s">
        <v>275</v>
      </c>
    </row>
    <row r="8" spans="1:22">
      <c r="A8">
        <v>6</v>
      </c>
      <c r="B8" t="s">
        <v>21</v>
      </c>
      <c r="C8" t="s">
        <v>22</v>
      </c>
      <c r="D8" t="str">
        <f>IF(VLOOKUP(C8,'Capabilities Overview'!$A$2:$A$587,1)=C8,"","Not in IOE")</f>
        <v/>
      </c>
      <c r="E8" t="s">
        <v>275</v>
      </c>
      <c r="F8" t="s">
        <v>275</v>
      </c>
      <c r="G8" t="s">
        <v>275</v>
      </c>
      <c r="H8" t="s">
        <v>275</v>
      </c>
      <c r="I8" t="s">
        <v>275</v>
      </c>
      <c r="J8" t="s">
        <v>275</v>
      </c>
      <c r="K8" t="s">
        <v>275</v>
      </c>
      <c r="L8" t="s">
        <v>275</v>
      </c>
      <c r="M8" t="s">
        <v>275</v>
      </c>
      <c r="N8" t="s">
        <v>275</v>
      </c>
      <c r="O8" t="s">
        <v>1</v>
      </c>
      <c r="P8" t="s">
        <v>275</v>
      </c>
      <c r="Q8" t="s">
        <v>275</v>
      </c>
      <c r="R8" t="s">
        <v>275</v>
      </c>
      <c r="S8" t="s">
        <v>275</v>
      </c>
      <c r="T8" t="s">
        <v>275</v>
      </c>
      <c r="U8" t="s">
        <v>275</v>
      </c>
      <c r="V8" t="s">
        <v>275</v>
      </c>
    </row>
    <row r="9" spans="1:22">
      <c r="A9">
        <v>7</v>
      </c>
      <c r="B9" t="s">
        <v>1712</v>
      </c>
      <c r="C9" t="s">
        <v>1713</v>
      </c>
      <c r="D9" t="str">
        <f>IF(VLOOKUP(C9,'Capabilities Overview'!$A$2:$A$587,1)=C9,"","Not in IOE")</f>
        <v>Not in IOE</v>
      </c>
      <c r="E9" t="s">
        <v>275</v>
      </c>
      <c r="F9" t="s">
        <v>275</v>
      </c>
      <c r="G9" t="s">
        <v>275</v>
      </c>
      <c r="H9" t="s">
        <v>275</v>
      </c>
      <c r="I9" t="s">
        <v>275</v>
      </c>
      <c r="J9" t="s">
        <v>275</v>
      </c>
      <c r="K9" t="s">
        <v>275</v>
      </c>
      <c r="L9" t="s">
        <v>275</v>
      </c>
      <c r="M9" t="s">
        <v>275</v>
      </c>
      <c r="N9" t="s">
        <v>275</v>
      </c>
      <c r="O9" t="s">
        <v>1</v>
      </c>
      <c r="P9" t="s">
        <v>275</v>
      </c>
      <c r="Q9" t="s">
        <v>275</v>
      </c>
      <c r="R9" t="s">
        <v>275</v>
      </c>
      <c r="S9" t="s">
        <v>275</v>
      </c>
      <c r="T9" t="s">
        <v>275</v>
      </c>
      <c r="U9" t="s">
        <v>275</v>
      </c>
      <c r="V9" t="s">
        <v>275</v>
      </c>
    </row>
    <row r="10" spans="1:22">
      <c r="A10">
        <v>8</v>
      </c>
      <c r="B10" t="s">
        <v>23</v>
      </c>
      <c r="C10" t="s">
        <v>24</v>
      </c>
      <c r="D10" t="str">
        <f>IF(VLOOKUP(C10,'Capabilities Overview'!$A$2:$A$587,1)=C10,"","Not in IOE")</f>
        <v/>
      </c>
      <c r="E10" t="s">
        <v>275</v>
      </c>
      <c r="F10" t="s">
        <v>275</v>
      </c>
      <c r="G10" t="s">
        <v>275</v>
      </c>
      <c r="H10" t="s">
        <v>275</v>
      </c>
      <c r="I10" t="s">
        <v>275</v>
      </c>
      <c r="J10" t="s">
        <v>275</v>
      </c>
      <c r="K10" t="s">
        <v>275</v>
      </c>
      <c r="L10" t="s">
        <v>275</v>
      </c>
      <c r="M10" t="s">
        <v>275</v>
      </c>
      <c r="N10" t="s">
        <v>275</v>
      </c>
      <c r="O10" t="s">
        <v>1</v>
      </c>
      <c r="P10" t="s">
        <v>275</v>
      </c>
      <c r="Q10" t="s">
        <v>275</v>
      </c>
      <c r="R10" t="s">
        <v>275</v>
      </c>
      <c r="S10" t="s">
        <v>275</v>
      </c>
      <c r="T10" t="s">
        <v>275</v>
      </c>
      <c r="U10" t="s">
        <v>275</v>
      </c>
      <c r="V10" t="s">
        <v>275</v>
      </c>
    </row>
    <row r="11" spans="1:22">
      <c r="A11">
        <v>9</v>
      </c>
      <c r="B11" t="s">
        <v>1714</v>
      </c>
      <c r="C11" t="s">
        <v>1715</v>
      </c>
      <c r="D11" t="str">
        <f>IF(VLOOKUP(C11,'Capabilities Overview'!$A$2:$A$587,1)=C11,"","Not in IOE")</f>
        <v>Not in IOE</v>
      </c>
      <c r="E11" t="s">
        <v>1</v>
      </c>
      <c r="F11" t="s">
        <v>1</v>
      </c>
      <c r="G11" t="s">
        <v>275</v>
      </c>
      <c r="H11" t="s">
        <v>1</v>
      </c>
      <c r="I11" t="s">
        <v>1</v>
      </c>
      <c r="J11" t="s">
        <v>1</v>
      </c>
      <c r="K11" t="s">
        <v>1</v>
      </c>
      <c r="L11" t="s">
        <v>1</v>
      </c>
      <c r="M11" t="s">
        <v>1</v>
      </c>
      <c r="N11" t="s">
        <v>1</v>
      </c>
      <c r="O11" t="s">
        <v>275</v>
      </c>
      <c r="P11" t="s">
        <v>275</v>
      </c>
      <c r="Q11" t="s">
        <v>275</v>
      </c>
      <c r="R11" t="s">
        <v>275</v>
      </c>
      <c r="S11" t="s">
        <v>275</v>
      </c>
      <c r="T11" t="s">
        <v>1</v>
      </c>
      <c r="U11" t="s">
        <v>275</v>
      </c>
      <c r="V11" t="s">
        <v>275</v>
      </c>
    </row>
    <row r="12" spans="1:22">
      <c r="A12">
        <v>10</v>
      </c>
      <c r="B12" t="s">
        <v>1716</v>
      </c>
      <c r="C12" t="s">
        <v>1717</v>
      </c>
      <c r="D12" t="str">
        <f>IF(VLOOKUP(C12,'Capabilities Overview'!$A$2:$A$587,1)=C12,"","Not in IOE")</f>
        <v>Not in IOE</v>
      </c>
      <c r="E12" t="s">
        <v>1</v>
      </c>
      <c r="F12" t="s">
        <v>1</v>
      </c>
      <c r="G12" t="s">
        <v>275</v>
      </c>
      <c r="H12" t="s">
        <v>1</v>
      </c>
      <c r="I12" t="s">
        <v>1</v>
      </c>
      <c r="J12" t="s">
        <v>1</v>
      </c>
      <c r="K12" t="s">
        <v>1</v>
      </c>
      <c r="L12" t="s">
        <v>1</v>
      </c>
      <c r="M12" t="s">
        <v>1</v>
      </c>
      <c r="N12" t="s">
        <v>1</v>
      </c>
      <c r="O12" t="s">
        <v>275</v>
      </c>
      <c r="P12" t="s">
        <v>275</v>
      </c>
      <c r="Q12" t="s">
        <v>275</v>
      </c>
      <c r="R12" t="s">
        <v>275</v>
      </c>
      <c r="S12" t="s">
        <v>275</v>
      </c>
      <c r="T12" t="s">
        <v>1</v>
      </c>
      <c r="U12" t="s">
        <v>275</v>
      </c>
      <c r="V12" t="s">
        <v>275</v>
      </c>
    </row>
    <row r="13" spans="1:22">
      <c r="A13">
        <v>11</v>
      </c>
      <c r="B13" t="s">
        <v>1718</v>
      </c>
      <c r="C13" t="s">
        <v>1719</v>
      </c>
      <c r="D13" t="str">
        <f>IF(VLOOKUP(C13,'Capabilities Overview'!$A$2:$A$587,1)=C13,"","Not in IOE")</f>
        <v>Not in IOE</v>
      </c>
      <c r="E13" t="s">
        <v>1</v>
      </c>
      <c r="F13" t="s">
        <v>1</v>
      </c>
      <c r="G13" t="s">
        <v>275</v>
      </c>
      <c r="H13" t="s">
        <v>1</v>
      </c>
      <c r="I13" t="s">
        <v>1</v>
      </c>
      <c r="J13" t="s">
        <v>1</v>
      </c>
      <c r="K13" t="s">
        <v>1</v>
      </c>
      <c r="L13" t="s">
        <v>1</v>
      </c>
      <c r="M13" t="s">
        <v>1</v>
      </c>
      <c r="N13" t="s">
        <v>1</v>
      </c>
      <c r="O13" t="s">
        <v>275</v>
      </c>
      <c r="P13" t="s">
        <v>275</v>
      </c>
      <c r="Q13" t="s">
        <v>275</v>
      </c>
      <c r="R13" t="s">
        <v>275</v>
      </c>
      <c r="S13" t="s">
        <v>275</v>
      </c>
      <c r="T13" t="s">
        <v>1</v>
      </c>
      <c r="U13" t="s">
        <v>275</v>
      </c>
      <c r="V13" t="s">
        <v>275</v>
      </c>
    </row>
    <row r="14" spans="1:22">
      <c r="A14">
        <v>12</v>
      </c>
      <c r="B14" t="s">
        <v>35</v>
      </c>
      <c r="C14" t="s">
        <v>36</v>
      </c>
      <c r="D14" t="str">
        <f>IF(VLOOKUP(C14,'Capabilities Overview'!$A$2:$A$587,1)=C14,"","Not in IOE")</f>
        <v/>
      </c>
      <c r="E14" t="s">
        <v>275</v>
      </c>
      <c r="F14" t="s">
        <v>275</v>
      </c>
      <c r="G14" t="s">
        <v>275</v>
      </c>
      <c r="H14" t="s">
        <v>275</v>
      </c>
      <c r="I14" t="s">
        <v>275</v>
      </c>
      <c r="J14" t="s">
        <v>275</v>
      </c>
      <c r="K14" t="s">
        <v>275</v>
      </c>
      <c r="L14" t="s">
        <v>275</v>
      </c>
      <c r="M14" t="s">
        <v>275</v>
      </c>
      <c r="N14" t="s">
        <v>275</v>
      </c>
      <c r="O14" t="s">
        <v>1</v>
      </c>
      <c r="P14" t="s">
        <v>275</v>
      </c>
      <c r="Q14" t="s">
        <v>275</v>
      </c>
      <c r="R14" t="s">
        <v>275</v>
      </c>
      <c r="S14" t="s">
        <v>275</v>
      </c>
      <c r="T14" t="s">
        <v>275</v>
      </c>
      <c r="U14" t="s">
        <v>275</v>
      </c>
      <c r="V14" t="s">
        <v>275</v>
      </c>
    </row>
    <row r="15" spans="1:22">
      <c r="A15">
        <v>13</v>
      </c>
      <c r="B15" t="s">
        <v>1720</v>
      </c>
      <c r="C15" t="s">
        <v>38</v>
      </c>
      <c r="D15" t="str">
        <f>IF(VLOOKUP(C15,'Capabilities Overview'!$A$2:$A$587,1)=C15,"","Not in IOE")</f>
        <v/>
      </c>
      <c r="E15" t="s">
        <v>275</v>
      </c>
      <c r="F15" t="s">
        <v>275</v>
      </c>
      <c r="G15" t="s">
        <v>275</v>
      </c>
      <c r="H15" t="s">
        <v>275</v>
      </c>
      <c r="I15" t="s">
        <v>275</v>
      </c>
      <c r="J15" t="s">
        <v>275</v>
      </c>
      <c r="K15" t="s">
        <v>275</v>
      </c>
      <c r="L15" t="s">
        <v>275</v>
      </c>
      <c r="M15" t="s">
        <v>275</v>
      </c>
      <c r="N15" t="s">
        <v>275</v>
      </c>
      <c r="O15" t="s">
        <v>1</v>
      </c>
      <c r="P15" t="s">
        <v>275</v>
      </c>
      <c r="Q15" t="s">
        <v>275</v>
      </c>
      <c r="R15" t="s">
        <v>275</v>
      </c>
      <c r="S15" t="s">
        <v>275</v>
      </c>
      <c r="T15" t="s">
        <v>275</v>
      </c>
      <c r="U15" t="s">
        <v>275</v>
      </c>
      <c r="V15" t="s">
        <v>275</v>
      </c>
    </row>
    <row r="16" spans="1:22">
      <c r="A16">
        <v>14</v>
      </c>
      <c r="B16" t="s">
        <v>1721</v>
      </c>
      <c r="C16" t="s">
        <v>1722</v>
      </c>
      <c r="D16" t="str">
        <f>IF(VLOOKUP(C16,'Capabilities Overview'!$A$2:$A$587,1)=C16,"","Not in IOE")</f>
        <v>Not in IOE</v>
      </c>
      <c r="E16" t="s">
        <v>275</v>
      </c>
      <c r="F16" t="s">
        <v>275</v>
      </c>
      <c r="G16" t="s">
        <v>275</v>
      </c>
      <c r="H16" t="s">
        <v>275</v>
      </c>
      <c r="I16" t="s">
        <v>275</v>
      </c>
      <c r="J16" t="s">
        <v>275</v>
      </c>
      <c r="K16" t="s">
        <v>275</v>
      </c>
      <c r="L16" t="s">
        <v>275</v>
      </c>
      <c r="M16" t="s">
        <v>275</v>
      </c>
      <c r="N16" t="s">
        <v>275</v>
      </c>
      <c r="O16" t="s">
        <v>1</v>
      </c>
      <c r="P16" t="s">
        <v>275</v>
      </c>
      <c r="Q16" t="s">
        <v>275</v>
      </c>
      <c r="R16" t="s">
        <v>275</v>
      </c>
      <c r="S16" t="s">
        <v>275</v>
      </c>
      <c r="T16" t="s">
        <v>275</v>
      </c>
      <c r="U16" t="s">
        <v>275</v>
      </c>
      <c r="V16" t="s">
        <v>275</v>
      </c>
    </row>
    <row r="17" spans="1:22">
      <c r="A17">
        <v>15</v>
      </c>
      <c r="B17" t="s">
        <v>1723</v>
      </c>
      <c r="C17" t="s">
        <v>1724</v>
      </c>
      <c r="D17" t="str">
        <f>IF(VLOOKUP(C17,'Capabilities Overview'!$A$2:$A$587,1)=C17,"","Not in IOE")</f>
        <v>Not in IOE</v>
      </c>
      <c r="E17" t="s">
        <v>275</v>
      </c>
      <c r="F17" t="s">
        <v>275</v>
      </c>
      <c r="G17" t="s">
        <v>275</v>
      </c>
      <c r="H17" t="s">
        <v>275</v>
      </c>
      <c r="I17" t="s">
        <v>275</v>
      </c>
      <c r="J17" t="s">
        <v>275</v>
      </c>
      <c r="K17" t="s">
        <v>275</v>
      </c>
      <c r="L17" t="s">
        <v>275</v>
      </c>
      <c r="M17" t="s">
        <v>275</v>
      </c>
      <c r="N17" t="s">
        <v>275</v>
      </c>
      <c r="O17" t="s">
        <v>1</v>
      </c>
      <c r="P17" t="s">
        <v>275</v>
      </c>
      <c r="Q17" t="s">
        <v>275</v>
      </c>
      <c r="R17" t="s">
        <v>275</v>
      </c>
      <c r="S17" t="s">
        <v>275</v>
      </c>
      <c r="T17" t="s">
        <v>275</v>
      </c>
      <c r="U17" t="s">
        <v>275</v>
      </c>
      <c r="V17" t="s">
        <v>275</v>
      </c>
    </row>
    <row r="18" spans="1:22">
      <c r="A18">
        <v>16</v>
      </c>
      <c r="B18" t="s">
        <v>44</v>
      </c>
      <c r="C18" t="s">
        <v>45</v>
      </c>
      <c r="D18" t="str">
        <f>IF(VLOOKUP(C18,'Capabilities Overview'!$A$2:$A$587,1)=C18,"","Not in IOE")</f>
        <v/>
      </c>
      <c r="E18" t="s">
        <v>275</v>
      </c>
      <c r="F18" t="s">
        <v>275</v>
      </c>
      <c r="G18" t="s">
        <v>275</v>
      </c>
      <c r="H18" t="s">
        <v>275</v>
      </c>
      <c r="I18" t="s">
        <v>275</v>
      </c>
      <c r="J18" t="s">
        <v>275</v>
      </c>
      <c r="K18" t="s">
        <v>275</v>
      </c>
      <c r="L18" t="s">
        <v>275</v>
      </c>
      <c r="M18" t="s">
        <v>275</v>
      </c>
      <c r="N18" t="s">
        <v>275</v>
      </c>
      <c r="O18" t="s">
        <v>1</v>
      </c>
      <c r="P18" t="s">
        <v>275</v>
      </c>
      <c r="Q18" t="s">
        <v>275</v>
      </c>
      <c r="R18" t="s">
        <v>275</v>
      </c>
      <c r="S18" t="s">
        <v>275</v>
      </c>
      <c r="T18" t="s">
        <v>275</v>
      </c>
      <c r="U18" t="s">
        <v>275</v>
      </c>
      <c r="V18" t="s">
        <v>275</v>
      </c>
    </row>
    <row r="19" spans="1:22">
      <c r="A19">
        <v>17</v>
      </c>
      <c r="B19" t="s">
        <v>46</v>
      </c>
      <c r="C19" t="s">
        <v>47</v>
      </c>
      <c r="D19" t="str">
        <f>IF(VLOOKUP(C19,'Capabilities Overview'!$A$2:$A$587,1)=C19,"","Not in IOE")</f>
        <v/>
      </c>
      <c r="E19" t="s">
        <v>275</v>
      </c>
      <c r="F19" t="s">
        <v>275</v>
      </c>
      <c r="G19" t="s">
        <v>275</v>
      </c>
      <c r="H19" t="s">
        <v>275</v>
      </c>
      <c r="I19" t="s">
        <v>275</v>
      </c>
      <c r="J19" t="s">
        <v>275</v>
      </c>
      <c r="K19" t="s">
        <v>275</v>
      </c>
      <c r="L19" t="s">
        <v>275</v>
      </c>
      <c r="M19" t="s">
        <v>275</v>
      </c>
      <c r="N19" t="s">
        <v>275</v>
      </c>
      <c r="O19" t="s">
        <v>1</v>
      </c>
      <c r="P19" t="s">
        <v>275</v>
      </c>
      <c r="Q19" t="s">
        <v>275</v>
      </c>
      <c r="R19" t="s">
        <v>275</v>
      </c>
      <c r="S19" t="s">
        <v>275</v>
      </c>
      <c r="T19" t="s">
        <v>275</v>
      </c>
      <c r="U19" t="s">
        <v>275</v>
      </c>
      <c r="V19" t="s">
        <v>275</v>
      </c>
    </row>
    <row r="20" spans="1:22">
      <c r="A20">
        <v>18</v>
      </c>
      <c r="B20" t="s">
        <v>48</v>
      </c>
      <c r="C20" t="s">
        <v>49</v>
      </c>
      <c r="D20" t="str">
        <f>IF(VLOOKUP(C20,'Capabilities Overview'!$A$2:$A$587,1)=C20,"","Not in IOE")</f>
        <v/>
      </c>
      <c r="E20" t="s">
        <v>275</v>
      </c>
      <c r="F20" t="s">
        <v>275</v>
      </c>
      <c r="G20" t="s">
        <v>275</v>
      </c>
      <c r="H20" t="s">
        <v>275</v>
      </c>
      <c r="I20" t="s">
        <v>275</v>
      </c>
      <c r="J20" t="s">
        <v>275</v>
      </c>
      <c r="K20" t="s">
        <v>275</v>
      </c>
      <c r="L20" t="s">
        <v>275</v>
      </c>
      <c r="M20" t="s">
        <v>275</v>
      </c>
      <c r="N20" t="s">
        <v>275</v>
      </c>
      <c r="O20" t="s">
        <v>1</v>
      </c>
      <c r="P20" t="s">
        <v>275</v>
      </c>
      <c r="Q20" t="s">
        <v>275</v>
      </c>
      <c r="R20" t="s">
        <v>275</v>
      </c>
      <c r="S20" t="s">
        <v>275</v>
      </c>
      <c r="T20" t="s">
        <v>275</v>
      </c>
      <c r="U20" t="s">
        <v>275</v>
      </c>
      <c r="V20" t="s">
        <v>275</v>
      </c>
    </row>
    <row r="21" spans="1:22">
      <c r="A21">
        <v>19</v>
      </c>
      <c r="B21" t="s">
        <v>50</v>
      </c>
      <c r="C21" t="s">
        <v>51</v>
      </c>
      <c r="D21" t="str">
        <f>IF(VLOOKUP(C21,'Capabilities Overview'!$A$2:$A$587,1)=C21,"","Not in IOE")</f>
        <v/>
      </c>
      <c r="E21" t="s">
        <v>275</v>
      </c>
      <c r="F21" t="s">
        <v>275</v>
      </c>
      <c r="G21" t="s">
        <v>275</v>
      </c>
      <c r="H21" t="s">
        <v>275</v>
      </c>
      <c r="I21" t="s">
        <v>275</v>
      </c>
      <c r="J21" t="s">
        <v>275</v>
      </c>
      <c r="K21" t="s">
        <v>275</v>
      </c>
      <c r="L21" t="s">
        <v>275</v>
      </c>
      <c r="M21" t="s">
        <v>275</v>
      </c>
      <c r="N21" t="s">
        <v>275</v>
      </c>
      <c r="O21" t="s">
        <v>1</v>
      </c>
      <c r="P21" t="s">
        <v>275</v>
      </c>
      <c r="Q21" t="s">
        <v>275</v>
      </c>
      <c r="R21" t="s">
        <v>275</v>
      </c>
      <c r="S21" t="s">
        <v>275</v>
      </c>
      <c r="T21" t="s">
        <v>275</v>
      </c>
      <c r="U21" t="s">
        <v>275</v>
      </c>
      <c r="V21" t="s">
        <v>275</v>
      </c>
    </row>
    <row r="22" spans="1:22">
      <c r="A22">
        <v>20</v>
      </c>
      <c r="B22" t="s">
        <v>52</v>
      </c>
      <c r="C22" t="s">
        <v>53</v>
      </c>
      <c r="D22" t="str">
        <f>IF(VLOOKUP(C22,'Capabilities Overview'!$A$2:$A$587,1)=C22,"","Not in IOE")</f>
        <v/>
      </c>
      <c r="E22" t="s">
        <v>275</v>
      </c>
      <c r="F22" t="s">
        <v>275</v>
      </c>
      <c r="G22" t="s">
        <v>275</v>
      </c>
      <c r="H22" t="s">
        <v>275</v>
      </c>
      <c r="I22" t="s">
        <v>275</v>
      </c>
      <c r="J22" t="s">
        <v>275</v>
      </c>
      <c r="K22" t="s">
        <v>275</v>
      </c>
      <c r="L22" t="s">
        <v>275</v>
      </c>
      <c r="M22" t="s">
        <v>275</v>
      </c>
      <c r="N22" t="s">
        <v>275</v>
      </c>
      <c r="O22" t="s">
        <v>1</v>
      </c>
      <c r="P22" t="s">
        <v>275</v>
      </c>
      <c r="Q22" t="s">
        <v>275</v>
      </c>
      <c r="R22" t="s">
        <v>275</v>
      </c>
      <c r="S22" t="s">
        <v>275</v>
      </c>
      <c r="T22" t="s">
        <v>275</v>
      </c>
      <c r="U22" t="s">
        <v>275</v>
      </c>
      <c r="V22" t="s">
        <v>275</v>
      </c>
    </row>
    <row r="23" spans="1:22">
      <c r="A23">
        <v>21</v>
      </c>
      <c r="B23" t="s">
        <v>54</v>
      </c>
      <c r="C23" t="s">
        <v>55</v>
      </c>
      <c r="D23" t="str">
        <f>IF(VLOOKUP(C23,'Capabilities Overview'!$A$2:$A$587,1)=C23,"","Not in IOE")</f>
        <v/>
      </c>
      <c r="E23" t="s">
        <v>275</v>
      </c>
      <c r="F23" t="s">
        <v>275</v>
      </c>
      <c r="G23" t="s">
        <v>275</v>
      </c>
      <c r="H23" t="s">
        <v>275</v>
      </c>
      <c r="I23" t="s">
        <v>275</v>
      </c>
      <c r="J23" t="s">
        <v>275</v>
      </c>
      <c r="K23" t="s">
        <v>275</v>
      </c>
      <c r="L23" t="s">
        <v>275</v>
      </c>
      <c r="M23" t="s">
        <v>275</v>
      </c>
      <c r="N23" t="s">
        <v>275</v>
      </c>
      <c r="O23" t="s">
        <v>1</v>
      </c>
      <c r="P23" t="s">
        <v>275</v>
      </c>
      <c r="Q23" t="s">
        <v>275</v>
      </c>
      <c r="R23" t="s">
        <v>275</v>
      </c>
      <c r="S23" t="s">
        <v>275</v>
      </c>
      <c r="T23" t="s">
        <v>275</v>
      </c>
      <c r="U23" t="s">
        <v>275</v>
      </c>
      <c r="V23" t="s">
        <v>275</v>
      </c>
    </row>
    <row r="24" spans="1:22">
      <c r="A24">
        <v>22</v>
      </c>
      <c r="B24" t="s">
        <v>56</v>
      </c>
      <c r="C24" t="s">
        <v>57</v>
      </c>
      <c r="D24" t="str">
        <f>IF(VLOOKUP(C24,'Capabilities Overview'!$A$2:$A$587,1)=C24,"","Not in IOE")</f>
        <v/>
      </c>
      <c r="E24" t="s">
        <v>275</v>
      </c>
      <c r="F24" t="s">
        <v>275</v>
      </c>
      <c r="G24" t="s">
        <v>275</v>
      </c>
      <c r="H24" t="s">
        <v>275</v>
      </c>
      <c r="I24" t="s">
        <v>275</v>
      </c>
      <c r="J24" t="s">
        <v>275</v>
      </c>
      <c r="K24" t="s">
        <v>275</v>
      </c>
      <c r="L24" t="s">
        <v>275</v>
      </c>
      <c r="M24" t="s">
        <v>275</v>
      </c>
      <c r="N24" t="s">
        <v>275</v>
      </c>
      <c r="O24" t="s">
        <v>1</v>
      </c>
      <c r="P24" t="s">
        <v>275</v>
      </c>
      <c r="Q24" t="s">
        <v>275</v>
      </c>
      <c r="R24" t="s">
        <v>275</v>
      </c>
      <c r="S24" t="s">
        <v>275</v>
      </c>
      <c r="T24" t="s">
        <v>275</v>
      </c>
      <c r="U24" t="s">
        <v>275</v>
      </c>
      <c r="V24" t="s">
        <v>275</v>
      </c>
    </row>
    <row r="25" spans="1:22">
      <c r="A25">
        <v>23</v>
      </c>
      <c r="B25" t="s">
        <v>1725</v>
      </c>
      <c r="C25" t="s">
        <v>1726</v>
      </c>
      <c r="D25" t="str">
        <f>IF(VLOOKUP(C25,'Capabilities Overview'!$A$2:$A$587,1)=C25,"","Not in IOE")</f>
        <v>Not in IOE</v>
      </c>
      <c r="E25" t="s">
        <v>275</v>
      </c>
      <c r="F25" t="s">
        <v>275</v>
      </c>
      <c r="G25" t="s">
        <v>275</v>
      </c>
      <c r="H25" t="s">
        <v>275</v>
      </c>
      <c r="I25" t="s">
        <v>275</v>
      </c>
      <c r="J25" t="s">
        <v>275</v>
      </c>
      <c r="K25" t="s">
        <v>275</v>
      </c>
      <c r="L25" t="s">
        <v>275</v>
      </c>
      <c r="M25" t="s">
        <v>275</v>
      </c>
      <c r="N25" t="s">
        <v>275</v>
      </c>
      <c r="O25" t="s">
        <v>275</v>
      </c>
      <c r="P25" t="s">
        <v>275</v>
      </c>
      <c r="Q25" t="s">
        <v>275</v>
      </c>
      <c r="R25" t="s">
        <v>275</v>
      </c>
      <c r="S25" t="s">
        <v>275</v>
      </c>
      <c r="T25" t="s">
        <v>275</v>
      </c>
      <c r="U25" t="s">
        <v>275</v>
      </c>
      <c r="V25" t="s">
        <v>275</v>
      </c>
    </row>
    <row r="26" spans="1:22">
      <c r="A26">
        <v>24</v>
      </c>
      <c r="B26" t="s">
        <v>58</v>
      </c>
      <c r="C26" t="s">
        <v>59</v>
      </c>
      <c r="D26" t="str">
        <f>IF(VLOOKUP(C26,'Capabilities Overview'!$A$2:$A$587,1)=C26,"","Not in IOE")</f>
        <v/>
      </c>
      <c r="E26" t="s">
        <v>275</v>
      </c>
      <c r="F26" t="s">
        <v>275</v>
      </c>
      <c r="G26" t="s">
        <v>275</v>
      </c>
      <c r="H26" t="s">
        <v>275</v>
      </c>
      <c r="I26" t="s">
        <v>275</v>
      </c>
      <c r="J26" t="s">
        <v>275</v>
      </c>
      <c r="K26" t="s">
        <v>275</v>
      </c>
      <c r="L26" t="s">
        <v>275</v>
      </c>
      <c r="M26" t="s">
        <v>275</v>
      </c>
      <c r="N26" t="s">
        <v>275</v>
      </c>
      <c r="O26" t="s">
        <v>1</v>
      </c>
      <c r="P26" t="s">
        <v>275</v>
      </c>
      <c r="Q26" t="s">
        <v>275</v>
      </c>
      <c r="R26" t="s">
        <v>275</v>
      </c>
      <c r="S26" t="s">
        <v>275</v>
      </c>
      <c r="T26" t="s">
        <v>275</v>
      </c>
      <c r="U26" t="s">
        <v>275</v>
      </c>
      <c r="V26" t="s">
        <v>275</v>
      </c>
    </row>
    <row r="27" spans="1:22">
      <c r="A27">
        <v>25</v>
      </c>
      <c r="B27" t="s">
        <v>1727</v>
      </c>
      <c r="C27" t="s">
        <v>61</v>
      </c>
      <c r="D27" t="str">
        <f>IF(VLOOKUP(C27,'Capabilities Overview'!$A$2:$A$587,1)=C27,"","Not in IOE")</f>
        <v/>
      </c>
      <c r="E27" t="s">
        <v>275</v>
      </c>
      <c r="F27" t="s">
        <v>1</v>
      </c>
      <c r="G27" t="s">
        <v>275</v>
      </c>
      <c r="H27" t="s">
        <v>275</v>
      </c>
      <c r="I27" t="s">
        <v>275</v>
      </c>
      <c r="J27" t="s">
        <v>275</v>
      </c>
      <c r="K27" t="s">
        <v>275</v>
      </c>
      <c r="L27" t="s">
        <v>275</v>
      </c>
      <c r="M27" t="s">
        <v>275</v>
      </c>
      <c r="N27" t="s">
        <v>275</v>
      </c>
      <c r="O27" t="s">
        <v>275</v>
      </c>
      <c r="P27" t="s">
        <v>41</v>
      </c>
      <c r="Q27" t="s">
        <v>275</v>
      </c>
      <c r="R27" t="s">
        <v>275</v>
      </c>
      <c r="S27" t="s">
        <v>275</v>
      </c>
      <c r="T27" t="s">
        <v>275</v>
      </c>
      <c r="U27" t="s">
        <v>275</v>
      </c>
      <c r="V27" t="s">
        <v>275</v>
      </c>
    </row>
    <row r="28" spans="1:22">
      <c r="A28">
        <v>26</v>
      </c>
      <c r="B28" t="s">
        <v>64</v>
      </c>
      <c r="C28" t="s">
        <v>65</v>
      </c>
      <c r="D28" t="str">
        <f>IF(VLOOKUP(C28,'Capabilities Overview'!$A$2:$A$587,1)=C28,"","Not in IOE")</f>
        <v/>
      </c>
      <c r="E28" t="s">
        <v>275</v>
      </c>
      <c r="F28" t="s">
        <v>275</v>
      </c>
      <c r="G28" t="s">
        <v>275</v>
      </c>
      <c r="H28" t="s">
        <v>275</v>
      </c>
      <c r="I28" t="s">
        <v>275</v>
      </c>
      <c r="J28" t="s">
        <v>275</v>
      </c>
      <c r="K28" t="s">
        <v>275</v>
      </c>
      <c r="L28" t="s">
        <v>275</v>
      </c>
      <c r="M28" t="s">
        <v>275</v>
      </c>
      <c r="N28" t="s">
        <v>275</v>
      </c>
      <c r="O28" t="s">
        <v>1</v>
      </c>
      <c r="P28" t="s">
        <v>275</v>
      </c>
      <c r="Q28" t="s">
        <v>275</v>
      </c>
      <c r="R28" t="s">
        <v>275</v>
      </c>
      <c r="S28" t="s">
        <v>275</v>
      </c>
      <c r="T28" t="s">
        <v>275</v>
      </c>
      <c r="U28" t="s">
        <v>275</v>
      </c>
      <c r="V28" t="s">
        <v>275</v>
      </c>
    </row>
    <row r="29" spans="1:22">
      <c r="A29">
        <v>27</v>
      </c>
      <c r="B29" t="s">
        <v>66</v>
      </c>
      <c r="C29" t="s">
        <v>67</v>
      </c>
      <c r="D29" t="str">
        <f>IF(VLOOKUP(C29,'Capabilities Overview'!$A$2:$A$587,1)=C29,"","Not in IOE")</f>
        <v/>
      </c>
      <c r="E29" t="s">
        <v>275</v>
      </c>
      <c r="F29" t="s">
        <v>275</v>
      </c>
      <c r="G29" t="s">
        <v>275</v>
      </c>
      <c r="H29" t="s">
        <v>275</v>
      </c>
      <c r="I29" t="s">
        <v>275</v>
      </c>
      <c r="J29" t="s">
        <v>275</v>
      </c>
      <c r="K29" t="s">
        <v>275</v>
      </c>
      <c r="L29" t="s">
        <v>275</v>
      </c>
      <c r="M29" t="s">
        <v>275</v>
      </c>
      <c r="N29" t="s">
        <v>275</v>
      </c>
      <c r="O29" t="s">
        <v>1</v>
      </c>
      <c r="P29" t="s">
        <v>275</v>
      </c>
      <c r="Q29" t="s">
        <v>275</v>
      </c>
      <c r="R29" t="s">
        <v>275</v>
      </c>
      <c r="S29" t="s">
        <v>275</v>
      </c>
      <c r="T29" t="s">
        <v>275</v>
      </c>
      <c r="U29" t="s">
        <v>275</v>
      </c>
      <c r="V29" t="s">
        <v>275</v>
      </c>
    </row>
    <row r="30" spans="1:22">
      <c r="A30">
        <v>28</v>
      </c>
      <c r="B30" t="s">
        <v>72</v>
      </c>
      <c r="C30" t="s">
        <v>73</v>
      </c>
      <c r="D30" t="str">
        <f>IF(VLOOKUP(C30,'Capabilities Overview'!$A$2:$A$587,1)=C30,"","Not in IOE")</f>
        <v/>
      </c>
      <c r="E30" t="s">
        <v>275</v>
      </c>
      <c r="F30" t="s">
        <v>275</v>
      </c>
      <c r="G30" t="s">
        <v>275</v>
      </c>
      <c r="H30" t="s">
        <v>275</v>
      </c>
      <c r="I30" t="s">
        <v>275</v>
      </c>
      <c r="J30" t="s">
        <v>275</v>
      </c>
      <c r="K30" t="s">
        <v>275</v>
      </c>
      <c r="L30" t="s">
        <v>275</v>
      </c>
      <c r="M30" t="s">
        <v>275</v>
      </c>
      <c r="N30" t="s">
        <v>275</v>
      </c>
      <c r="O30" t="s">
        <v>1</v>
      </c>
      <c r="P30" t="s">
        <v>275</v>
      </c>
      <c r="Q30" t="s">
        <v>275</v>
      </c>
      <c r="R30" t="s">
        <v>275</v>
      </c>
      <c r="S30" t="s">
        <v>275</v>
      </c>
      <c r="T30" t="s">
        <v>275</v>
      </c>
      <c r="U30" t="s">
        <v>275</v>
      </c>
      <c r="V30" t="s">
        <v>275</v>
      </c>
    </row>
    <row r="31" spans="1:22">
      <c r="A31">
        <v>29</v>
      </c>
      <c r="B31" t="s">
        <v>1728</v>
      </c>
      <c r="C31" t="s">
        <v>1729</v>
      </c>
      <c r="D31" t="str">
        <f>IF(VLOOKUP(C31,'Capabilities Overview'!$A$2:$A$587,1)=C31,"","Not in IOE")</f>
        <v>Not in IOE</v>
      </c>
      <c r="E31" t="s">
        <v>275</v>
      </c>
      <c r="F31" t="s">
        <v>275</v>
      </c>
      <c r="G31" t="s">
        <v>275</v>
      </c>
      <c r="H31" t="s">
        <v>275</v>
      </c>
      <c r="I31" t="s">
        <v>275</v>
      </c>
      <c r="J31" t="s">
        <v>275</v>
      </c>
      <c r="K31" t="s">
        <v>275</v>
      </c>
      <c r="L31" t="s">
        <v>275</v>
      </c>
      <c r="M31" t="s">
        <v>275</v>
      </c>
      <c r="N31" t="s">
        <v>275</v>
      </c>
      <c r="O31" t="s">
        <v>1</v>
      </c>
      <c r="P31" t="s">
        <v>275</v>
      </c>
      <c r="Q31" t="s">
        <v>275</v>
      </c>
      <c r="R31" t="s">
        <v>275</v>
      </c>
      <c r="S31" t="s">
        <v>275</v>
      </c>
      <c r="T31" t="s">
        <v>275</v>
      </c>
      <c r="U31" t="s">
        <v>275</v>
      </c>
      <c r="V31" t="s">
        <v>275</v>
      </c>
    </row>
    <row r="32" spans="1:22">
      <c r="A32">
        <v>30</v>
      </c>
      <c r="B32" t="s">
        <v>312</v>
      </c>
      <c r="C32" t="s">
        <v>313</v>
      </c>
      <c r="D32" t="str">
        <f>IF(VLOOKUP(C32,'Capabilities Overview'!$A$2:$A$587,1)=C32,"","Not in IOE")</f>
        <v/>
      </c>
      <c r="E32" t="s">
        <v>1</v>
      </c>
      <c r="F32" t="s">
        <v>275</v>
      </c>
      <c r="G32" t="s">
        <v>275</v>
      </c>
      <c r="H32" t="s">
        <v>275</v>
      </c>
      <c r="I32" t="s">
        <v>1</v>
      </c>
      <c r="J32" t="s">
        <v>1</v>
      </c>
      <c r="K32" t="s">
        <v>1</v>
      </c>
      <c r="L32" t="s">
        <v>275</v>
      </c>
      <c r="M32" t="s">
        <v>275</v>
      </c>
      <c r="N32" t="s">
        <v>1</v>
      </c>
      <c r="O32" t="s">
        <v>275</v>
      </c>
      <c r="P32" t="s">
        <v>275</v>
      </c>
      <c r="Q32" t="s">
        <v>275</v>
      </c>
      <c r="R32" t="s">
        <v>275</v>
      </c>
      <c r="S32" t="s">
        <v>275</v>
      </c>
      <c r="T32" t="s">
        <v>1</v>
      </c>
      <c r="U32" t="s">
        <v>275</v>
      </c>
      <c r="V32" t="s">
        <v>275</v>
      </c>
    </row>
    <row r="33" spans="1:22">
      <c r="A33">
        <v>31</v>
      </c>
      <c r="B33" t="s">
        <v>86</v>
      </c>
      <c r="C33" t="s">
        <v>87</v>
      </c>
      <c r="D33" t="str">
        <f>IF(VLOOKUP(C33,'Capabilities Overview'!$A$2:$A$587,1)=C33,"","Not in IOE")</f>
        <v/>
      </c>
      <c r="E33" t="s">
        <v>275</v>
      </c>
      <c r="F33" t="s">
        <v>1</v>
      </c>
      <c r="G33" t="s">
        <v>275</v>
      </c>
      <c r="H33" t="s">
        <v>275</v>
      </c>
      <c r="I33" t="s">
        <v>275</v>
      </c>
      <c r="J33" t="s">
        <v>275</v>
      </c>
      <c r="K33" t="s">
        <v>275</v>
      </c>
      <c r="L33" t="s">
        <v>275</v>
      </c>
      <c r="M33" t="s">
        <v>275</v>
      </c>
      <c r="N33" t="s">
        <v>275</v>
      </c>
      <c r="O33" t="s">
        <v>275</v>
      </c>
      <c r="P33" t="s">
        <v>275</v>
      </c>
      <c r="Q33" t="s">
        <v>275</v>
      </c>
      <c r="R33" t="s">
        <v>275</v>
      </c>
      <c r="S33" t="s">
        <v>275</v>
      </c>
      <c r="T33" t="s">
        <v>275</v>
      </c>
      <c r="U33" t="s">
        <v>275</v>
      </c>
      <c r="V33" t="s">
        <v>275</v>
      </c>
    </row>
    <row r="34" spans="1:22">
      <c r="A34">
        <v>32</v>
      </c>
      <c r="B34" t="s">
        <v>88</v>
      </c>
      <c r="C34" t="s">
        <v>89</v>
      </c>
      <c r="D34" t="str">
        <f>IF(VLOOKUP(C34,'Capabilities Overview'!$A$2:$A$587,1)=C34,"","Not in IOE")</f>
        <v/>
      </c>
      <c r="E34" t="s">
        <v>1</v>
      </c>
      <c r="F34" t="s">
        <v>1</v>
      </c>
      <c r="G34" t="s">
        <v>1</v>
      </c>
      <c r="H34" t="s">
        <v>1</v>
      </c>
      <c r="I34" t="s">
        <v>1</v>
      </c>
      <c r="J34" t="s">
        <v>1</v>
      </c>
      <c r="K34" t="s">
        <v>1</v>
      </c>
      <c r="L34" t="s">
        <v>1</v>
      </c>
      <c r="M34" t="s">
        <v>1</v>
      </c>
      <c r="N34" t="s">
        <v>1</v>
      </c>
      <c r="O34" t="s">
        <v>1</v>
      </c>
      <c r="P34" t="s">
        <v>1</v>
      </c>
      <c r="Q34" t="s">
        <v>275</v>
      </c>
      <c r="R34" t="s">
        <v>275</v>
      </c>
      <c r="S34" t="s">
        <v>275</v>
      </c>
      <c r="T34" t="s">
        <v>1</v>
      </c>
      <c r="U34" t="s">
        <v>275</v>
      </c>
      <c r="V34" t="s">
        <v>275</v>
      </c>
    </row>
    <row r="35" spans="1:22">
      <c r="A35">
        <v>33</v>
      </c>
      <c r="B35" t="s">
        <v>320</v>
      </c>
      <c r="C35" t="s">
        <v>321</v>
      </c>
      <c r="D35" t="str">
        <f>IF(VLOOKUP(C35,'Capabilities Overview'!$A$2:$A$587,1)=C35,"","Not in IOE")</f>
        <v/>
      </c>
      <c r="E35" t="s">
        <v>1</v>
      </c>
      <c r="F35" t="s">
        <v>1</v>
      </c>
      <c r="G35" t="s">
        <v>275</v>
      </c>
      <c r="H35" t="s">
        <v>1</v>
      </c>
      <c r="I35" t="s">
        <v>1</v>
      </c>
      <c r="J35" t="s">
        <v>1</v>
      </c>
      <c r="K35" t="s">
        <v>1</v>
      </c>
      <c r="L35" t="s">
        <v>275</v>
      </c>
      <c r="M35" t="s">
        <v>275</v>
      </c>
      <c r="N35" t="s">
        <v>275</v>
      </c>
      <c r="O35" t="s">
        <v>275</v>
      </c>
      <c r="P35" t="s">
        <v>275</v>
      </c>
      <c r="Q35" t="s">
        <v>275</v>
      </c>
      <c r="R35" t="s">
        <v>275</v>
      </c>
      <c r="S35" t="s">
        <v>275</v>
      </c>
      <c r="T35" t="s">
        <v>1</v>
      </c>
      <c r="U35" t="s">
        <v>275</v>
      </c>
      <c r="V35" t="s">
        <v>275</v>
      </c>
    </row>
    <row r="36" spans="1:22">
      <c r="A36">
        <v>34</v>
      </c>
      <c r="B36" t="s">
        <v>90</v>
      </c>
      <c r="C36" t="s">
        <v>91</v>
      </c>
      <c r="D36" t="str">
        <f>IF(VLOOKUP(C36,'Capabilities Overview'!$A$2:$A$587,1)=C36,"","Not in IOE")</f>
        <v/>
      </c>
      <c r="E36" t="s">
        <v>1</v>
      </c>
      <c r="F36" t="s">
        <v>1</v>
      </c>
      <c r="G36" t="s">
        <v>275</v>
      </c>
      <c r="H36" t="s">
        <v>1</v>
      </c>
      <c r="I36" t="s">
        <v>1</v>
      </c>
      <c r="J36" t="s">
        <v>1</v>
      </c>
      <c r="K36" t="s">
        <v>1</v>
      </c>
      <c r="L36" t="s">
        <v>1</v>
      </c>
      <c r="M36" t="s">
        <v>1</v>
      </c>
      <c r="N36" t="s">
        <v>1</v>
      </c>
      <c r="O36" t="s">
        <v>275</v>
      </c>
      <c r="P36" t="s">
        <v>1</v>
      </c>
      <c r="Q36" t="s">
        <v>275</v>
      </c>
      <c r="R36" t="s">
        <v>275</v>
      </c>
      <c r="S36" t="s">
        <v>275</v>
      </c>
      <c r="T36" t="s">
        <v>1</v>
      </c>
      <c r="U36" t="s">
        <v>275</v>
      </c>
      <c r="V36" t="s">
        <v>275</v>
      </c>
    </row>
    <row r="37" spans="1:22">
      <c r="A37">
        <v>35</v>
      </c>
      <c r="B37" t="s">
        <v>92</v>
      </c>
      <c r="C37" t="s">
        <v>93</v>
      </c>
      <c r="D37" t="str">
        <f>IF(VLOOKUP(C37,'Capabilities Overview'!$A$2:$A$587,1)=C37,"","Not in IOE")</f>
        <v/>
      </c>
      <c r="E37" t="s">
        <v>1</v>
      </c>
      <c r="F37" t="s">
        <v>1</v>
      </c>
      <c r="G37" t="s">
        <v>275</v>
      </c>
      <c r="H37" t="s">
        <v>1</v>
      </c>
      <c r="I37" t="s">
        <v>1</v>
      </c>
      <c r="J37" t="s">
        <v>1</v>
      </c>
      <c r="K37" t="s">
        <v>1</v>
      </c>
      <c r="L37" t="s">
        <v>1</v>
      </c>
      <c r="M37" t="s">
        <v>1</v>
      </c>
      <c r="N37" t="s">
        <v>1</v>
      </c>
      <c r="O37" t="s">
        <v>1</v>
      </c>
      <c r="P37" t="s">
        <v>1</v>
      </c>
      <c r="Q37" t="s">
        <v>275</v>
      </c>
      <c r="R37" t="s">
        <v>275</v>
      </c>
      <c r="S37" t="s">
        <v>275</v>
      </c>
      <c r="T37" t="s">
        <v>1</v>
      </c>
      <c r="U37" t="s">
        <v>275</v>
      </c>
      <c r="V37" t="s">
        <v>275</v>
      </c>
    </row>
    <row r="38" spans="1:22">
      <c r="A38">
        <v>36</v>
      </c>
      <c r="B38" t="s">
        <v>94</v>
      </c>
      <c r="C38" t="s">
        <v>95</v>
      </c>
      <c r="D38" t="str">
        <f>IF(VLOOKUP(C38,'Capabilities Overview'!$A$2:$A$587,1)=C38,"","Not in IOE")</f>
        <v/>
      </c>
      <c r="E38" t="s">
        <v>1</v>
      </c>
      <c r="F38" t="s">
        <v>1</v>
      </c>
      <c r="G38" t="s">
        <v>1</v>
      </c>
      <c r="H38" t="s">
        <v>1</v>
      </c>
      <c r="I38" t="s">
        <v>1</v>
      </c>
      <c r="J38" t="s">
        <v>1</v>
      </c>
      <c r="K38" t="s">
        <v>1</v>
      </c>
      <c r="L38" t="s">
        <v>1</v>
      </c>
      <c r="M38" t="s">
        <v>1</v>
      </c>
      <c r="N38" t="s">
        <v>275</v>
      </c>
      <c r="O38" t="s">
        <v>1</v>
      </c>
      <c r="P38" t="s">
        <v>1</v>
      </c>
      <c r="Q38" t="s">
        <v>275</v>
      </c>
      <c r="R38" t="s">
        <v>275</v>
      </c>
      <c r="S38" t="s">
        <v>275</v>
      </c>
      <c r="T38" t="s">
        <v>1</v>
      </c>
      <c r="U38" t="s">
        <v>275</v>
      </c>
      <c r="V38" t="s">
        <v>275</v>
      </c>
    </row>
    <row r="39" spans="1:22">
      <c r="A39">
        <v>37</v>
      </c>
      <c r="B39" t="s">
        <v>322</v>
      </c>
      <c r="C39" t="s">
        <v>323</v>
      </c>
      <c r="D39" t="str">
        <f>IF(VLOOKUP(C39,'Capabilities Overview'!$A$2:$A$587,1)=C39,"","Not in IOE")</f>
        <v/>
      </c>
      <c r="E39" t="s">
        <v>1</v>
      </c>
      <c r="F39" t="s">
        <v>1</v>
      </c>
      <c r="G39" t="s">
        <v>275</v>
      </c>
      <c r="H39" t="s">
        <v>275</v>
      </c>
      <c r="I39" t="s">
        <v>275</v>
      </c>
      <c r="J39" t="s">
        <v>275</v>
      </c>
      <c r="K39" t="s">
        <v>275</v>
      </c>
      <c r="L39" t="s">
        <v>275</v>
      </c>
      <c r="M39" t="s">
        <v>275</v>
      </c>
      <c r="N39" t="s">
        <v>275</v>
      </c>
      <c r="O39" t="s">
        <v>275</v>
      </c>
      <c r="P39" t="s">
        <v>275</v>
      </c>
      <c r="Q39" t="s">
        <v>275</v>
      </c>
      <c r="R39" t="s">
        <v>275</v>
      </c>
      <c r="S39" t="s">
        <v>275</v>
      </c>
      <c r="T39" t="s">
        <v>275</v>
      </c>
      <c r="U39" t="s">
        <v>275</v>
      </c>
      <c r="V39" t="s">
        <v>275</v>
      </c>
    </row>
    <row r="40" spans="1:22">
      <c r="A40">
        <v>38</v>
      </c>
      <c r="B40" t="s">
        <v>324</v>
      </c>
      <c r="C40" t="s">
        <v>325</v>
      </c>
      <c r="D40" t="str">
        <f>IF(VLOOKUP(C40,'Capabilities Overview'!$A$2:$A$587,1)=C40,"","Not in IOE")</f>
        <v/>
      </c>
      <c r="E40" t="s">
        <v>1</v>
      </c>
      <c r="F40" t="s">
        <v>1</v>
      </c>
      <c r="G40" t="s">
        <v>275</v>
      </c>
      <c r="H40" t="s">
        <v>1</v>
      </c>
      <c r="I40" t="s">
        <v>1</v>
      </c>
      <c r="J40" t="s">
        <v>1</v>
      </c>
      <c r="K40" t="s">
        <v>1</v>
      </c>
      <c r="L40" t="s">
        <v>275</v>
      </c>
      <c r="M40" t="s">
        <v>275</v>
      </c>
      <c r="N40" t="s">
        <v>275</v>
      </c>
      <c r="O40" t="s">
        <v>275</v>
      </c>
      <c r="P40" t="s">
        <v>275</v>
      </c>
      <c r="Q40" t="s">
        <v>275</v>
      </c>
      <c r="R40" t="s">
        <v>275</v>
      </c>
      <c r="S40" t="s">
        <v>275</v>
      </c>
      <c r="T40" t="s">
        <v>1</v>
      </c>
      <c r="U40" t="s">
        <v>275</v>
      </c>
      <c r="V40" t="s">
        <v>275</v>
      </c>
    </row>
    <row r="41" spans="1:22">
      <c r="A41">
        <v>39</v>
      </c>
      <c r="B41" t="s">
        <v>326</v>
      </c>
      <c r="C41" t="s">
        <v>327</v>
      </c>
      <c r="D41" t="str">
        <f>IF(VLOOKUP(C41,'Capabilities Overview'!$A$2:$A$587,1)=C41,"","Not in IOE")</f>
        <v/>
      </c>
      <c r="E41" t="s">
        <v>1</v>
      </c>
      <c r="F41" t="s">
        <v>1</v>
      </c>
      <c r="G41" t="s">
        <v>275</v>
      </c>
      <c r="H41" t="s">
        <v>275</v>
      </c>
      <c r="I41" t="s">
        <v>1</v>
      </c>
      <c r="J41" t="s">
        <v>1</v>
      </c>
      <c r="K41" t="s">
        <v>275</v>
      </c>
      <c r="L41" t="s">
        <v>275</v>
      </c>
      <c r="M41" t="s">
        <v>275</v>
      </c>
      <c r="N41" t="s">
        <v>275</v>
      </c>
      <c r="O41" t="s">
        <v>275</v>
      </c>
      <c r="P41" t="s">
        <v>275</v>
      </c>
      <c r="Q41" t="s">
        <v>275</v>
      </c>
      <c r="R41" t="s">
        <v>275</v>
      </c>
      <c r="S41" t="s">
        <v>275</v>
      </c>
      <c r="T41" t="s">
        <v>275</v>
      </c>
      <c r="U41" t="s">
        <v>275</v>
      </c>
      <c r="V41" t="s">
        <v>275</v>
      </c>
    </row>
    <row r="42" spans="1:22">
      <c r="A42">
        <v>40</v>
      </c>
      <c r="B42" t="s">
        <v>328</v>
      </c>
      <c r="C42" t="s">
        <v>329</v>
      </c>
      <c r="D42" t="str">
        <f>IF(VLOOKUP(C42,'Capabilities Overview'!$A$2:$A$587,1)=C42,"","Not in IOE")</f>
        <v/>
      </c>
      <c r="E42" t="s">
        <v>1</v>
      </c>
      <c r="F42" t="s">
        <v>1</v>
      </c>
      <c r="G42" t="s">
        <v>275</v>
      </c>
      <c r="H42" t="s">
        <v>275</v>
      </c>
      <c r="I42" t="s">
        <v>275</v>
      </c>
      <c r="J42" t="s">
        <v>275</v>
      </c>
      <c r="K42" t="s">
        <v>275</v>
      </c>
      <c r="L42" t="s">
        <v>275</v>
      </c>
      <c r="M42" t="s">
        <v>275</v>
      </c>
      <c r="N42" t="s">
        <v>275</v>
      </c>
      <c r="O42" t="s">
        <v>275</v>
      </c>
      <c r="P42" t="s">
        <v>275</v>
      </c>
      <c r="Q42" t="s">
        <v>275</v>
      </c>
      <c r="R42" t="s">
        <v>275</v>
      </c>
      <c r="S42" t="s">
        <v>275</v>
      </c>
      <c r="T42" t="s">
        <v>275</v>
      </c>
      <c r="U42" t="s">
        <v>275</v>
      </c>
      <c r="V42" t="s">
        <v>275</v>
      </c>
    </row>
    <row r="43" spans="1:22">
      <c r="A43">
        <v>41</v>
      </c>
      <c r="B43" t="s">
        <v>96</v>
      </c>
      <c r="C43" t="s">
        <v>97</v>
      </c>
      <c r="D43" t="str">
        <f>IF(VLOOKUP(C43,'Capabilities Overview'!$A$2:$A$587,1)=C43,"","Not in IOE")</f>
        <v/>
      </c>
      <c r="E43" t="s">
        <v>1</v>
      </c>
      <c r="F43" t="s">
        <v>275</v>
      </c>
      <c r="G43" t="s">
        <v>275</v>
      </c>
      <c r="H43" t="s">
        <v>275</v>
      </c>
      <c r="I43" t="s">
        <v>275</v>
      </c>
      <c r="J43" t="s">
        <v>275</v>
      </c>
      <c r="K43" t="s">
        <v>275</v>
      </c>
      <c r="L43" t="s">
        <v>275</v>
      </c>
      <c r="M43" t="s">
        <v>275</v>
      </c>
      <c r="N43" t="s">
        <v>275</v>
      </c>
      <c r="O43" t="s">
        <v>275</v>
      </c>
      <c r="P43" t="s">
        <v>1</v>
      </c>
      <c r="Q43" t="s">
        <v>275</v>
      </c>
      <c r="R43" t="s">
        <v>275</v>
      </c>
      <c r="S43" t="s">
        <v>275</v>
      </c>
      <c r="T43" t="s">
        <v>275</v>
      </c>
      <c r="U43" t="s">
        <v>275</v>
      </c>
      <c r="V43" t="s">
        <v>275</v>
      </c>
    </row>
    <row r="44" spans="1:22">
      <c r="A44">
        <v>42</v>
      </c>
      <c r="B44" t="s">
        <v>330</v>
      </c>
      <c r="C44" t="s">
        <v>331</v>
      </c>
      <c r="D44" t="str">
        <f>IF(VLOOKUP(C44,'Capabilities Overview'!$A$2:$A$587,1)=C44,"","Not in IOE")</f>
        <v/>
      </c>
      <c r="E44" t="s">
        <v>275</v>
      </c>
      <c r="F44" t="s">
        <v>1</v>
      </c>
      <c r="G44" t="s">
        <v>275</v>
      </c>
      <c r="H44" t="s">
        <v>275</v>
      </c>
      <c r="I44" t="s">
        <v>1</v>
      </c>
      <c r="J44" t="s">
        <v>1</v>
      </c>
      <c r="K44" t="s">
        <v>275</v>
      </c>
      <c r="L44" t="s">
        <v>275</v>
      </c>
      <c r="M44" t="s">
        <v>275</v>
      </c>
      <c r="N44" t="s">
        <v>275</v>
      </c>
      <c r="O44" t="s">
        <v>275</v>
      </c>
      <c r="P44" t="s">
        <v>275</v>
      </c>
      <c r="Q44" t="s">
        <v>275</v>
      </c>
      <c r="R44" t="s">
        <v>275</v>
      </c>
      <c r="S44" t="s">
        <v>275</v>
      </c>
      <c r="T44" t="s">
        <v>275</v>
      </c>
      <c r="U44" t="s">
        <v>275</v>
      </c>
      <c r="V44" t="s">
        <v>275</v>
      </c>
    </row>
    <row r="45" spans="1:22">
      <c r="A45">
        <v>43</v>
      </c>
      <c r="B45" t="s">
        <v>332</v>
      </c>
      <c r="C45" t="s">
        <v>333</v>
      </c>
      <c r="D45" t="str">
        <f>IF(VLOOKUP(C45,'Capabilities Overview'!$A$2:$A$587,1)=C45,"","Not in IOE")</f>
        <v/>
      </c>
      <c r="E45" t="s">
        <v>1</v>
      </c>
      <c r="F45" t="s">
        <v>1</v>
      </c>
      <c r="G45" t="s">
        <v>275</v>
      </c>
      <c r="H45" t="s">
        <v>275</v>
      </c>
      <c r="I45" t="s">
        <v>275</v>
      </c>
      <c r="J45" t="s">
        <v>275</v>
      </c>
      <c r="K45" t="s">
        <v>275</v>
      </c>
      <c r="L45" t="s">
        <v>275</v>
      </c>
      <c r="M45" t="s">
        <v>275</v>
      </c>
      <c r="N45" t="s">
        <v>275</v>
      </c>
      <c r="O45" t="s">
        <v>275</v>
      </c>
      <c r="P45" t="s">
        <v>275</v>
      </c>
      <c r="Q45" t="s">
        <v>275</v>
      </c>
      <c r="R45" t="s">
        <v>275</v>
      </c>
      <c r="S45" t="s">
        <v>275</v>
      </c>
      <c r="T45" t="s">
        <v>275</v>
      </c>
      <c r="U45" t="s">
        <v>275</v>
      </c>
      <c r="V45" t="s">
        <v>275</v>
      </c>
    </row>
    <row r="46" spans="1:22">
      <c r="A46">
        <v>44</v>
      </c>
      <c r="B46" t="s">
        <v>334</v>
      </c>
      <c r="C46" t="s">
        <v>335</v>
      </c>
      <c r="D46" t="str">
        <f>IF(VLOOKUP(C46,'Capabilities Overview'!$A$2:$A$587,1)=C46,"","Not in IOE")</f>
        <v/>
      </c>
      <c r="E46" t="s">
        <v>1</v>
      </c>
      <c r="F46" t="s">
        <v>1</v>
      </c>
      <c r="G46" t="s">
        <v>275</v>
      </c>
      <c r="H46" t="s">
        <v>275</v>
      </c>
      <c r="I46" t="s">
        <v>275</v>
      </c>
      <c r="J46" t="s">
        <v>275</v>
      </c>
      <c r="K46" t="s">
        <v>275</v>
      </c>
      <c r="L46" t="s">
        <v>275</v>
      </c>
      <c r="M46" t="s">
        <v>275</v>
      </c>
      <c r="N46" t="s">
        <v>275</v>
      </c>
      <c r="O46" t="s">
        <v>275</v>
      </c>
      <c r="P46" t="s">
        <v>275</v>
      </c>
      <c r="Q46" t="s">
        <v>275</v>
      </c>
      <c r="R46" t="s">
        <v>275</v>
      </c>
      <c r="S46" t="s">
        <v>275</v>
      </c>
      <c r="T46" t="s">
        <v>275</v>
      </c>
      <c r="U46" t="s">
        <v>275</v>
      </c>
      <c r="V46" t="s">
        <v>275</v>
      </c>
    </row>
    <row r="47" spans="1:22">
      <c r="A47">
        <v>45</v>
      </c>
      <c r="B47" t="s">
        <v>336</v>
      </c>
      <c r="C47" t="s">
        <v>337</v>
      </c>
      <c r="D47" t="str">
        <f>IF(VLOOKUP(C47,'Capabilities Overview'!$A$2:$A$587,1)=C47,"","Not in IOE")</f>
        <v/>
      </c>
      <c r="E47" t="s">
        <v>1</v>
      </c>
      <c r="F47" t="s">
        <v>1</v>
      </c>
      <c r="G47" t="s">
        <v>275</v>
      </c>
      <c r="H47" t="s">
        <v>275</v>
      </c>
      <c r="I47" t="s">
        <v>275</v>
      </c>
      <c r="J47" t="s">
        <v>275</v>
      </c>
      <c r="K47" t="s">
        <v>275</v>
      </c>
      <c r="L47" t="s">
        <v>275</v>
      </c>
      <c r="M47" t="s">
        <v>275</v>
      </c>
      <c r="N47" t="s">
        <v>275</v>
      </c>
      <c r="O47" t="s">
        <v>275</v>
      </c>
      <c r="P47" t="s">
        <v>275</v>
      </c>
      <c r="Q47" t="s">
        <v>275</v>
      </c>
      <c r="R47" t="s">
        <v>275</v>
      </c>
      <c r="S47" t="s">
        <v>275</v>
      </c>
      <c r="T47" t="s">
        <v>275</v>
      </c>
      <c r="U47" t="s">
        <v>275</v>
      </c>
      <c r="V47" t="s">
        <v>275</v>
      </c>
    </row>
    <row r="48" spans="1:22">
      <c r="A48">
        <v>46</v>
      </c>
      <c r="B48" t="s">
        <v>98</v>
      </c>
      <c r="C48" t="s">
        <v>99</v>
      </c>
      <c r="D48" t="str">
        <f>IF(VLOOKUP(C48,'Capabilities Overview'!$A$2:$A$587,1)=C48,"","Not in IOE")</f>
        <v/>
      </c>
      <c r="E48" t="s">
        <v>275</v>
      </c>
      <c r="F48" t="s">
        <v>275</v>
      </c>
      <c r="G48" t="s">
        <v>275</v>
      </c>
      <c r="H48" t="s">
        <v>275</v>
      </c>
      <c r="I48" t="s">
        <v>275</v>
      </c>
      <c r="J48" t="s">
        <v>275</v>
      </c>
      <c r="K48" t="s">
        <v>275</v>
      </c>
      <c r="L48" t="s">
        <v>275</v>
      </c>
      <c r="M48" t="s">
        <v>275</v>
      </c>
      <c r="N48" t="s">
        <v>275</v>
      </c>
      <c r="O48" t="s">
        <v>1</v>
      </c>
      <c r="P48" t="s">
        <v>275</v>
      </c>
      <c r="Q48" t="s">
        <v>275</v>
      </c>
      <c r="R48" t="s">
        <v>275</v>
      </c>
      <c r="S48" t="s">
        <v>275</v>
      </c>
      <c r="T48" t="s">
        <v>275</v>
      </c>
      <c r="U48" t="s">
        <v>275</v>
      </c>
      <c r="V48" t="s">
        <v>275</v>
      </c>
    </row>
    <row r="49" spans="1:22">
      <c r="A49">
        <v>47</v>
      </c>
      <c r="B49" t="s">
        <v>100</v>
      </c>
      <c r="C49" t="s">
        <v>101</v>
      </c>
      <c r="D49" t="str">
        <f>IF(VLOOKUP(C49,'Capabilities Overview'!$A$2:$A$587,1)=C49,"","Not in IOE")</f>
        <v/>
      </c>
      <c r="E49" t="s">
        <v>1</v>
      </c>
      <c r="F49" t="s">
        <v>275</v>
      </c>
      <c r="G49" t="s">
        <v>275</v>
      </c>
      <c r="H49" t="s">
        <v>1</v>
      </c>
      <c r="I49" t="s">
        <v>1</v>
      </c>
      <c r="J49" t="s">
        <v>1</v>
      </c>
      <c r="K49" t="s">
        <v>1</v>
      </c>
      <c r="L49" t="s">
        <v>1</v>
      </c>
      <c r="M49" t="s">
        <v>1</v>
      </c>
      <c r="N49" t="s">
        <v>1</v>
      </c>
      <c r="O49" t="s">
        <v>275</v>
      </c>
      <c r="P49" t="s">
        <v>1</v>
      </c>
      <c r="Q49" t="s">
        <v>275</v>
      </c>
      <c r="R49" t="s">
        <v>275</v>
      </c>
      <c r="S49" t="s">
        <v>275</v>
      </c>
      <c r="T49" t="s">
        <v>1</v>
      </c>
      <c r="U49" t="s">
        <v>275</v>
      </c>
      <c r="V49" t="s">
        <v>275</v>
      </c>
    </row>
    <row r="50" spans="1:22">
      <c r="A50">
        <v>48</v>
      </c>
      <c r="B50" t="s">
        <v>338</v>
      </c>
      <c r="C50" t="s">
        <v>339</v>
      </c>
      <c r="D50" t="str">
        <f>IF(VLOOKUP(C50,'Capabilities Overview'!$A$2:$A$587,1)=C50,"","Not in IOE")</f>
        <v/>
      </c>
      <c r="E50" t="s">
        <v>1</v>
      </c>
      <c r="F50" t="s">
        <v>1</v>
      </c>
      <c r="G50" t="s">
        <v>275</v>
      </c>
      <c r="H50" t="s">
        <v>275</v>
      </c>
      <c r="I50" t="s">
        <v>275</v>
      </c>
      <c r="J50" t="s">
        <v>275</v>
      </c>
      <c r="K50" t="s">
        <v>275</v>
      </c>
      <c r="L50" t="s">
        <v>275</v>
      </c>
      <c r="M50" t="s">
        <v>275</v>
      </c>
      <c r="N50" t="s">
        <v>275</v>
      </c>
      <c r="O50" t="s">
        <v>275</v>
      </c>
      <c r="P50" t="s">
        <v>275</v>
      </c>
      <c r="Q50" t="s">
        <v>275</v>
      </c>
      <c r="R50" t="s">
        <v>275</v>
      </c>
      <c r="S50" t="s">
        <v>275</v>
      </c>
      <c r="T50" t="s">
        <v>275</v>
      </c>
      <c r="U50" t="s">
        <v>275</v>
      </c>
      <c r="V50" t="s">
        <v>275</v>
      </c>
    </row>
    <row r="51" spans="1:22">
      <c r="A51">
        <v>49</v>
      </c>
      <c r="B51" t="s">
        <v>340</v>
      </c>
      <c r="C51" t="s">
        <v>341</v>
      </c>
      <c r="D51" t="str">
        <f>IF(VLOOKUP(C51,'Capabilities Overview'!$A$2:$A$587,1)=C51,"","Not in IOE")</f>
        <v/>
      </c>
      <c r="E51" t="s">
        <v>1</v>
      </c>
      <c r="F51" t="s">
        <v>1</v>
      </c>
      <c r="G51" t="s">
        <v>275</v>
      </c>
      <c r="H51" t="s">
        <v>275</v>
      </c>
      <c r="I51" t="s">
        <v>275</v>
      </c>
      <c r="J51" t="s">
        <v>275</v>
      </c>
      <c r="K51" t="s">
        <v>275</v>
      </c>
      <c r="L51" t="s">
        <v>275</v>
      </c>
      <c r="M51" t="s">
        <v>275</v>
      </c>
      <c r="N51" t="s">
        <v>275</v>
      </c>
      <c r="O51" t="s">
        <v>275</v>
      </c>
      <c r="P51" t="s">
        <v>275</v>
      </c>
      <c r="Q51" t="s">
        <v>275</v>
      </c>
      <c r="R51" t="s">
        <v>275</v>
      </c>
      <c r="S51" t="s">
        <v>275</v>
      </c>
      <c r="T51" t="s">
        <v>275</v>
      </c>
      <c r="U51" t="s">
        <v>275</v>
      </c>
      <c r="V51" t="s">
        <v>275</v>
      </c>
    </row>
    <row r="52" spans="1:22">
      <c r="A52">
        <v>50</v>
      </c>
      <c r="B52" t="s">
        <v>342</v>
      </c>
      <c r="C52" t="s">
        <v>343</v>
      </c>
      <c r="D52" t="str">
        <f>IF(VLOOKUP(C52,'Capabilities Overview'!$A$2:$A$587,1)=C52,"","Not in IOE")</f>
        <v/>
      </c>
      <c r="E52" t="s">
        <v>275</v>
      </c>
      <c r="F52" t="s">
        <v>1</v>
      </c>
      <c r="G52" t="s">
        <v>275</v>
      </c>
      <c r="H52" t="s">
        <v>275</v>
      </c>
      <c r="I52" t="s">
        <v>275</v>
      </c>
      <c r="J52" t="s">
        <v>275</v>
      </c>
      <c r="K52" t="s">
        <v>275</v>
      </c>
      <c r="L52" t="s">
        <v>275</v>
      </c>
      <c r="M52" t="s">
        <v>275</v>
      </c>
      <c r="N52" t="s">
        <v>275</v>
      </c>
      <c r="O52" t="s">
        <v>275</v>
      </c>
      <c r="P52" t="s">
        <v>275</v>
      </c>
      <c r="Q52" t="s">
        <v>275</v>
      </c>
      <c r="R52" t="s">
        <v>275</v>
      </c>
      <c r="S52" t="s">
        <v>275</v>
      </c>
      <c r="T52" t="s">
        <v>275</v>
      </c>
      <c r="U52" t="s">
        <v>275</v>
      </c>
      <c r="V52" t="s">
        <v>275</v>
      </c>
    </row>
    <row r="53" spans="1:22">
      <c r="A53">
        <v>51</v>
      </c>
      <c r="B53" t="s">
        <v>344</v>
      </c>
      <c r="C53" t="s">
        <v>345</v>
      </c>
      <c r="D53" t="str">
        <f>IF(VLOOKUP(C53,'Capabilities Overview'!$A$2:$A$587,1)=C53,"","Not in IOE")</f>
        <v/>
      </c>
      <c r="E53" t="s">
        <v>1</v>
      </c>
      <c r="F53" t="s">
        <v>1</v>
      </c>
      <c r="G53" t="s">
        <v>275</v>
      </c>
      <c r="H53" t="s">
        <v>275</v>
      </c>
      <c r="I53" t="s">
        <v>275</v>
      </c>
      <c r="J53" t="s">
        <v>275</v>
      </c>
      <c r="K53" t="s">
        <v>275</v>
      </c>
      <c r="L53" t="s">
        <v>275</v>
      </c>
      <c r="M53" t="s">
        <v>275</v>
      </c>
      <c r="N53" t="s">
        <v>275</v>
      </c>
      <c r="O53" t="s">
        <v>275</v>
      </c>
      <c r="P53" t="s">
        <v>275</v>
      </c>
      <c r="Q53" t="s">
        <v>275</v>
      </c>
      <c r="R53" t="s">
        <v>275</v>
      </c>
      <c r="S53" t="s">
        <v>275</v>
      </c>
      <c r="T53" t="s">
        <v>275</v>
      </c>
      <c r="U53" t="s">
        <v>275</v>
      </c>
      <c r="V53" t="s">
        <v>275</v>
      </c>
    </row>
    <row r="54" spans="1:22">
      <c r="A54">
        <v>52</v>
      </c>
      <c r="B54" t="s">
        <v>346</v>
      </c>
      <c r="C54" t="s">
        <v>347</v>
      </c>
      <c r="D54" t="str">
        <f>IF(VLOOKUP(C54,'Capabilities Overview'!$A$2:$A$587,1)=C54,"","Not in IOE")</f>
        <v/>
      </c>
      <c r="E54" t="s">
        <v>275</v>
      </c>
      <c r="F54" t="s">
        <v>275</v>
      </c>
      <c r="G54" t="s">
        <v>275</v>
      </c>
      <c r="H54" t="s">
        <v>275</v>
      </c>
      <c r="I54" t="s">
        <v>275</v>
      </c>
      <c r="J54" t="s">
        <v>275</v>
      </c>
      <c r="K54" t="s">
        <v>275</v>
      </c>
      <c r="L54" t="s">
        <v>275</v>
      </c>
      <c r="M54" t="s">
        <v>275</v>
      </c>
      <c r="N54" t="s">
        <v>275</v>
      </c>
      <c r="O54" t="s">
        <v>275</v>
      </c>
      <c r="P54" t="s">
        <v>275</v>
      </c>
      <c r="Q54" t="s">
        <v>275</v>
      </c>
      <c r="R54" t="s">
        <v>275</v>
      </c>
      <c r="S54" t="s">
        <v>275</v>
      </c>
      <c r="T54" t="s">
        <v>275</v>
      </c>
      <c r="U54" t="s">
        <v>275</v>
      </c>
      <c r="V54" t="s">
        <v>275</v>
      </c>
    </row>
    <row r="55" spans="1:22">
      <c r="A55">
        <v>53</v>
      </c>
      <c r="B55" t="s">
        <v>348</v>
      </c>
      <c r="C55" t="s">
        <v>349</v>
      </c>
      <c r="D55" t="str">
        <f>IF(VLOOKUP(C55,'Capabilities Overview'!$A$2:$A$587,1)=C55,"","Not in IOE")</f>
        <v/>
      </c>
      <c r="E55" t="s">
        <v>1</v>
      </c>
      <c r="F55" t="s">
        <v>1</v>
      </c>
      <c r="G55" t="s">
        <v>1</v>
      </c>
      <c r="H55" t="s">
        <v>1</v>
      </c>
      <c r="I55" t="s">
        <v>1</v>
      </c>
      <c r="J55" t="s">
        <v>1</v>
      </c>
      <c r="K55" t="s">
        <v>1</v>
      </c>
      <c r="L55" t="s">
        <v>275</v>
      </c>
      <c r="M55" t="s">
        <v>275</v>
      </c>
      <c r="N55" t="s">
        <v>275</v>
      </c>
      <c r="O55" t="s">
        <v>275</v>
      </c>
      <c r="P55" t="s">
        <v>275</v>
      </c>
      <c r="Q55" t="s">
        <v>275</v>
      </c>
      <c r="R55" t="s">
        <v>1</v>
      </c>
      <c r="S55" t="s">
        <v>275</v>
      </c>
      <c r="T55" t="s">
        <v>1</v>
      </c>
      <c r="U55" t="s">
        <v>275</v>
      </c>
      <c r="V55" t="s">
        <v>275</v>
      </c>
    </row>
    <row r="56" spans="1:22">
      <c r="A56">
        <v>54</v>
      </c>
      <c r="B56" t="s">
        <v>102</v>
      </c>
      <c r="C56" t="s">
        <v>103</v>
      </c>
      <c r="D56" t="str">
        <f>IF(VLOOKUP(C56,'Capabilities Overview'!$A$2:$A$587,1)=C56,"","Not in IOE")</f>
        <v/>
      </c>
      <c r="E56" t="s">
        <v>1</v>
      </c>
      <c r="F56" t="s">
        <v>1</v>
      </c>
      <c r="G56" t="s">
        <v>275</v>
      </c>
      <c r="H56" t="s">
        <v>275</v>
      </c>
      <c r="I56" t="s">
        <v>275</v>
      </c>
      <c r="J56" t="s">
        <v>275</v>
      </c>
      <c r="K56" t="s">
        <v>275</v>
      </c>
      <c r="L56" t="s">
        <v>275</v>
      </c>
      <c r="M56" t="s">
        <v>275</v>
      </c>
      <c r="N56" t="s">
        <v>275</v>
      </c>
      <c r="O56" t="s">
        <v>275</v>
      </c>
      <c r="P56" t="s">
        <v>1</v>
      </c>
      <c r="Q56" t="s">
        <v>275</v>
      </c>
      <c r="R56" t="s">
        <v>275</v>
      </c>
      <c r="S56" t="s">
        <v>275</v>
      </c>
      <c r="T56" t="s">
        <v>275</v>
      </c>
      <c r="U56" t="s">
        <v>275</v>
      </c>
      <c r="V56" t="s">
        <v>275</v>
      </c>
    </row>
    <row r="57" spans="1:22">
      <c r="A57">
        <v>55</v>
      </c>
      <c r="B57" t="s">
        <v>350</v>
      </c>
      <c r="C57" t="s">
        <v>351</v>
      </c>
      <c r="D57" t="str">
        <f>IF(VLOOKUP(C57,'Capabilities Overview'!$A$2:$A$587,1)=C57,"","Not in IOE")</f>
        <v/>
      </c>
      <c r="E57" t="s">
        <v>1</v>
      </c>
      <c r="F57" t="s">
        <v>1</v>
      </c>
      <c r="G57" t="s">
        <v>275</v>
      </c>
      <c r="H57" t="s">
        <v>275</v>
      </c>
      <c r="I57" t="s">
        <v>1</v>
      </c>
      <c r="J57" t="s">
        <v>1</v>
      </c>
      <c r="K57" t="s">
        <v>275</v>
      </c>
      <c r="L57" t="s">
        <v>275</v>
      </c>
      <c r="M57" t="s">
        <v>275</v>
      </c>
      <c r="N57" t="s">
        <v>275</v>
      </c>
      <c r="O57" t="s">
        <v>275</v>
      </c>
      <c r="P57" t="s">
        <v>275</v>
      </c>
      <c r="Q57" t="s">
        <v>275</v>
      </c>
      <c r="R57" t="s">
        <v>275</v>
      </c>
      <c r="S57" t="s">
        <v>275</v>
      </c>
      <c r="T57" t="s">
        <v>275</v>
      </c>
      <c r="U57" t="s">
        <v>275</v>
      </c>
      <c r="V57" t="s">
        <v>275</v>
      </c>
    </row>
    <row r="58" spans="1:22">
      <c r="A58">
        <v>56</v>
      </c>
      <c r="B58" t="s">
        <v>104</v>
      </c>
      <c r="C58" t="s">
        <v>105</v>
      </c>
      <c r="D58" t="str">
        <f>IF(VLOOKUP(C58,'Capabilities Overview'!$A$2:$A$587,1)=C58,"","Not in IOE")</f>
        <v/>
      </c>
      <c r="E58" t="s">
        <v>1</v>
      </c>
      <c r="F58" t="s">
        <v>1</v>
      </c>
      <c r="G58" t="s">
        <v>275</v>
      </c>
      <c r="H58" t="s">
        <v>275</v>
      </c>
      <c r="I58" t="s">
        <v>275</v>
      </c>
      <c r="J58" t="s">
        <v>275</v>
      </c>
      <c r="K58" t="s">
        <v>275</v>
      </c>
      <c r="L58" t="s">
        <v>275</v>
      </c>
      <c r="M58" t="s">
        <v>275</v>
      </c>
      <c r="N58" t="s">
        <v>275</v>
      </c>
      <c r="O58" t="s">
        <v>275</v>
      </c>
      <c r="P58" t="s">
        <v>1</v>
      </c>
      <c r="Q58" t="s">
        <v>275</v>
      </c>
      <c r="R58" t="s">
        <v>275</v>
      </c>
      <c r="S58" t="s">
        <v>275</v>
      </c>
      <c r="T58" t="s">
        <v>275</v>
      </c>
      <c r="U58" t="s">
        <v>275</v>
      </c>
      <c r="V58" t="s">
        <v>275</v>
      </c>
    </row>
    <row r="59" spans="1:22">
      <c r="A59">
        <v>57</v>
      </c>
      <c r="B59" t="s">
        <v>352</v>
      </c>
      <c r="C59" t="s">
        <v>353</v>
      </c>
      <c r="D59" t="str">
        <f>IF(VLOOKUP(C59,'Capabilities Overview'!$A$2:$A$587,1)=C59,"","Not in IOE")</f>
        <v/>
      </c>
      <c r="E59" t="s">
        <v>1</v>
      </c>
      <c r="F59" t="s">
        <v>1</v>
      </c>
      <c r="G59" t="s">
        <v>275</v>
      </c>
      <c r="H59" t="s">
        <v>275</v>
      </c>
      <c r="I59" t="s">
        <v>275</v>
      </c>
      <c r="J59" t="s">
        <v>275</v>
      </c>
      <c r="K59" t="s">
        <v>275</v>
      </c>
      <c r="L59" t="s">
        <v>275</v>
      </c>
      <c r="M59" t="s">
        <v>275</v>
      </c>
      <c r="N59" t="s">
        <v>275</v>
      </c>
      <c r="O59" t="s">
        <v>275</v>
      </c>
      <c r="P59" t="s">
        <v>275</v>
      </c>
      <c r="Q59" t="s">
        <v>275</v>
      </c>
      <c r="R59" t="s">
        <v>275</v>
      </c>
      <c r="S59" t="s">
        <v>275</v>
      </c>
      <c r="T59" t="s">
        <v>275</v>
      </c>
      <c r="U59" t="s">
        <v>275</v>
      </c>
      <c r="V59" t="s">
        <v>275</v>
      </c>
    </row>
    <row r="60" spans="1:22">
      <c r="A60">
        <v>58</v>
      </c>
      <c r="B60" t="s">
        <v>354</v>
      </c>
      <c r="C60" t="s">
        <v>355</v>
      </c>
      <c r="D60" t="str">
        <f>IF(VLOOKUP(C60,'Capabilities Overview'!$A$2:$A$587,1)=C60,"","Not in IOE")</f>
        <v/>
      </c>
      <c r="E60" t="s">
        <v>1</v>
      </c>
      <c r="F60" t="s">
        <v>1</v>
      </c>
      <c r="G60" t="s">
        <v>275</v>
      </c>
      <c r="H60" t="s">
        <v>275</v>
      </c>
      <c r="I60" t="s">
        <v>275</v>
      </c>
      <c r="J60" t="s">
        <v>275</v>
      </c>
      <c r="K60" t="s">
        <v>275</v>
      </c>
      <c r="L60" t="s">
        <v>275</v>
      </c>
      <c r="M60" t="s">
        <v>275</v>
      </c>
      <c r="N60" t="s">
        <v>275</v>
      </c>
      <c r="O60" t="s">
        <v>275</v>
      </c>
      <c r="P60" t="s">
        <v>275</v>
      </c>
      <c r="Q60" t="s">
        <v>275</v>
      </c>
      <c r="R60" t="s">
        <v>275</v>
      </c>
      <c r="S60" t="s">
        <v>275</v>
      </c>
      <c r="T60" t="s">
        <v>275</v>
      </c>
      <c r="U60" t="s">
        <v>275</v>
      </c>
      <c r="V60" t="s">
        <v>275</v>
      </c>
    </row>
    <row r="61" spans="1:22">
      <c r="A61">
        <v>59</v>
      </c>
      <c r="B61" t="s">
        <v>106</v>
      </c>
      <c r="C61" t="s">
        <v>107</v>
      </c>
      <c r="D61" t="str">
        <f>IF(VLOOKUP(C61,'Capabilities Overview'!$A$2:$A$587,1)=C61,"","Not in IOE")</f>
        <v/>
      </c>
      <c r="E61" t="s">
        <v>1</v>
      </c>
      <c r="F61" t="s">
        <v>1</v>
      </c>
      <c r="G61" t="s">
        <v>275</v>
      </c>
      <c r="H61" t="s">
        <v>275</v>
      </c>
      <c r="I61" t="s">
        <v>275</v>
      </c>
      <c r="J61" t="s">
        <v>275</v>
      </c>
      <c r="K61" t="s">
        <v>275</v>
      </c>
      <c r="L61" t="s">
        <v>275</v>
      </c>
      <c r="M61" t="s">
        <v>275</v>
      </c>
      <c r="N61" t="s">
        <v>275</v>
      </c>
      <c r="O61" t="s">
        <v>275</v>
      </c>
      <c r="P61" t="s">
        <v>1</v>
      </c>
      <c r="Q61" t="s">
        <v>275</v>
      </c>
      <c r="R61" t="s">
        <v>275</v>
      </c>
      <c r="S61" t="s">
        <v>275</v>
      </c>
      <c r="T61" t="s">
        <v>275</v>
      </c>
      <c r="U61" t="s">
        <v>275</v>
      </c>
      <c r="V61" t="s">
        <v>275</v>
      </c>
    </row>
    <row r="62" spans="1:22">
      <c r="A62">
        <v>60</v>
      </c>
      <c r="B62" t="s">
        <v>108</v>
      </c>
      <c r="C62" t="s">
        <v>109</v>
      </c>
      <c r="D62" t="str">
        <f>IF(VLOOKUP(C62,'Capabilities Overview'!$A$2:$A$587,1)=C62,"","Not in IOE")</f>
        <v/>
      </c>
      <c r="E62" t="s">
        <v>1</v>
      </c>
      <c r="F62" t="s">
        <v>1</v>
      </c>
      <c r="G62" t="s">
        <v>275</v>
      </c>
      <c r="H62" t="s">
        <v>275</v>
      </c>
      <c r="I62" t="s">
        <v>275</v>
      </c>
      <c r="J62" t="s">
        <v>275</v>
      </c>
      <c r="K62" t="s">
        <v>275</v>
      </c>
      <c r="L62" t="s">
        <v>275</v>
      </c>
      <c r="M62" t="s">
        <v>275</v>
      </c>
      <c r="N62" t="s">
        <v>275</v>
      </c>
      <c r="O62" t="s">
        <v>275</v>
      </c>
      <c r="P62" t="s">
        <v>1</v>
      </c>
      <c r="Q62" t="s">
        <v>275</v>
      </c>
      <c r="R62" t="s">
        <v>275</v>
      </c>
      <c r="S62" t="s">
        <v>275</v>
      </c>
      <c r="T62" t="s">
        <v>275</v>
      </c>
      <c r="U62" t="s">
        <v>275</v>
      </c>
      <c r="V62" t="s">
        <v>275</v>
      </c>
    </row>
    <row r="63" spans="1:22">
      <c r="A63">
        <v>61</v>
      </c>
      <c r="B63" t="s">
        <v>356</v>
      </c>
      <c r="C63" t="s">
        <v>357</v>
      </c>
      <c r="D63" t="str">
        <f>IF(VLOOKUP(C63,'Capabilities Overview'!$A$2:$A$587,1)=C63,"","Not in IOE")</f>
        <v/>
      </c>
      <c r="E63" t="s">
        <v>1</v>
      </c>
      <c r="F63" t="s">
        <v>1</v>
      </c>
      <c r="G63" t="s">
        <v>275</v>
      </c>
      <c r="H63" t="s">
        <v>1</v>
      </c>
      <c r="I63" t="s">
        <v>1</v>
      </c>
      <c r="J63" t="s">
        <v>1</v>
      </c>
      <c r="K63" t="s">
        <v>1</v>
      </c>
      <c r="L63" t="s">
        <v>275</v>
      </c>
      <c r="M63" t="s">
        <v>275</v>
      </c>
      <c r="N63" t="s">
        <v>275</v>
      </c>
      <c r="O63" t="s">
        <v>275</v>
      </c>
      <c r="P63" t="s">
        <v>275</v>
      </c>
      <c r="Q63" t="s">
        <v>275</v>
      </c>
      <c r="R63" t="s">
        <v>275</v>
      </c>
      <c r="S63" t="s">
        <v>275</v>
      </c>
      <c r="T63" t="s">
        <v>1</v>
      </c>
      <c r="U63" t="s">
        <v>275</v>
      </c>
      <c r="V63" t="s">
        <v>275</v>
      </c>
    </row>
    <row r="64" spans="1:22">
      <c r="A64">
        <v>62</v>
      </c>
      <c r="B64" t="s">
        <v>110</v>
      </c>
      <c r="C64" t="s">
        <v>111</v>
      </c>
      <c r="D64" t="str">
        <f>IF(VLOOKUP(C64,'Capabilities Overview'!$A$2:$A$587,1)=C64,"","Not in IOE")</f>
        <v/>
      </c>
      <c r="E64" t="s">
        <v>275</v>
      </c>
      <c r="F64" t="s">
        <v>1</v>
      </c>
      <c r="G64" t="s">
        <v>275</v>
      </c>
      <c r="H64" t="s">
        <v>275</v>
      </c>
      <c r="I64" t="s">
        <v>275</v>
      </c>
      <c r="J64" t="s">
        <v>275</v>
      </c>
      <c r="K64" t="s">
        <v>275</v>
      </c>
      <c r="L64" t="s">
        <v>275</v>
      </c>
      <c r="M64" t="s">
        <v>275</v>
      </c>
      <c r="N64" t="s">
        <v>275</v>
      </c>
      <c r="O64" t="s">
        <v>275</v>
      </c>
      <c r="P64" t="s">
        <v>1</v>
      </c>
      <c r="Q64" t="s">
        <v>275</v>
      </c>
      <c r="R64" t="s">
        <v>275</v>
      </c>
      <c r="S64" t="s">
        <v>275</v>
      </c>
      <c r="T64" t="s">
        <v>275</v>
      </c>
      <c r="U64" t="s">
        <v>275</v>
      </c>
      <c r="V64" t="s">
        <v>275</v>
      </c>
    </row>
    <row r="65" spans="1:22">
      <c r="A65">
        <v>63</v>
      </c>
      <c r="B65" t="s">
        <v>358</v>
      </c>
      <c r="C65" t="s">
        <v>359</v>
      </c>
      <c r="D65" t="str">
        <f>IF(VLOOKUP(C65,'Capabilities Overview'!$A$2:$A$587,1)=C65,"","Not in IOE")</f>
        <v/>
      </c>
      <c r="E65" t="s">
        <v>1</v>
      </c>
      <c r="F65" t="s">
        <v>1</v>
      </c>
      <c r="G65" t="s">
        <v>275</v>
      </c>
      <c r="H65" t="s">
        <v>1</v>
      </c>
      <c r="I65" t="s">
        <v>1</v>
      </c>
      <c r="J65" t="s">
        <v>1</v>
      </c>
      <c r="K65" t="s">
        <v>1</v>
      </c>
      <c r="L65" t="s">
        <v>275</v>
      </c>
      <c r="M65" t="s">
        <v>275</v>
      </c>
      <c r="N65" t="s">
        <v>275</v>
      </c>
      <c r="O65" t="s">
        <v>275</v>
      </c>
      <c r="P65" t="s">
        <v>275</v>
      </c>
      <c r="Q65" t="s">
        <v>275</v>
      </c>
      <c r="R65" t="s">
        <v>275</v>
      </c>
      <c r="S65" t="s">
        <v>275</v>
      </c>
      <c r="T65" t="s">
        <v>1</v>
      </c>
      <c r="U65" t="s">
        <v>275</v>
      </c>
      <c r="V65" t="s">
        <v>275</v>
      </c>
    </row>
    <row r="66" spans="1:22">
      <c r="A66">
        <v>64</v>
      </c>
      <c r="B66" t="s">
        <v>112</v>
      </c>
      <c r="C66" t="s">
        <v>113</v>
      </c>
      <c r="D66" t="str">
        <f>IF(VLOOKUP(C66,'Capabilities Overview'!$A$2:$A$587,1)=C66,"","Not in IOE")</f>
        <v/>
      </c>
      <c r="E66" t="s">
        <v>1</v>
      </c>
      <c r="F66" t="s">
        <v>1</v>
      </c>
      <c r="G66" t="s">
        <v>275</v>
      </c>
      <c r="H66" t="s">
        <v>275</v>
      </c>
      <c r="I66" t="s">
        <v>275</v>
      </c>
      <c r="J66" t="s">
        <v>275</v>
      </c>
      <c r="K66" t="s">
        <v>275</v>
      </c>
      <c r="L66" t="s">
        <v>275</v>
      </c>
      <c r="M66" t="s">
        <v>275</v>
      </c>
      <c r="N66" t="s">
        <v>275</v>
      </c>
      <c r="O66" t="s">
        <v>10</v>
      </c>
      <c r="P66" t="s">
        <v>1</v>
      </c>
      <c r="Q66" t="s">
        <v>275</v>
      </c>
      <c r="R66" t="s">
        <v>275</v>
      </c>
      <c r="S66" t="s">
        <v>275</v>
      </c>
      <c r="T66" t="s">
        <v>275</v>
      </c>
      <c r="U66" t="s">
        <v>275</v>
      </c>
      <c r="V66" t="s">
        <v>275</v>
      </c>
    </row>
    <row r="67" spans="1:22">
      <c r="A67">
        <v>65</v>
      </c>
      <c r="B67" t="s">
        <v>360</v>
      </c>
      <c r="C67" t="s">
        <v>361</v>
      </c>
      <c r="D67" t="str">
        <f>IF(VLOOKUP(C67,'Capabilities Overview'!$A$2:$A$587,1)=C67,"","Not in IOE")</f>
        <v/>
      </c>
      <c r="E67" t="s">
        <v>1</v>
      </c>
      <c r="F67" t="s">
        <v>1</v>
      </c>
      <c r="G67" t="s">
        <v>275</v>
      </c>
      <c r="H67" t="s">
        <v>275</v>
      </c>
      <c r="I67" t="s">
        <v>275</v>
      </c>
      <c r="J67" t="s">
        <v>275</v>
      </c>
      <c r="K67" t="s">
        <v>275</v>
      </c>
      <c r="L67" t="s">
        <v>275</v>
      </c>
      <c r="M67" t="s">
        <v>275</v>
      </c>
      <c r="N67" t="s">
        <v>275</v>
      </c>
      <c r="O67" t="s">
        <v>275</v>
      </c>
      <c r="P67" t="s">
        <v>275</v>
      </c>
      <c r="Q67" t="s">
        <v>275</v>
      </c>
      <c r="R67" t="s">
        <v>275</v>
      </c>
      <c r="S67" t="s">
        <v>275</v>
      </c>
      <c r="T67" t="s">
        <v>275</v>
      </c>
      <c r="U67" t="s">
        <v>275</v>
      </c>
      <c r="V67" t="s">
        <v>275</v>
      </c>
    </row>
    <row r="68" spans="1:22">
      <c r="A68">
        <v>66</v>
      </c>
      <c r="B68" t="s">
        <v>362</v>
      </c>
      <c r="C68" t="s">
        <v>363</v>
      </c>
      <c r="D68" t="str">
        <f>IF(VLOOKUP(C68,'Capabilities Overview'!$A$2:$A$587,1)=C68,"","Not in IOE")</f>
        <v/>
      </c>
      <c r="E68" t="s">
        <v>1</v>
      </c>
      <c r="F68" t="s">
        <v>1</v>
      </c>
      <c r="G68" t="s">
        <v>275</v>
      </c>
      <c r="H68" t="s">
        <v>275</v>
      </c>
      <c r="I68" t="s">
        <v>275</v>
      </c>
      <c r="J68" t="s">
        <v>275</v>
      </c>
      <c r="K68" t="s">
        <v>275</v>
      </c>
      <c r="L68" t="s">
        <v>275</v>
      </c>
      <c r="M68" t="s">
        <v>275</v>
      </c>
      <c r="N68" t="s">
        <v>275</v>
      </c>
      <c r="O68" t="s">
        <v>275</v>
      </c>
      <c r="P68" t="s">
        <v>275</v>
      </c>
      <c r="Q68" t="s">
        <v>275</v>
      </c>
      <c r="R68" t="s">
        <v>275</v>
      </c>
      <c r="S68" t="s">
        <v>275</v>
      </c>
      <c r="T68" t="s">
        <v>275</v>
      </c>
      <c r="U68" t="s">
        <v>275</v>
      </c>
      <c r="V68" t="s">
        <v>275</v>
      </c>
    </row>
    <row r="69" spans="1:22">
      <c r="A69">
        <v>67</v>
      </c>
      <c r="B69" t="s">
        <v>114</v>
      </c>
      <c r="C69" t="s">
        <v>115</v>
      </c>
      <c r="D69" t="str">
        <f>IF(VLOOKUP(C69,'Capabilities Overview'!$A$2:$A$587,1)=C69,"","Not in IOE")</f>
        <v/>
      </c>
      <c r="E69" t="s">
        <v>1</v>
      </c>
      <c r="F69" t="s">
        <v>1</v>
      </c>
      <c r="G69" t="s">
        <v>275</v>
      </c>
      <c r="H69" t="s">
        <v>275</v>
      </c>
      <c r="I69" t="s">
        <v>275</v>
      </c>
      <c r="J69" t="s">
        <v>275</v>
      </c>
      <c r="K69" t="s">
        <v>275</v>
      </c>
      <c r="L69" t="s">
        <v>275</v>
      </c>
      <c r="M69" t="s">
        <v>275</v>
      </c>
      <c r="N69" t="s">
        <v>275</v>
      </c>
      <c r="O69" t="s">
        <v>10</v>
      </c>
      <c r="P69" t="s">
        <v>1</v>
      </c>
      <c r="Q69" t="s">
        <v>275</v>
      </c>
      <c r="R69" t="s">
        <v>275</v>
      </c>
      <c r="S69" t="s">
        <v>275</v>
      </c>
      <c r="T69" t="s">
        <v>275</v>
      </c>
      <c r="U69" t="s">
        <v>275</v>
      </c>
      <c r="V69" t="s">
        <v>275</v>
      </c>
    </row>
    <row r="70" spans="1:22">
      <c r="A70">
        <v>68</v>
      </c>
      <c r="B70" t="s">
        <v>116</v>
      </c>
      <c r="C70" t="s">
        <v>117</v>
      </c>
      <c r="D70" t="str">
        <f>IF(VLOOKUP(C70,'Capabilities Overview'!$A$2:$A$587,1)=C70,"","Not in IOE")</f>
        <v/>
      </c>
      <c r="E70" t="s">
        <v>1</v>
      </c>
      <c r="F70" t="s">
        <v>1</v>
      </c>
      <c r="G70" t="s">
        <v>275</v>
      </c>
      <c r="H70" t="s">
        <v>275</v>
      </c>
      <c r="I70" t="s">
        <v>275</v>
      </c>
      <c r="J70" t="s">
        <v>275</v>
      </c>
      <c r="K70" t="s">
        <v>275</v>
      </c>
      <c r="L70" t="s">
        <v>275</v>
      </c>
      <c r="M70" t="s">
        <v>275</v>
      </c>
      <c r="N70" t="s">
        <v>275</v>
      </c>
      <c r="O70" t="s">
        <v>10</v>
      </c>
      <c r="P70" t="s">
        <v>1</v>
      </c>
      <c r="Q70" t="s">
        <v>275</v>
      </c>
      <c r="R70" t="s">
        <v>275</v>
      </c>
      <c r="S70" t="s">
        <v>275</v>
      </c>
      <c r="T70" t="s">
        <v>275</v>
      </c>
      <c r="U70" t="s">
        <v>275</v>
      </c>
      <c r="V70" t="s">
        <v>275</v>
      </c>
    </row>
    <row r="71" spans="1:22">
      <c r="A71">
        <v>69</v>
      </c>
      <c r="B71" t="s">
        <v>364</v>
      </c>
      <c r="C71" t="s">
        <v>365</v>
      </c>
      <c r="D71" t="str">
        <f>IF(VLOOKUP(C71,'Capabilities Overview'!$A$2:$A$587,1)=C71,"","Not in IOE")</f>
        <v/>
      </c>
      <c r="E71" t="s">
        <v>275</v>
      </c>
      <c r="F71" t="s">
        <v>275</v>
      </c>
      <c r="G71" t="s">
        <v>275</v>
      </c>
      <c r="H71" t="s">
        <v>275</v>
      </c>
      <c r="I71" t="s">
        <v>275</v>
      </c>
      <c r="J71" t="s">
        <v>275</v>
      </c>
      <c r="K71" t="s">
        <v>275</v>
      </c>
      <c r="L71" t="s">
        <v>275</v>
      </c>
      <c r="M71" t="s">
        <v>275</v>
      </c>
      <c r="N71" t="s">
        <v>275</v>
      </c>
      <c r="O71" t="s">
        <v>275</v>
      </c>
      <c r="P71" t="s">
        <v>275</v>
      </c>
      <c r="Q71" t="s">
        <v>275</v>
      </c>
      <c r="R71" t="s">
        <v>275</v>
      </c>
      <c r="S71" t="s">
        <v>275</v>
      </c>
      <c r="T71" t="s">
        <v>275</v>
      </c>
      <c r="U71" t="s">
        <v>275</v>
      </c>
      <c r="V71" t="s">
        <v>275</v>
      </c>
    </row>
    <row r="72" spans="1:22">
      <c r="A72">
        <v>70</v>
      </c>
      <c r="B72" t="s">
        <v>118</v>
      </c>
      <c r="C72" t="s">
        <v>119</v>
      </c>
      <c r="D72" t="str">
        <f>IF(VLOOKUP(C72,'Capabilities Overview'!$A$2:$A$587,1)=C72,"","Not in IOE")</f>
        <v/>
      </c>
      <c r="E72" t="s">
        <v>1</v>
      </c>
      <c r="F72" t="s">
        <v>275</v>
      </c>
      <c r="G72" t="s">
        <v>275</v>
      </c>
      <c r="H72" t="s">
        <v>275</v>
      </c>
      <c r="I72" t="s">
        <v>275</v>
      </c>
      <c r="J72" t="s">
        <v>275</v>
      </c>
      <c r="K72" t="s">
        <v>275</v>
      </c>
      <c r="L72" t="s">
        <v>275</v>
      </c>
      <c r="M72" t="s">
        <v>275</v>
      </c>
      <c r="N72" t="s">
        <v>275</v>
      </c>
      <c r="O72" t="s">
        <v>275</v>
      </c>
      <c r="P72" t="s">
        <v>1</v>
      </c>
      <c r="Q72" t="s">
        <v>275</v>
      </c>
      <c r="R72" t="s">
        <v>275</v>
      </c>
      <c r="S72" t="s">
        <v>275</v>
      </c>
      <c r="T72" t="s">
        <v>275</v>
      </c>
      <c r="U72" t="s">
        <v>275</v>
      </c>
      <c r="V72" t="s">
        <v>275</v>
      </c>
    </row>
    <row r="73" spans="1:22">
      <c r="A73">
        <v>71</v>
      </c>
      <c r="B73" t="s">
        <v>120</v>
      </c>
      <c r="C73" t="s">
        <v>121</v>
      </c>
      <c r="D73" t="str">
        <f>IF(VLOOKUP(C73,'Capabilities Overview'!$A$2:$A$587,1)=C73,"","Not in IOE")</f>
        <v/>
      </c>
      <c r="E73" t="s">
        <v>1</v>
      </c>
      <c r="F73" t="s">
        <v>275</v>
      </c>
      <c r="G73" t="s">
        <v>275</v>
      </c>
      <c r="H73" t="s">
        <v>275</v>
      </c>
      <c r="I73" t="s">
        <v>275</v>
      </c>
      <c r="J73" t="s">
        <v>275</v>
      </c>
      <c r="K73" t="s">
        <v>275</v>
      </c>
      <c r="L73" t="s">
        <v>275</v>
      </c>
      <c r="M73" t="s">
        <v>275</v>
      </c>
      <c r="N73" t="s">
        <v>275</v>
      </c>
      <c r="O73" t="s">
        <v>275</v>
      </c>
      <c r="P73" t="s">
        <v>1</v>
      </c>
      <c r="Q73" t="s">
        <v>275</v>
      </c>
      <c r="R73" t="s">
        <v>275</v>
      </c>
      <c r="S73" t="s">
        <v>275</v>
      </c>
      <c r="T73" t="s">
        <v>275</v>
      </c>
      <c r="U73" t="s">
        <v>275</v>
      </c>
      <c r="V73" t="s">
        <v>275</v>
      </c>
    </row>
    <row r="74" spans="1:22">
      <c r="A74">
        <v>72</v>
      </c>
      <c r="B74" t="s">
        <v>366</v>
      </c>
      <c r="C74" t="s">
        <v>367</v>
      </c>
      <c r="D74" t="str">
        <f>IF(VLOOKUP(C74,'Capabilities Overview'!$A$2:$A$587,1)=C74,"","Not in IOE")</f>
        <v/>
      </c>
      <c r="E74" t="s">
        <v>1</v>
      </c>
      <c r="F74" t="s">
        <v>1</v>
      </c>
      <c r="G74" t="s">
        <v>275</v>
      </c>
      <c r="H74" t="s">
        <v>275</v>
      </c>
      <c r="I74" t="s">
        <v>275</v>
      </c>
      <c r="J74" t="s">
        <v>275</v>
      </c>
      <c r="K74" t="s">
        <v>275</v>
      </c>
      <c r="L74" t="s">
        <v>275</v>
      </c>
      <c r="M74" t="s">
        <v>275</v>
      </c>
      <c r="N74" t="s">
        <v>275</v>
      </c>
      <c r="O74" t="s">
        <v>275</v>
      </c>
      <c r="P74" t="s">
        <v>275</v>
      </c>
      <c r="Q74" t="s">
        <v>275</v>
      </c>
      <c r="R74" t="s">
        <v>275</v>
      </c>
      <c r="S74" t="s">
        <v>275</v>
      </c>
      <c r="T74" t="s">
        <v>275</v>
      </c>
      <c r="U74" t="s">
        <v>275</v>
      </c>
      <c r="V74" t="s">
        <v>275</v>
      </c>
    </row>
    <row r="75" spans="1:22">
      <c r="A75">
        <v>73</v>
      </c>
      <c r="B75" t="s">
        <v>368</v>
      </c>
      <c r="C75" t="s">
        <v>369</v>
      </c>
      <c r="D75" t="str">
        <f>IF(VLOOKUP(C75,'Capabilities Overview'!$A$2:$A$587,1)=C75,"","Not in IOE")</f>
        <v/>
      </c>
      <c r="E75" t="s">
        <v>1</v>
      </c>
      <c r="F75" t="s">
        <v>1</v>
      </c>
      <c r="G75" t="s">
        <v>275</v>
      </c>
      <c r="H75" t="s">
        <v>275</v>
      </c>
      <c r="I75" t="s">
        <v>275</v>
      </c>
      <c r="J75" t="s">
        <v>275</v>
      </c>
      <c r="K75" t="s">
        <v>275</v>
      </c>
      <c r="L75" t="s">
        <v>275</v>
      </c>
      <c r="M75" t="s">
        <v>275</v>
      </c>
      <c r="N75" t="s">
        <v>275</v>
      </c>
      <c r="O75" t="s">
        <v>275</v>
      </c>
      <c r="P75" t="s">
        <v>275</v>
      </c>
      <c r="Q75" t="s">
        <v>275</v>
      </c>
      <c r="R75" t="s">
        <v>1</v>
      </c>
      <c r="S75" t="s">
        <v>275</v>
      </c>
      <c r="T75" t="s">
        <v>275</v>
      </c>
      <c r="U75" t="s">
        <v>275</v>
      </c>
      <c r="V75" t="s">
        <v>275</v>
      </c>
    </row>
    <row r="76" spans="1:22">
      <c r="A76">
        <v>74</v>
      </c>
      <c r="B76" t="s">
        <v>122</v>
      </c>
      <c r="C76" t="s">
        <v>123</v>
      </c>
      <c r="D76" t="str">
        <f>IF(VLOOKUP(C76,'Capabilities Overview'!$A$2:$A$587,1)=C76,"","Not in IOE")</f>
        <v/>
      </c>
      <c r="E76" t="s">
        <v>1</v>
      </c>
      <c r="F76" t="s">
        <v>275</v>
      </c>
      <c r="G76" t="s">
        <v>275</v>
      </c>
      <c r="H76" t="s">
        <v>275</v>
      </c>
      <c r="I76" t="s">
        <v>275</v>
      </c>
      <c r="J76" t="s">
        <v>275</v>
      </c>
      <c r="K76" t="s">
        <v>275</v>
      </c>
      <c r="L76" t="s">
        <v>275</v>
      </c>
      <c r="M76" t="s">
        <v>275</v>
      </c>
      <c r="N76" t="s">
        <v>275</v>
      </c>
      <c r="O76" t="s">
        <v>275</v>
      </c>
      <c r="P76" t="s">
        <v>1</v>
      </c>
      <c r="Q76" t="s">
        <v>275</v>
      </c>
      <c r="R76" t="s">
        <v>275</v>
      </c>
      <c r="S76" t="s">
        <v>275</v>
      </c>
      <c r="T76" t="s">
        <v>275</v>
      </c>
      <c r="U76" t="s">
        <v>275</v>
      </c>
      <c r="V76" t="s">
        <v>275</v>
      </c>
    </row>
    <row r="77" spans="1:22">
      <c r="A77">
        <v>75</v>
      </c>
      <c r="B77" t="s">
        <v>370</v>
      </c>
      <c r="C77" t="s">
        <v>371</v>
      </c>
      <c r="D77" t="str">
        <f>IF(VLOOKUP(C77,'Capabilities Overview'!$A$2:$A$587,1)=C77,"","Not in IOE")</f>
        <v/>
      </c>
      <c r="E77" t="s">
        <v>275</v>
      </c>
      <c r="F77" t="s">
        <v>1</v>
      </c>
      <c r="G77" t="s">
        <v>275</v>
      </c>
      <c r="H77" t="s">
        <v>275</v>
      </c>
      <c r="I77" t="s">
        <v>275</v>
      </c>
      <c r="J77" t="s">
        <v>275</v>
      </c>
      <c r="K77" t="s">
        <v>275</v>
      </c>
      <c r="L77" t="s">
        <v>275</v>
      </c>
      <c r="M77" t="s">
        <v>275</v>
      </c>
      <c r="N77" t="s">
        <v>275</v>
      </c>
      <c r="O77" t="s">
        <v>275</v>
      </c>
      <c r="P77" t="s">
        <v>275</v>
      </c>
      <c r="Q77" t="s">
        <v>275</v>
      </c>
      <c r="R77" t="s">
        <v>275</v>
      </c>
      <c r="S77" t="s">
        <v>275</v>
      </c>
      <c r="T77" t="s">
        <v>275</v>
      </c>
      <c r="U77" t="s">
        <v>275</v>
      </c>
      <c r="V77" t="s">
        <v>275</v>
      </c>
    </row>
    <row r="78" spans="1:22">
      <c r="A78">
        <v>76</v>
      </c>
      <c r="B78" t="s">
        <v>372</v>
      </c>
      <c r="C78" t="s">
        <v>373</v>
      </c>
      <c r="D78" t="str">
        <f>IF(VLOOKUP(C78,'Capabilities Overview'!$A$2:$A$587,1)=C78,"","Not in IOE")</f>
        <v/>
      </c>
      <c r="E78" t="s">
        <v>1</v>
      </c>
      <c r="F78" t="s">
        <v>1</v>
      </c>
      <c r="G78" t="s">
        <v>275</v>
      </c>
      <c r="H78" t="s">
        <v>1</v>
      </c>
      <c r="I78" t="s">
        <v>1</v>
      </c>
      <c r="J78" t="s">
        <v>1</v>
      </c>
      <c r="K78" t="s">
        <v>1</v>
      </c>
      <c r="L78" t="s">
        <v>275</v>
      </c>
      <c r="M78" t="s">
        <v>275</v>
      </c>
      <c r="N78" t="s">
        <v>275</v>
      </c>
      <c r="O78" t="s">
        <v>275</v>
      </c>
      <c r="P78" t="s">
        <v>275</v>
      </c>
      <c r="Q78" t="s">
        <v>275</v>
      </c>
      <c r="R78" t="s">
        <v>275</v>
      </c>
      <c r="S78" t="s">
        <v>275</v>
      </c>
      <c r="T78" t="s">
        <v>1</v>
      </c>
      <c r="U78" t="s">
        <v>275</v>
      </c>
      <c r="V78" t="s">
        <v>275</v>
      </c>
    </row>
    <row r="79" spans="1:22">
      <c r="A79">
        <v>77</v>
      </c>
      <c r="B79" t="s">
        <v>376</v>
      </c>
      <c r="C79" t="s">
        <v>377</v>
      </c>
      <c r="D79" t="str">
        <f>IF(VLOOKUP(C79,'Capabilities Overview'!$A$2:$A$587,1)=C79,"","Not in IOE")</f>
        <v/>
      </c>
      <c r="E79" t="s">
        <v>275</v>
      </c>
      <c r="F79" t="s">
        <v>1</v>
      </c>
      <c r="G79" t="s">
        <v>275</v>
      </c>
      <c r="H79" t="s">
        <v>275</v>
      </c>
      <c r="I79" t="s">
        <v>275</v>
      </c>
      <c r="J79" t="s">
        <v>275</v>
      </c>
      <c r="K79" t="s">
        <v>275</v>
      </c>
      <c r="L79" t="s">
        <v>275</v>
      </c>
      <c r="M79" t="s">
        <v>275</v>
      </c>
      <c r="N79" t="s">
        <v>275</v>
      </c>
      <c r="O79" t="s">
        <v>275</v>
      </c>
      <c r="P79" t="s">
        <v>275</v>
      </c>
      <c r="Q79" t="s">
        <v>275</v>
      </c>
      <c r="R79" t="s">
        <v>275</v>
      </c>
      <c r="S79" t="s">
        <v>275</v>
      </c>
      <c r="T79" t="s">
        <v>275</v>
      </c>
      <c r="U79" t="s">
        <v>275</v>
      </c>
      <c r="V79" t="s">
        <v>275</v>
      </c>
    </row>
    <row r="80" spans="1:22">
      <c r="A80">
        <v>78</v>
      </c>
      <c r="B80" t="s">
        <v>378</v>
      </c>
      <c r="C80" t="s">
        <v>379</v>
      </c>
      <c r="D80" t="str">
        <f>IF(VLOOKUP(C80,'Capabilities Overview'!$A$2:$A$587,1)=C80,"","Not in IOE")</f>
        <v/>
      </c>
      <c r="E80" t="s">
        <v>1</v>
      </c>
      <c r="F80" t="s">
        <v>275</v>
      </c>
      <c r="G80" t="s">
        <v>275</v>
      </c>
      <c r="H80" t="s">
        <v>275</v>
      </c>
      <c r="I80" t="s">
        <v>275</v>
      </c>
      <c r="J80" t="s">
        <v>275</v>
      </c>
      <c r="K80" t="s">
        <v>275</v>
      </c>
      <c r="L80" t="s">
        <v>275</v>
      </c>
      <c r="M80" t="s">
        <v>275</v>
      </c>
      <c r="N80" t="s">
        <v>275</v>
      </c>
      <c r="O80" t="s">
        <v>275</v>
      </c>
      <c r="P80" t="s">
        <v>275</v>
      </c>
      <c r="Q80" t="s">
        <v>275</v>
      </c>
      <c r="R80" t="s">
        <v>275</v>
      </c>
      <c r="S80" t="s">
        <v>275</v>
      </c>
      <c r="T80" t="s">
        <v>275</v>
      </c>
      <c r="U80" t="s">
        <v>275</v>
      </c>
      <c r="V80" t="s">
        <v>275</v>
      </c>
    </row>
    <row r="81" spans="1:22">
      <c r="A81">
        <v>79</v>
      </c>
      <c r="B81" t="s">
        <v>380</v>
      </c>
      <c r="C81" t="s">
        <v>381</v>
      </c>
      <c r="D81" t="str">
        <f>IF(VLOOKUP(C81,'Capabilities Overview'!$A$2:$A$587,1)=C81,"","Not in IOE")</f>
        <v/>
      </c>
      <c r="E81" t="s">
        <v>1</v>
      </c>
      <c r="F81" t="s">
        <v>1</v>
      </c>
      <c r="G81" t="s">
        <v>275</v>
      </c>
      <c r="H81" t="s">
        <v>275</v>
      </c>
      <c r="I81" t="s">
        <v>275</v>
      </c>
      <c r="J81" t="s">
        <v>275</v>
      </c>
      <c r="K81" t="s">
        <v>275</v>
      </c>
      <c r="L81" t="s">
        <v>275</v>
      </c>
      <c r="M81" t="s">
        <v>275</v>
      </c>
      <c r="N81" t="s">
        <v>275</v>
      </c>
      <c r="O81" t="s">
        <v>275</v>
      </c>
      <c r="P81" t="s">
        <v>275</v>
      </c>
      <c r="Q81" t="s">
        <v>275</v>
      </c>
      <c r="R81" t="s">
        <v>275</v>
      </c>
      <c r="S81" t="s">
        <v>275</v>
      </c>
      <c r="T81" t="s">
        <v>275</v>
      </c>
      <c r="U81" t="s">
        <v>275</v>
      </c>
      <c r="V81" t="s">
        <v>275</v>
      </c>
    </row>
    <row r="82" spans="1:22">
      <c r="A82">
        <v>80</v>
      </c>
      <c r="B82" t="s">
        <v>382</v>
      </c>
      <c r="C82" t="s">
        <v>383</v>
      </c>
      <c r="D82" t="str">
        <f>IF(VLOOKUP(C82,'Capabilities Overview'!$A$2:$A$587,1)=C82,"","Not in IOE")</f>
        <v/>
      </c>
      <c r="E82" t="s">
        <v>1</v>
      </c>
      <c r="F82" t="s">
        <v>1</v>
      </c>
      <c r="G82" t="s">
        <v>275</v>
      </c>
      <c r="H82" t="s">
        <v>275</v>
      </c>
      <c r="I82" t="s">
        <v>275</v>
      </c>
      <c r="J82" t="s">
        <v>275</v>
      </c>
      <c r="K82" t="s">
        <v>275</v>
      </c>
      <c r="L82" t="s">
        <v>275</v>
      </c>
      <c r="M82" t="s">
        <v>275</v>
      </c>
      <c r="N82" t="s">
        <v>275</v>
      </c>
      <c r="O82" t="s">
        <v>275</v>
      </c>
      <c r="P82" t="s">
        <v>275</v>
      </c>
      <c r="Q82" t="s">
        <v>275</v>
      </c>
      <c r="R82" t="s">
        <v>275</v>
      </c>
      <c r="S82" t="s">
        <v>275</v>
      </c>
      <c r="T82" t="s">
        <v>275</v>
      </c>
      <c r="U82" t="s">
        <v>275</v>
      </c>
      <c r="V82" t="s">
        <v>275</v>
      </c>
    </row>
    <row r="83" spans="1:22">
      <c r="A83">
        <v>81</v>
      </c>
      <c r="B83" t="s">
        <v>384</v>
      </c>
      <c r="C83" t="s">
        <v>385</v>
      </c>
      <c r="D83" t="str">
        <f>IF(VLOOKUP(C83,'Capabilities Overview'!$A$2:$A$587,1)=C83,"","Not in IOE")</f>
        <v/>
      </c>
      <c r="E83" t="s">
        <v>1</v>
      </c>
      <c r="F83" t="s">
        <v>1</v>
      </c>
      <c r="G83" t="s">
        <v>275</v>
      </c>
      <c r="H83" t="s">
        <v>275</v>
      </c>
      <c r="I83" t="s">
        <v>275</v>
      </c>
      <c r="J83" t="s">
        <v>275</v>
      </c>
      <c r="K83" t="s">
        <v>275</v>
      </c>
      <c r="L83" t="s">
        <v>275</v>
      </c>
      <c r="M83" t="s">
        <v>275</v>
      </c>
      <c r="N83" t="s">
        <v>275</v>
      </c>
      <c r="O83" t="s">
        <v>275</v>
      </c>
      <c r="P83" t="s">
        <v>275</v>
      </c>
      <c r="Q83" t="s">
        <v>275</v>
      </c>
      <c r="R83" t="s">
        <v>275</v>
      </c>
      <c r="S83" t="s">
        <v>275</v>
      </c>
      <c r="T83" t="s">
        <v>275</v>
      </c>
      <c r="U83" t="s">
        <v>275</v>
      </c>
      <c r="V83" t="s">
        <v>275</v>
      </c>
    </row>
    <row r="84" spans="1:22">
      <c r="A84">
        <v>82</v>
      </c>
      <c r="B84" t="s">
        <v>386</v>
      </c>
      <c r="C84" t="s">
        <v>387</v>
      </c>
      <c r="D84" t="str">
        <f>IF(VLOOKUP(C84,'Capabilities Overview'!$A$2:$A$587,1)=C84,"","Not in IOE")</f>
        <v/>
      </c>
      <c r="E84" t="s">
        <v>1</v>
      </c>
      <c r="F84" t="s">
        <v>1</v>
      </c>
      <c r="G84" t="s">
        <v>275</v>
      </c>
      <c r="H84" t="s">
        <v>275</v>
      </c>
      <c r="I84" t="s">
        <v>275</v>
      </c>
      <c r="J84" t="s">
        <v>275</v>
      </c>
      <c r="K84" t="s">
        <v>275</v>
      </c>
      <c r="L84" t="s">
        <v>275</v>
      </c>
      <c r="M84" t="s">
        <v>275</v>
      </c>
      <c r="N84" t="s">
        <v>275</v>
      </c>
      <c r="O84" t="s">
        <v>275</v>
      </c>
      <c r="P84" t="s">
        <v>275</v>
      </c>
      <c r="Q84" t="s">
        <v>275</v>
      </c>
      <c r="R84" t="s">
        <v>275</v>
      </c>
      <c r="S84" t="s">
        <v>275</v>
      </c>
      <c r="T84" t="s">
        <v>275</v>
      </c>
      <c r="U84" t="s">
        <v>275</v>
      </c>
      <c r="V84" t="s">
        <v>275</v>
      </c>
    </row>
    <row r="85" spans="1:22">
      <c r="A85">
        <v>83</v>
      </c>
      <c r="B85" t="s">
        <v>124</v>
      </c>
      <c r="C85" t="s">
        <v>125</v>
      </c>
      <c r="D85" t="str">
        <f>IF(VLOOKUP(C85,'Capabilities Overview'!$A$2:$A$587,1)=C85,"","Not in IOE")</f>
        <v/>
      </c>
      <c r="E85" t="s">
        <v>275</v>
      </c>
      <c r="F85" t="s">
        <v>275</v>
      </c>
      <c r="G85" t="s">
        <v>275</v>
      </c>
      <c r="H85" t="s">
        <v>275</v>
      </c>
      <c r="I85" t="s">
        <v>275</v>
      </c>
      <c r="J85" t="s">
        <v>275</v>
      </c>
      <c r="K85" t="s">
        <v>275</v>
      </c>
      <c r="L85" t="s">
        <v>275</v>
      </c>
      <c r="M85" t="s">
        <v>275</v>
      </c>
      <c r="N85" t="s">
        <v>275</v>
      </c>
      <c r="O85" t="s">
        <v>275</v>
      </c>
      <c r="P85" t="s">
        <v>1</v>
      </c>
      <c r="Q85" t="s">
        <v>275</v>
      </c>
      <c r="R85" t="s">
        <v>275</v>
      </c>
      <c r="S85" t="s">
        <v>275</v>
      </c>
      <c r="T85" t="s">
        <v>275</v>
      </c>
      <c r="U85" t="s">
        <v>275</v>
      </c>
      <c r="V85" t="s">
        <v>275</v>
      </c>
    </row>
    <row r="86" spans="1:22">
      <c r="A86">
        <v>84</v>
      </c>
      <c r="B86" t="s">
        <v>388</v>
      </c>
      <c r="C86" t="s">
        <v>389</v>
      </c>
      <c r="D86" t="str">
        <f>IF(VLOOKUP(C86,'Capabilities Overview'!$A$2:$A$587,1)=C86,"","Not in IOE")</f>
        <v/>
      </c>
      <c r="E86" t="s">
        <v>275</v>
      </c>
      <c r="F86" t="s">
        <v>275</v>
      </c>
      <c r="G86" t="s">
        <v>275</v>
      </c>
      <c r="H86" t="s">
        <v>275</v>
      </c>
      <c r="I86" t="s">
        <v>275</v>
      </c>
      <c r="J86" t="s">
        <v>275</v>
      </c>
      <c r="K86" t="s">
        <v>275</v>
      </c>
      <c r="L86" t="s">
        <v>275</v>
      </c>
      <c r="M86" t="s">
        <v>275</v>
      </c>
      <c r="N86" t="s">
        <v>275</v>
      </c>
      <c r="O86" t="s">
        <v>275</v>
      </c>
      <c r="P86" t="s">
        <v>1</v>
      </c>
      <c r="Q86" t="s">
        <v>275</v>
      </c>
      <c r="R86" t="s">
        <v>275</v>
      </c>
      <c r="S86" t="s">
        <v>275</v>
      </c>
      <c r="T86" t="s">
        <v>275</v>
      </c>
      <c r="U86" t="s">
        <v>275</v>
      </c>
      <c r="V86" t="s">
        <v>275</v>
      </c>
    </row>
    <row r="87" spans="1:22">
      <c r="A87">
        <v>85</v>
      </c>
      <c r="B87" t="s">
        <v>390</v>
      </c>
      <c r="C87" t="s">
        <v>391</v>
      </c>
      <c r="D87" t="str">
        <f>IF(VLOOKUP(C87,'Capabilities Overview'!$A$2:$A$587,1)=C87,"","Not in IOE")</f>
        <v/>
      </c>
      <c r="E87" t="s">
        <v>1</v>
      </c>
      <c r="F87" t="s">
        <v>1</v>
      </c>
      <c r="G87" t="s">
        <v>275</v>
      </c>
      <c r="H87" t="s">
        <v>275</v>
      </c>
      <c r="I87" t="s">
        <v>275</v>
      </c>
      <c r="J87" t="s">
        <v>275</v>
      </c>
      <c r="K87" t="s">
        <v>275</v>
      </c>
      <c r="L87" t="s">
        <v>275</v>
      </c>
      <c r="M87" t="s">
        <v>275</v>
      </c>
      <c r="N87" t="s">
        <v>275</v>
      </c>
      <c r="O87" t="s">
        <v>275</v>
      </c>
      <c r="P87" t="s">
        <v>275</v>
      </c>
      <c r="Q87" t="s">
        <v>275</v>
      </c>
      <c r="R87" t="s">
        <v>275</v>
      </c>
      <c r="S87" t="s">
        <v>275</v>
      </c>
      <c r="T87" t="s">
        <v>275</v>
      </c>
      <c r="U87" t="s">
        <v>275</v>
      </c>
      <c r="V87" t="s">
        <v>275</v>
      </c>
    </row>
    <row r="88" spans="1:22">
      <c r="A88">
        <v>86</v>
      </c>
      <c r="B88" t="s">
        <v>392</v>
      </c>
      <c r="C88" t="s">
        <v>393</v>
      </c>
      <c r="D88" t="str">
        <f>IF(VLOOKUP(C88,'Capabilities Overview'!$A$2:$A$587,1)=C88,"","Not in IOE")</f>
        <v/>
      </c>
      <c r="E88" t="s">
        <v>1</v>
      </c>
      <c r="F88" t="s">
        <v>1</v>
      </c>
      <c r="G88" t="s">
        <v>275</v>
      </c>
      <c r="H88" t="s">
        <v>275</v>
      </c>
      <c r="I88" t="s">
        <v>275</v>
      </c>
      <c r="J88" t="s">
        <v>275</v>
      </c>
      <c r="K88" t="s">
        <v>275</v>
      </c>
      <c r="L88" t="s">
        <v>275</v>
      </c>
      <c r="M88" t="s">
        <v>275</v>
      </c>
      <c r="N88" t="s">
        <v>275</v>
      </c>
      <c r="O88" t="s">
        <v>275</v>
      </c>
      <c r="P88" t="s">
        <v>275</v>
      </c>
      <c r="Q88" t="s">
        <v>275</v>
      </c>
      <c r="R88" t="s">
        <v>1</v>
      </c>
      <c r="S88" t="s">
        <v>275</v>
      </c>
      <c r="T88" t="s">
        <v>275</v>
      </c>
      <c r="U88" t="s">
        <v>275</v>
      </c>
      <c r="V88" t="s">
        <v>275</v>
      </c>
    </row>
    <row r="89" spans="1:22">
      <c r="A89">
        <v>87</v>
      </c>
      <c r="B89" t="s">
        <v>394</v>
      </c>
      <c r="C89" t="s">
        <v>395</v>
      </c>
      <c r="D89" t="str">
        <f>IF(VLOOKUP(C89,'Capabilities Overview'!$A$2:$A$587,1)=C89,"","Not in IOE")</f>
        <v/>
      </c>
      <c r="E89" t="s">
        <v>1</v>
      </c>
      <c r="F89" t="s">
        <v>275</v>
      </c>
      <c r="G89" t="s">
        <v>275</v>
      </c>
      <c r="H89" t="s">
        <v>275</v>
      </c>
      <c r="I89" t="s">
        <v>275</v>
      </c>
      <c r="J89" t="s">
        <v>275</v>
      </c>
      <c r="K89" t="s">
        <v>275</v>
      </c>
      <c r="L89" t="s">
        <v>275</v>
      </c>
      <c r="M89" t="s">
        <v>275</v>
      </c>
      <c r="N89" t="s">
        <v>275</v>
      </c>
      <c r="O89" t="s">
        <v>275</v>
      </c>
      <c r="P89" t="s">
        <v>275</v>
      </c>
      <c r="Q89" t="s">
        <v>275</v>
      </c>
      <c r="R89" t="s">
        <v>275</v>
      </c>
      <c r="S89" t="s">
        <v>275</v>
      </c>
      <c r="T89" t="s">
        <v>275</v>
      </c>
      <c r="U89" t="s">
        <v>275</v>
      </c>
      <c r="V89" t="s">
        <v>275</v>
      </c>
    </row>
    <row r="90" spans="1:22">
      <c r="A90">
        <v>88</v>
      </c>
      <c r="B90" t="s">
        <v>396</v>
      </c>
      <c r="C90" t="s">
        <v>397</v>
      </c>
      <c r="D90" t="str">
        <f>IF(VLOOKUP(C90,'Capabilities Overview'!$A$2:$A$587,1)=C90,"","Not in IOE")</f>
        <v/>
      </c>
      <c r="E90" t="s">
        <v>1</v>
      </c>
      <c r="F90" t="s">
        <v>1</v>
      </c>
      <c r="G90" t="s">
        <v>1</v>
      </c>
      <c r="H90" t="s">
        <v>1</v>
      </c>
      <c r="I90" t="s">
        <v>1</v>
      </c>
      <c r="J90" t="s">
        <v>1</v>
      </c>
      <c r="K90" t="s">
        <v>1</v>
      </c>
      <c r="L90" t="s">
        <v>1</v>
      </c>
      <c r="M90" t="s">
        <v>1</v>
      </c>
      <c r="N90" t="s">
        <v>275</v>
      </c>
      <c r="O90" t="s">
        <v>275</v>
      </c>
      <c r="P90" t="s">
        <v>275</v>
      </c>
      <c r="Q90" t="s">
        <v>275</v>
      </c>
      <c r="R90" t="s">
        <v>275</v>
      </c>
      <c r="S90" t="s">
        <v>275</v>
      </c>
      <c r="T90" t="s">
        <v>1</v>
      </c>
      <c r="U90" t="s">
        <v>275</v>
      </c>
      <c r="V90" t="s">
        <v>275</v>
      </c>
    </row>
    <row r="91" spans="1:22">
      <c r="A91">
        <v>89</v>
      </c>
      <c r="B91" t="s">
        <v>398</v>
      </c>
      <c r="C91" t="s">
        <v>399</v>
      </c>
      <c r="D91" t="str">
        <f>IF(VLOOKUP(C91,'Capabilities Overview'!$A$2:$A$587,1)=C91,"","Not in IOE")</f>
        <v/>
      </c>
      <c r="E91" t="s">
        <v>1</v>
      </c>
      <c r="F91" t="s">
        <v>1</v>
      </c>
      <c r="G91" t="s">
        <v>1</v>
      </c>
      <c r="H91" t="s">
        <v>1</v>
      </c>
      <c r="I91" t="s">
        <v>1</v>
      </c>
      <c r="J91" t="s">
        <v>1</v>
      </c>
      <c r="K91" t="s">
        <v>1</v>
      </c>
      <c r="L91" t="s">
        <v>1</v>
      </c>
      <c r="M91" t="s">
        <v>1</v>
      </c>
      <c r="N91" t="s">
        <v>1</v>
      </c>
      <c r="O91" t="s">
        <v>275</v>
      </c>
      <c r="P91" t="s">
        <v>275</v>
      </c>
      <c r="Q91" t="s">
        <v>275</v>
      </c>
      <c r="R91" t="s">
        <v>275</v>
      </c>
      <c r="S91" t="s">
        <v>275</v>
      </c>
      <c r="T91" t="s">
        <v>1</v>
      </c>
      <c r="U91" t="s">
        <v>275</v>
      </c>
      <c r="V91" t="s">
        <v>275</v>
      </c>
    </row>
    <row r="92" spans="1:22">
      <c r="A92">
        <v>90</v>
      </c>
      <c r="B92" t="s">
        <v>400</v>
      </c>
      <c r="C92" t="s">
        <v>401</v>
      </c>
      <c r="D92" t="str">
        <f>IF(VLOOKUP(C92,'Capabilities Overview'!$A$2:$A$587,1)=C92,"","Not in IOE")</f>
        <v/>
      </c>
      <c r="E92" t="s">
        <v>1</v>
      </c>
      <c r="F92" t="s">
        <v>1</v>
      </c>
      <c r="G92" t="s">
        <v>275</v>
      </c>
      <c r="H92" t="s">
        <v>275</v>
      </c>
      <c r="I92" t="s">
        <v>275</v>
      </c>
      <c r="J92" t="s">
        <v>275</v>
      </c>
      <c r="K92" t="s">
        <v>275</v>
      </c>
      <c r="L92" t="s">
        <v>275</v>
      </c>
      <c r="M92" t="s">
        <v>275</v>
      </c>
      <c r="N92" t="s">
        <v>275</v>
      </c>
      <c r="O92" t="s">
        <v>275</v>
      </c>
      <c r="P92" t="s">
        <v>275</v>
      </c>
      <c r="Q92" t="s">
        <v>275</v>
      </c>
      <c r="R92" t="s">
        <v>1</v>
      </c>
      <c r="S92" t="s">
        <v>275</v>
      </c>
      <c r="T92" t="s">
        <v>275</v>
      </c>
      <c r="U92" t="s">
        <v>275</v>
      </c>
      <c r="V92" t="s">
        <v>275</v>
      </c>
    </row>
    <row r="93" spans="1:22">
      <c r="A93">
        <v>91</v>
      </c>
      <c r="B93" t="s">
        <v>402</v>
      </c>
      <c r="C93" t="s">
        <v>403</v>
      </c>
      <c r="D93" t="str">
        <f>IF(VLOOKUP(C93,'Capabilities Overview'!$A$2:$A$587,1)=C93,"","Not in IOE")</f>
        <v/>
      </c>
      <c r="E93" t="s">
        <v>1</v>
      </c>
      <c r="F93" t="s">
        <v>1</v>
      </c>
      <c r="G93" t="s">
        <v>275</v>
      </c>
      <c r="H93" t="s">
        <v>1</v>
      </c>
      <c r="I93" t="s">
        <v>1</v>
      </c>
      <c r="J93" t="s">
        <v>1</v>
      </c>
      <c r="K93" t="s">
        <v>1</v>
      </c>
      <c r="L93" t="s">
        <v>275</v>
      </c>
      <c r="M93" t="s">
        <v>275</v>
      </c>
      <c r="N93" t="s">
        <v>275</v>
      </c>
      <c r="O93" t="s">
        <v>275</v>
      </c>
      <c r="P93" t="s">
        <v>275</v>
      </c>
      <c r="Q93" t="s">
        <v>275</v>
      </c>
      <c r="R93" t="s">
        <v>275</v>
      </c>
      <c r="S93" t="s">
        <v>275</v>
      </c>
      <c r="T93" t="s">
        <v>1</v>
      </c>
      <c r="U93" t="s">
        <v>275</v>
      </c>
      <c r="V93" t="s">
        <v>275</v>
      </c>
    </row>
    <row r="94" spans="1:22">
      <c r="A94">
        <v>92</v>
      </c>
      <c r="B94" t="s">
        <v>404</v>
      </c>
      <c r="C94" t="s">
        <v>405</v>
      </c>
      <c r="D94" t="str">
        <f>IF(VLOOKUP(C94,'Capabilities Overview'!$A$2:$A$587,1)=C94,"","Not in IOE")</f>
        <v/>
      </c>
      <c r="E94" t="s">
        <v>1</v>
      </c>
      <c r="F94" t="s">
        <v>1</v>
      </c>
      <c r="G94" t="s">
        <v>1</v>
      </c>
      <c r="H94" t="s">
        <v>275</v>
      </c>
      <c r="I94" t="s">
        <v>275</v>
      </c>
      <c r="J94" t="s">
        <v>275</v>
      </c>
      <c r="K94" t="s">
        <v>275</v>
      </c>
      <c r="L94" t="s">
        <v>275</v>
      </c>
      <c r="M94" t="s">
        <v>275</v>
      </c>
      <c r="N94" t="s">
        <v>275</v>
      </c>
      <c r="O94" t="s">
        <v>275</v>
      </c>
      <c r="P94" t="s">
        <v>275</v>
      </c>
      <c r="Q94" t="s">
        <v>275</v>
      </c>
      <c r="R94" t="s">
        <v>275</v>
      </c>
      <c r="S94" t="s">
        <v>275</v>
      </c>
      <c r="T94" t="s">
        <v>275</v>
      </c>
      <c r="U94" t="s">
        <v>275</v>
      </c>
      <c r="V94" t="s">
        <v>275</v>
      </c>
    </row>
    <row r="95" spans="1:22">
      <c r="A95">
        <v>93</v>
      </c>
      <c r="B95" t="s">
        <v>406</v>
      </c>
      <c r="C95" t="s">
        <v>407</v>
      </c>
      <c r="D95" t="str">
        <f>IF(VLOOKUP(C95,'Capabilities Overview'!$A$2:$A$587,1)=C95,"","Not in IOE")</f>
        <v/>
      </c>
      <c r="E95" t="s">
        <v>1</v>
      </c>
      <c r="F95" t="s">
        <v>1</v>
      </c>
      <c r="G95" t="s">
        <v>275</v>
      </c>
      <c r="H95" t="s">
        <v>275</v>
      </c>
      <c r="I95" t="s">
        <v>275</v>
      </c>
      <c r="J95" t="s">
        <v>275</v>
      </c>
      <c r="K95" t="s">
        <v>275</v>
      </c>
      <c r="L95" t="s">
        <v>275</v>
      </c>
      <c r="M95" t="s">
        <v>275</v>
      </c>
      <c r="N95" t="s">
        <v>275</v>
      </c>
      <c r="O95" t="s">
        <v>275</v>
      </c>
      <c r="P95" t="s">
        <v>275</v>
      </c>
      <c r="Q95" t="s">
        <v>275</v>
      </c>
      <c r="R95" t="s">
        <v>1</v>
      </c>
      <c r="S95" t="s">
        <v>275</v>
      </c>
      <c r="T95" t="s">
        <v>275</v>
      </c>
      <c r="U95" t="s">
        <v>275</v>
      </c>
      <c r="V95" t="s">
        <v>275</v>
      </c>
    </row>
    <row r="96" spans="1:22">
      <c r="A96">
        <v>94</v>
      </c>
      <c r="B96" t="s">
        <v>408</v>
      </c>
      <c r="C96" t="s">
        <v>409</v>
      </c>
      <c r="D96" t="str">
        <f>IF(VLOOKUP(C96,'Capabilities Overview'!$A$2:$A$587,1)=C96,"","Not in IOE")</f>
        <v/>
      </c>
      <c r="E96" t="s">
        <v>1</v>
      </c>
      <c r="F96" t="s">
        <v>1</v>
      </c>
      <c r="G96" t="s">
        <v>275</v>
      </c>
      <c r="H96" t="s">
        <v>275</v>
      </c>
      <c r="I96" t="s">
        <v>275</v>
      </c>
      <c r="J96" t="s">
        <v>275</v>
      </c>
      <c r="K96" t="s">
        <v>275</v>
      </c>
      <c r="L96" t="s">
        <v>275</v>
      </c>
      <c r="M96" t="s">
        <v>275</v>
      </c>
      <c r="N96" t="s">
        <v>275</v>
      </c>
      <c r="O96" t="s">
        <v>275</v>
      </c>
      <c r="P96" t="s">
        <v>275</v>
      </c>
      <c r="Q96" t="s">
        <v>275</v>
      </c>
      <c r="R96" t="s">
        <v>275</v>
      </c>
      <c r="S96" t="s">
        <v>275</v>
      </c>
      <c r="T96" t="s">
        <v>275</v>
      </c>
      <c r="U96" t="s">
        <v>275</v>
      </c>
      <c r="V96" t="s">
        <v>275</v>
      </c>
    </row>
    <row r="97" spans="1:22">
      <c r="A97">
        <v>95</v>
      </c>
      <c r="B97" t="s">
        <v>410</v>
      </c>
      <c r="C97" t="s">
        <v>411</v>
      </c>
      <c r="D97" t="str">
        <f>IF(VLOOKUP(C97,'Capabilities Overview'!$A$2:$A$587,1)=C97,"","Not in IOE")</f>
        <v/>
      </c>
      <c r="E97" t="s">
        <v>1</v>
      </c>
      <c r="F97" t="s">
        <v>1</v>
      </c>
      <c r="G97" t="s">
        <v>275</v>
      </c>
      <c r="H97" t="s">
        <v>275</v>
      </c>
      <c r="I97" t="s">
        <v>275</v>
      </c>
      <c r="J97" t="s">
        <v>275</v>
      </c>
      <c r="K97" t="s">
        <v>275</v>
      </c>
      <c r="L97" t="s">
        <v>275</v>
      </c>
      <c r="M97" t="s">
        <v>275</v>
      </c>
      <c r="N97" t="s">
        <v>275</v>
      </c>
      <c r="O97" t="s">
        <v>275</v>
      </c>
      <c r="P97" t="s">
        <v>275</v>
      </c>
      <c r="Q97" t="s">
        <v>275</v>
      </c>
      <c r="R97" t="s">
        <v>275</v>
      </c>
      <c r="S97" t="s">
        <v>275</v>
      </c>
      <c r="T97" t="s">
        <v>275</v>
      </c>
      <c r="U97" t="s">
        <v>275</v>
      </c>
      <c r="V97" t="s">
        <v>275</v>
      </c>
    </row>
    <row r="98" spans="1:22">
      <c r="A98">
        <v>96</v>
      </c>
      <c r="B98" t="s">
        <v>412</v>
      </c>
      <c r="C98" t="s">
        <v>413</v>
      </c>
      <c r="D98" t="str">
        <f>IF(VLOOKUP(C98,'Capabilities Overview'!$A$2:$A$587,1)=C98,"","Not in IOE")</f>
        <v/>
      </c>
      <c r="E98" t="s">
        <v>1</v>
      </c>
      <c r="F98" t="s">
        <v>1</v>
      </c>
      <c r="G98" t="s">
        <v>1</v>
      </c>
      <c r="H98" t="s">
        <v>275</v>
      </c>
      <c r="I98" t="s">
        <v>275</v>
      </c>
      <c r="J98" t="s">
        <v>275</v>
      </c>
      <c r="K98" t="s">
        <v>275</v>
      </c>
      <c r="L98" t="s">
        <v>275</v>
      </c>
      <c r="M98" t="s">
        <v>275</v>
      </c>
      <c r="N98" t="s">
        <v>275</v>
      </c>
      <c r="O98" t="s">
        <v>275</v>
      </c>
      <c r="P98" t="s">
        <v>275</v>
      </c>
      <c r="Q98" t="s">
        <v>275</v>
      </c>
      <c r="R98" t="s">
        <v>1</v>
      </c>
      <c r="S98" t="s">
        <v>275</v>
      </c>
      <c r="T98" t="s">
        <v>275</v>
      </c>
      <c r="U98" t="s">
        <v>275</v>
      </c>
      <c r="V98" t="s">
        <v>275</v>
      </c>
    </row>
    <row r="99" spans="1:22">
      <c r="A99">
        <v>97</v>
      </c>
      <c r="B99" t="s">
        <v>432</v>
      </c>
      <c r="C99" t="s">
        <v>433</v>
      </c>
      <c r="D99" t="str">
        <f>IF(VLOOKUP(C99,'Capabilities Overview'!$A$2:$A$587,1)=C99,"","Not in IOE")</f>
        <v/>
      </c>
      <c r="E99" t="s">
        <v>275</v>
      </c>
      <c r="F99" t="s">
        <v>1</v>
      </c>
      <c r="G99" t="s">
        <v>1</v>
      </c>
      <c r="H99" t="s">
        <v>1</v>
      </c>
      <c r="I99" t="s">
        <v>1</v>
      </c>
      <c r="J99" t="s">
        <v>1</v>
      </c>
      <c r="K99" t="s">
        <v>1</v>
      </c>
      <c r="L99" t="s">
        <v>275</v>
      </c>
      <c r="M99" t="s">
        <v>275</v>
      </c>
      <c r="N99" t="s">
        <v>275</v>
      </c>
      <c r="O99" t="s">
        <v>275</v>
      </c>
      <c r="P99" t="s">
        <v>275</v>
      </c>
      <c r="Q99" t="s">
        <v>275</v>
      </c>
      <c r="R99" t="s">
        <v>1</v>
      </c>
      <c r="S99" t="s">
        <v>275</v>
      </c>
      <c r="T99" t="s">
        <v>1</v>
      </c>
      <c r="U99" t="s">
        <v>275</v>
      </c>
      <c r="V99" t="s">
        <v>275</v>
      </c>
    </row>
    <row r="100" spans="1:22">
      <c r="A100">
        <v>98</v>
      </c>
      <c r="B100" t="s">
        <v>434</v>
      </c>
      <c r="C100" t="s">
        <v>435</v>
      </c>
      <c r="D100" t="str">
        <f>IF(VLOOKUP(C100,'Capabilities Overview'!$A$2:$A$587,1)=C100,"","Not in IOE")</f>
        <v/>
      </c>
      <c r="E100" t="s">
        <v>1</v>
      </c>
      <c r="F100" t="s">
        <v>1</v>
      </c>
      <c r="G100" t="s">
        <v>275</v>
      </c>
      <c r="H100" t="s">
        <v>275</v>
      </c>
      <c r="I100" t="s">
        <v>1</v>
      </c>
      <c r="J100" t="s">
        <v>1</v>
      </c>
      <c r="K100" t="s">
        <v>275</v>
      </c>
      <c r="L100" t="s">
        <v>275</v>
      </c>
      <c r="M100" t="s">
        <v>275</v>
      </c>
      <c r="N100" t="s">
        <v>275</v>
      </c>
      <c r="O100" t="s">
        <v>275</v>
      </c>
      <c r="P100" t="s">
        <v>275</v>
      </c>
      <c r="Q100" t="s">
        <v>275</v>
      </c>
      <c r="R100" t="s">
        <v>275</v>
      </c>
      <c r="S100" t="s">
        <v>275</v>
      </c>
      <c r="T100" t="s">
        <v>275</v>
      </c>
      <c r="U100" t="s">
        <v>275</v>
      </c>
      <c r="V100" t="s">
        <v>275</v>
      </c>
    </row>
    <row r="101" spans="1:22">
      <c r="A101">
        <v>99</v>
      </c>
      <c r="B101" t="s">
        <v>436</v>
      </c>
      <c r="C101" t="s">
        <v>437</v>
      </c>
      <c r="D101" t="str">
        <f>IF(VLOOKUP(C101,'Capabilities Overview'!$A$2:$A$587,1)=C101,"","Not in IOE")</f>
        <v/>
      </c>
      <c r="E101" t="s">
        <v>275</v>
      </c>
      <c r="F101" t="s">
        <v>1</v>
      </c>
      <c r="G101" t="s">
        <v>275</v>
      </c>
      <c r="H101" t="s">
        <v>275</v>
      </c>
      <c r="I101" t="s">
        <v>275</v>
      </c>
      <c r="J101" t="s">
        <v>275</v>
      </c>
      <c r="K101" t="s">
        <v>275</v>
      </c>
      <c r="L101" t="s">
        <v>275</v>
      </c>
      <c r="M101" t="s">
        <v>275</v>
      </c>
      <c r="N101" t="s">
        <v>275</v>
      </c>
      <c r="O101" t="s">
        <v>275</v>
      </c>
      <c r="P101" t="s">
        <v>275</v>
      </c>
      <c r="Q101" t="s">
        <v>275</v>
      </c>
      <c r="R101" t="s">
        <v>275</v>
      </c>
      <c r="S101" t="s">
        <v>275</v>
      </c>
      <c r="T101" t="s">
        <v>275</v>
      </c>
      <c r="U101" t="s">
        <v>275</v>
      </c>
      <c r="V101" t="s">
        <v>275</v>
      </c>
    </row>
    <row r="102" spans="1:22">
      <c r="A102">
        <v>100</v>
      </c>
      <c r="B102" t="s">
        <v>438</v>
      </c>
      <c r="C102" t="s">
        <v>439</v>
      </c>
      <c r="D102" t="str">
        <f>IF(VLOOKUP(C102,'Capabilities Overview'!$A$2:$A$587,1)=C102,"","Not in IOE")</f>
        <v/>
      </c>
      <c r="E102" t="s">
        <v>1</v>
      </c>
      <c r="F102" t="s">
        <v>1</v>
      </c>
      <c r="G102" t="s">
        <v>275</v>
      </c>
      <c r="H102" t="s">
        <v>275</v>
      </c>
      <c r="I102" t="s">
        <v>275</v>
      </c>
      <c r="J102" t="s">
        <v>275</v>
      </c>
      <c r="K102" t="s">
        <v>275</v>
      </c>
      <c r="L102" t="s">
        <v>275</v>
      </c>
      <c r="M102" t="s">
        <v>275</v>
      </c>
      <c r="N102" t="s">
        <v>275</v>
      </c>
      <c r="O102" t="s">
        <v>275</v>
      </c>
      <c r="P102" t="s">
        <v>275</v>
      </c>
      <c r="Q102" t="s">
        <v>275</v>
      </c>
      <c r="R102" t="s">
        <v>275</v>
      </c>
      <c r="S102" t="s">
        <v>275</v>
      </c>
      <c r="T102" t="s">
        <v>275</v>
      </c>
      <c r="U102" t="s">
        <v>275</v>
      </c>
      <c r="V102" t="s">
        <v>275</v>
      </c>
    </row>
    <row r="103" spans="1:22">
      <c r="A103">
        <v>101</v>
      </c>
      <c r="B103" t="s">
        <v>440</v>
      </c>
      <c r="C103" t="s">
        <v>441</v>
      </c>
      <c r="D103" t="str">
        <f>IF(VLOOKUP(C103,'Capabilities Overview'!$A$2:$A$587,1)=C103,"","Not in IOE")</f>
        <v/>
      </c>
      <c r="E103" t="s">
        <v>1</v>
      </c>
      <c r="F103" t="s">
        <v>1</v>
      </c>
      <c r="G103" t="s">
        <v>1</v>
      </c>
      <c r="H103" t="s">
        <v>1</v>
      </c>
      <c r="I103" t="s">
        <v>1</v>
      </c>
      <c r="J103" t="s">
        <v>1</v>
      </c>
      <c r="K103" t="s">
        <v>1</v>
      </c>
      <c r="L103" t="s">
        <v>1</v>
      </c>
      <c r="M103" t="s">
        <v>1</v>
      </c>
      <c r="N103" t="s">
        <v>275</v>
      </c>
      <c r="O103" t="s">
        <v>275</v>
      </c>
      <c r="P103" t="s">
        <v>275</v>
      </c>
      <c r="Q103" t="s">
        <v>275</v>
      </c>
      <c r="R103" t="s">
        <v>275</v>
      </c>
      <c r="S103" t="s">
        <v>275</v>
      </c>
      <c r="T103" t="s">
        <v>1</v>
      </c>
      <c r="U103" t="s">
        <v>275</v>
      </c>
      <c r="V103" t="s">
        <v>275</v>
      </c>
    </row>
    <row r="104" spans="1:22">
      <c r="A104">
        <v>102</v>
      </c>
      <c r="B104" t="s">
        <v>450</v>
      </c>
      <c r="C104" t="s">
        <v>451</v>
      </c>
      <c r="D104" t="str">
        <f>IF(VLOOKUP(C104,'Capabilities Overview'!$A$2:$A$587,1)=C104,"","Not in IOE")</f>
        <v/>
      </c>
      <c r="E104" t="s">
        <v>1</v>
      </c>
      <c r="F104" t="s">
        <v>1</v>
      </c>
      <c r="G104" t="s">
        <v>275</v>
      </c>
      <c r="H104" t="s">
        <v>275</v>
      </c>
      <c r="I104" t="s">
        <v>1</v>
      </c>
      <c r="J104" t="s">
        <v>1</v>
      </c>
      <c r="K104" t="s">
        <v>275</v>
      </c>
      <c r="L104" t="s">
        <v>275</v>
      </c>
      <c r="M104" t="s">
        <v>275</v>
      </c>
      <c r="N104" t="s">
        <v>275</v>
      </c>
      <c r="O104" t="s">
        <v>275</v>
      </c>
      <c r="P104" t="s">
        <v>275</v>
      </c>
      <c r="Q104" t="s">
        <v>275</v>
      </c>
      <c r="R104" t="s">
        <v>275</v>
      </c>
      <c r="S104" t="s">
        <v>275</v>
      </c>
      <c r="T104" t="s">
        <v>275</v>
      </c>
      <c r="U104" t="s">
        <v>275</v>
      </c>
      <c r="V104" t="s">
        <v>275</v>
      </c>
    </row>
    <row r="105" spans="1:22">
      <c r="A105">
        <v>103</v>
      </c>
      <c r="B105" t="s">
        <v>452</v>
      </c>
      <c r="C105" t="s">
        <v>453</v>
      </c>
      <c r="D105" t="str">
        <f>IF(VLOOKUP(C105,'Capabilities Overview'!$A$2:$A$587,1)=C105,"","Not in IOE")</f>
        <v/>
      </c>
      <c r="E105" t="s">
        <v>275</v>
      </c>
      <c r="F105" t="s">
        <v>1</v>
      </c>
      <c r="G105" t="s">
        <v>275</v>
      </c>
      <c r="H105" t="s">
        <v>275</v>
      </c>
      <c r="I105" t="s">
        <v>275</v>
      </c>
      <c r="J105" t="s">
        <v>275</v>
      </c>
      <c r="K105" t="s">
        <v>275</v>
      </c>
      <c r="L105" t="s">
        <v>275</v>
      </c>
      <c r="M105" t="s">
        <v>275</v>
      </c>
      <c r="N105" t="s">
        <v>275</v>
      </c>
      <c r="O105" t="s">
        <v>275</v>
      </c>
      <c r="P105" t="s">
        <v>275</v>
      </c>
      <c r="Q105" t="s">
        <v>275</v>
      </c>
      <c r="R105" t="s">
        <v>275</v>
      </c>
      <c r="S105" t="s">
        <v>275</v>
      </c>
      <c r="T105" t="s">
        <v>275</v>
      </c>
      <c r="U105" t="s">
        <v>275</v>
      </c>
      <c r="V105" t="s">
        <v>275</v>
      </c>
    </row>
    <row r="106" spans="1:22">
      <c r="A106">
        <v>104</v>
      </c>
      <c r="B106" t="s">
        <v>452</v>
      </c>
      <c r="C106" t="s">
        <v>454</v>
      </c>
      <c r="D106" t="str">
        <f>IF(VLOOKUP(C106,'Capabilities Overview'!$A$2:$A$587,1)=C106,"","Not in IOE")</f>
        <v/>
      </c>
      <c r="E106" t="s">
        <v>275</v>
      </c>
      <c r="F106" t="s">
        <v>1</v>
      </c>
      <c r="G106" t="s">
        <v>275</v>
      </c>
      <c r="H106" t="s">
        <v>275</v>
      </c>
      <c r="I106" t="s">
        <v>275</v>
      </c>
      <c r="J106" t="s">
        <v>275</v>
      </c>
      <c r="K106" t="s">
        <v>275</v>
      </c>
      <c r="L106" t="s">
        <v>275</v>
      </c>
      <c r="M106" t="s">
        <v>275</v>
      </c>
      <c r="N106" t="s">
        <v>275</v>
      </c>
      <c r="O106" t="s">
        <v>275</v>
      </c>
      <c r="P106" t="s">
        <v>275</v>
      </c>
      <c r="Q106" t="s">
        <v>275</v>
      </c>
      <c r="R106" t="s">
        <v>275</v>
      </c>
      <c r="S106" t="s">
        <v>275</v>
      </c>
      <c r="T106" t="s">
        <v>275</v>
      </c>
      <c r="U106" t="s">
        <v>275</v>
      </c>
      <c r="V106" t="s">
        <v>275</v>
      </c>
    </row>
    <row r="107" spans="1:22">
      <c r="A107">
        <v>105</v>
      </c>
      <c r="B107" t="s">
        <v>455</v>
      </c>
      <c r="C107" t="s">
        <v>456</v>
      </c>
      <c r="D107" t="str">
        <f>IF(VLOOKUP(C107,'Capabilities Overview'!$A$2:$A$587,1)=C107,"","Not in IOE")</f>
        <v/>
      </c>
      <c r="E107" t="s">
        <v>275</v>
      </c>
      <c r="F107" t="s">
        <v>275</v>
      </c>
      <c r="G107" t="s">
        <v>275</v>
      </c>
      <c r="H107" t="s">
        <v>275</v>
      </c>
      <c r="I107" t="s">
        <v>275</v>
      </c>
      <c r="J107" t="s">
        <v>275</v>
      </c>
      <c r="K107" t="s">
        <v>275</v>
      </c>
      <c r="L107" t="s">
        <v>275</v>
      </c>
      <c r="M107" t="s">
        <v>275</v>
      </c>
      <c r="N107" t="s">
        <v>275</v>
      </c>
      <c r="O107" t="s">
        <v>275</v>
      </c>
      <c r="P107" t="s">
        <v>275</v>
      </c>
      <c r="Q107" t="s">
        <v>275</v>
      </c>
      <c r="R107" t="s">
        <v>275</v>
      </c>
      <c r="S107" t="s">
        <v>275</v>
      </c>
      <c r="T107" t="s">
        <v>275</v>
      </c>
      <c r="U107" t="s">
        <v>275</v>
      </c>
      <c r="V107" t="s">
        <v>275</v>
      </c>
    </row>
    <row r="108" spans="1:22">
      <c r="A108">
        <v>106</v>
      </c>
      <c r="B108" t="s">
        <v>457</v>
      </c>
      <c r="C108" t="s">
        <v>458</v>
      </c>
      <c r="D108" t="str">
        <f>IF(VLOOKUP(C108,'Capabilities Overview'!$A$2:$A$587,1)=C108,"","Not in IOE")</f>
        <v/>
      </c>
      <c r="E108" t="s">
        <v>275</v>
      </c>
      <c r="F108" t="s">
        <v>275</v>
      </c>
      <c r="G108" t="s">
        <v>275</v>
      </c>
      <c r="H108" t="s">
        <v>275</v>
      </c>
      <c r="I108" t="s">
        <v>275</v>
      </c>
      <c r="J108" t="s">
        <v>275</v>
      </c>
      <c r="K108" t="s">
        <v>275</v>
      </c>
      <c r="L108" t="s">
        <v>275</v>
      </c>
      <c r="M108" t="s">
        <v>275</v>
      </c>
      <c r="N108" t="s">
        <v>275</v>
      </c>
      <c r="O108" t="s">
        <v>275</v>
      </c>
      <c r="P108" t="s">
        <v>275</v>
      </c>
      <c r="Q108" t="s">
        <v>275</v>
      </c>
      <c r="R108" t="s">
        <v>275</v>
      </c>
      <c r="S108" t="s">
        <v>275</v>
      </c>
      <c r="T108" t="s">
        <v>275</v>
      </c>
      <c r="U108" t="s">
        <v>275</v>
      </c>
      <c r="V108" t="s">
        <v>275</v>
      </c>
    </row>
    <row r="109" spans="1:22">
      <c r="A109">
        <v>107</v>
      </c>
      <c r="B109" t="s">
        <v>459</v>
      </c>
      <c r="C109" t="s">
        <v>460</v>
      </c>
      <c r="D109" t="str">
        <f>IF(VLOOKUP(C109,'Capabilities Overview'!$A$2:$A$587,1)=C109,"","Not in IOE")</f>
        <v/>
      </c>
      <c r="E109" t="s">
        <v>1</v>
      </c>
      <c r="F109" t="s">
        <v>1</v>
      </c>
      <c r="G109" t="s">
        <v>275</v>
      </c>
      <c r="H109" t="s">
        <v>275</v>
      </c>
      <c r="I109" t="s">
        <v>1</v>
      </c>
      <c r="J109" t="s">
        <v>1</v>
      </c>
      <c r="K109" t="s">
        <v>275</v>
      </c>
      <c r="L109" t="s">
        <v>275</v>
      </c>
      <c r="M109" t="s">
        <v>275</v>
      </c>
      <c r="N109" t="s">
        <v>275</v>
      </c>
      <c r="O109" t="s">
        <v>275</v>
      </c>
      <c r="P109" t="s">
        <v>275</v>
      </c>
      <c r="Q109" t="s">
        <v>275</v>
      </c>
      <c r="R109" t="s">
        <v>275</v>
      </c>
      <c r="S109" t="s">
        <v>275</v>
      </c>
      <c r="T109" t="s">
        <v>275</v>
      </c>
      <c r="U109" t="s">
        <v>275</v>
      </c>
      <c r="V109" t="s">
        <v>275</v>
      </c>
    </row>
    <row r="110" spans="1:22">
      <c r="A110">
        <v>108</v>
      </c>
      <c r="B110" t="s">
        <v>1730</v>
      </c>
      <c r="C110" t="s">
        <v>1731</v>
      </c>
      <c r="D110" t="str">
        <f>IF(VLOOKUP(C110,'Capabilities Overview'!$A$2:$A$587,1)=C110,"","Not in IOE")</f>
        <v>Not in IOE</v>
      </c>
      <c r="E110" t="s">
        <v>1</v>
      </c>
      <c r="F110" t="s">
        <v>275</v>
      </c>
      <c r="G110" t="s">
        <v>275</v>
      </c>
      <c r="H110" t="s">
        <v>275</v>
      </c>
      <c r="I110" t="s">
        <v>1</v>
      </c>
      <c r="J110" t="s">
        <v>1</v>
      </c>
      <c r="K110" t="s">
        <v>275</v>
      </c>
      <c r="L110" t="s">
        <v>275</v>
      </c>
      <c r="M110" t="s">
        <v>275</v>
      </c>
      <c r="N110" t="s">
        <v>275</v>
      </c>
      <c r="O110" t="s">
        <v>275</v>
      </c>
      <c r="P110" t="s">
        <v>275</v>
      </c>
      <c r="Q110" t="s">
        <v>275</v>
      </c>
      <c r="R110" t="s">
        <v>275</v>
      </c>
      <c r="S110" t="s">
        <v>275</v>
      </c>
      <c r="T110" t="s">
        <v>275</v>
      </c>
      <c r="U110" t="s">
        <v>275</v>
      </c>
      <c r="V110" t="s">
        <v>275</v>
      </c>
    </row>
    <row r="111" spans="1:22">
      <c r="A111">
        <v>109</v>
      </c>
      <c r="B111" t="s">
        <v>471</v>
      </c>
      <c r="C111" t="s">
        <v>1732</v>
      </c>
      <c r="D111" t="str">
        <f>IF(VLOOKUP(C111,'Capabilities Overview'!$A$2:$A$587,1)=C111,"","Not in IOE")</f>
        <v>Not in IOE</v>
      </c>
      <c r="E111" t="s">
        <v>275</v>
      </c>
      <c r="F111" t="s">
        <v>275</v>
      </c>
      <c r="G111" t="s">
        <v>275</v>
      </c>
      <c r="H111" t="s">
        <v>275</v>
      </c>
      <c r="I111" t="s">
        <v>275</v>
      </c>
      <c r="J111" t="s">
        <v>275</v>
      </c>
      <c r="K111" t="s">
        <v>275</v>
      </c>
      <c r="L111" t="s">
        <v>1</v>
      </c>
      <c r="M111" t="s">
        <v>275</v>
      </c>
      <c r="N111" t="s">
        <v>275</v>
      </c>
      <c r="O111" t="s">
        <v>275</v>
      </c>
      <c r="P111" t="s">
        <v>275</v>
      </c>
      <c r="Q111" t="s">
        <v>275</v>
      </c>
      <c r="R111" t="s">
        <v>275</v>
      </c>
      <c r="S111" t="s">
        <v>275</v>
      </c>
      <c r="T111" t="s">
        <v>275</v>
      </c>
      <c r="U111" t="s">
        <v>275</v>
      </c>
      <c r="V111" t="s">
        <v>275</v>
      </c>
    </row>
    <row r="112" spans="1:22">
      <c r="A112">
        <v>110</v>
      </c>
      <c r="B112" t="s">
        <v>461</v>
      </c>
      <c r="C112" t="s">
        <v>462</v>
      </c>
      <c r="D112" t="str">
        <f>IF(VLOOKUP(C112,'Capabilities Overview'!$A$2:$A$587,1)=C112,"","Not in IOE")</f>
        <v/>
      </c>
      <c r="E112" t="s">
        <v>1</v>
      </c>
      <c r="F112" t="s">
        <v>1</v>
      </c>
      <c r="G112" t="s">
        <v>275</v>
      </c>
      <c r="H112" t="s">
        <v>275</v>
      </c>
      <c r="I112" t="s">
        <v>275</v>
      </c>
      <c r="J112" t="s">
        <v>275</v>
      </c>
      <c r="K112" t="s">
        <v>275</v>
      </c>
      <c r="L112" t="s">
        <v>275</v>
      </c>
      <c r="M112" t="s">
        <v>275</v>
      </c>
      <c r="N112" t="s">
        <v>275</v>
      </c>
      <c r="O112" t="s">
        <v>275</v>
      </c>
      <c r="P112" t="s">
        <v>275</v>
      </c>
      <c r="Q112" t="s">
        <v>275</v>
      </c>
      <c r="R112" t="s">
        <v>275</v>
      </c>
      <c r="S112" t="s">
        <v>275</v>
      </c>
      <c r="T112" t="s">
        <v>275</v>
      </c>
      <c r="U112" t="s">
        <v>275</v>
      </c>
      <c r="V112" t="s">
        <v>275</v>
      </c>
    </row>
    <row r="113" spans="1:22">
      <c r="A113">
        <v>111</v>
      </c>
      <c r="B113" t="s">
        <v>463</v>
      </c>
      <c r="C113" t="s">
        <v>464</v>
      </c>
      <c r="D113" t="str">
        <f>IF(VLOOKUP(C113,'Capabilities Overview'!$A$2:$A$587,1)=C113,"","Not in IOE")</f>
        <v/>
      </c>
      <c r="E113" t="s">
        <v>1</v>
      </c>
      <c r="F113" t="s">
        <v>1</v>
      </c>
      <c r="G113" t="s">
        <v>275</v>
      </c>
      <c r="H113" t="s">
        <v>275</v>
      </c>
      <c r="I113" t="s">
        <v>275</v>
      </c>
      <c r="J113" t="s">
        <v>275</v>
      </c>
      <c r="K113" t="s">
        <v>275</v>
      </c>
      <c r="L113" t="s">
        <v>275</v>
      </c>
      <c r="M113" t="s">
        <v>275</v>
      </c>
      <c r="N113" t="s">
        <v>275</v>
      </c>
      <c r="O113" t="s">
        <v>275</v>
      </c>
      <c r="P113" t="s">
        <v>275</v>
      </c>
      <c r="Q113" t="s">
        <v>275</v>
      </c>
      <c r="R113" t="s">
        <v>275</v>
      </c>
      <c r="S113" t="s">
        <v>275</v>
      </c>
      <c r="T113" t="s">
        <v>275</v>
      </c>
      <c r="U113" t="s">
        <v>275</v>
      </c>
      <c r="V113" t="s">
        <v>275</v>
      </c>
    </row>
    <row r="114" spans="1:22">
      <c r="A114">
        <v>112</v>
      </c>
      <c r="B114" t="s">
        <v>465</v>
      </c>
      <c r="C114" t="s">
        <v>466</v>
      </c>
      <c r="D114" t="str">
        <f>IF(VLOOKUP(C114,'Capabilities Overview'!$A$2:$A$587,1)=C114,"","Not in IOE")</f>
        <v/>
      </c>
      <c r="E114" t="s">
        <v>1</v>
      </c>
      <c r="F114" t="s">
        <v>1</v>
      </c>
      <c r="G114" t="s">
        <v>275</v>
      </c>
      <c r="H114" t="s">
        <v>275</v>
      </c>
      <c r="I114" t="s">
        <v>1</v>
      </c>
      <c r="J114" t="s">
        <v>1</v>
      </c>
      <c r="K114" t="s">
        <v>275</v>
      </c>
      <c r="L114" t="s">
        <v>275</v>
      </c>
      <c r="M114" t="s">
        <v>275</v>
      </c>
      <c r="N114" t="s">
        <v>275</v>
      </c>
      <c r="O114" t="s">
        <v>275</v>
      </c>
      <c r="P114" t="s">
        <v>275</v>
      </c>
      <c r="Q114" t="s">
        <v>275</v>
      </c>
      <c r="R114" t="s">
        <v>275</v>
      </c>
      <c r="S114" t="s">
        <v>275</v>
      </c>
      <c r="T114" t="s">
        <v>275</v>
      </c>
      <c r="U114" t="s">
        <v>275</v>
      </c>
      <c r="V114" t="s">
        <v>275</v>
      </c>
    </row>
    <row r="115" spans="1:22">
      <c r="A115">
        <v>113</v>
      </c>
      <c r="B115" t="s">
        <v>467</v>
      </c>
      <c r="C115" t="s">
        <v>468</v>
      </c>
      <c r="D115" t="str">
        <f>IF(VLOOKUP(C115,'Capabilities Overview'!$A$2:$A$587,1)=C115,"","Not in IOE")</f>
        <v/>
      </c>
      <c r="E115" t="s">
        <v>1</v>
      </c>
      <c r="F115" t="s">
        <v>1</v>
      </c>
      <c r="G115" t="s">
        <v>275</v>
      </c>
      <c r="H115" t="s">
        <v>275</v>
      </c>
      <c r="I115" t="s">
        <v>1</v>
      </c>
      <c r="J115" t="s">
        <v>1</v>
      </c>
      <c r="K115" t="s">
        <v>275</v>
      </c>
      <c r="L115" t="s">
        <v>275</v>
      </c>
      <c r="M115" t="s">
        <v>275</v>
      </c>
      <c r="N115" t="s">
        <v>275</v>
      </c>
      <c r="O115" t="s">
        <v>275</v>
      </c>
      <c r="P115" t="s">
        <v>275</v>
      </c>
      <c r="Q115" t="s">
        <v>275</v>
      </c>
      <c r="R115" t="s">
        <v>275</v>
      </c>
      <c r="S115" t="s">
        <v>275</v>
      </c>
      <c r="T115" t="s">
        <v>275</v>
      </c>
      <c r="U115" t="s">
        <v>275</v>
      </c>
      <c r="V115" t="s">
        <v>275</v>
      </c>
    </row>
    <row r="116" spans="1:22">
      <c r="A116">
        <v>114</v>
      </c>
      <c r="B116" t="s">
        <v>469</v>
      </c>
      <c r="C116" t="s">
        <v>470</v>
      </c>
      <c r="D116" t="str">
        <f>IF(VLOOKUP(C116,'Capabilities Overview'!$A$2:$A$587,1)=C116,"","Not in IOE")</f>
        <v/>
      </c>
      <c r="E116" t="s">
        <v>1</v>
      </c>
      <c r="F116" t="s">
        <v>1</v>
      </c>
      <c r="G116" t="s">
        <v>275</v>
      </c>
      <c r="H116" t="s">
        <v>275</v>
      </c>
      <c r="I116" t="s">
        <v>1</v>
      </c>
      <c r="J116" t="s">
        <v>1</v>
      </c>
      <c r="K116" t="s">
        <v>275</v>
      </c>
      <c r="L116" t="s">
        <v>275</v>
      </c>
      <c r="M116" t="s">
        <v>275</v>
      </c>
      <c r="N116" t="s">
        <v>275</v>
      </c>
      <c r="O116" t="s">
        <v>275</v>
      </c>
      <c r="P116" t="s">
        <v>275</v>
      </c>
      <c r="Q116" t="s">
        <v>275</v>
      </c>
      <c r="R116" t="s">
        <v>275</v>
      </c>
      <c r="S116" t="s">
        <v>275</v>
      </c>
      <c r="T116" t="s">
        <v>275</v>
      </c>
      <c r="U116" t="s">
        <v>275</v>
      </c>
      <c r="V116" t="s">
        <v>275</v>
      </c>
    </row>
    <row r="117" spans="1:22">
      <c r="A117">
        <v>115</v>
      </c>
      <c r="B117" t="s">
        <v>471</v>
      </c>
      <c r="C117" t="s">
        <v>472</v>
      </c>
      <c r="D117" t="str">
        <f>IF(VLOOKUP(C117,'Capabilities Overview'!$A$2:$A$587,1)=C117,"","Not in IOE")</f>
        <v/>
      </c>
      <c r="E117" t="s">
        <v>1</v>
      </c>
      <c r="F117" t="s">
        <v>1</v>
      </c>
      <c r="G117" t="s">
        <v>1</v>
      </c>
      <c r="H117" t="s">
        <v>1</v>
      </c>
      <c r="I117" t="s">
        <v>1</v>
      </c>
      <c r="J117" t="s">
        <v>1</v>
      </c>
      <c r="K117" t="s">
        <v>1</v>
      </c>
      <c r="L117" t="s">
        <v>1</v>
      </c>
      <c r="M117" t="s">
        <v>1</v>
      </c>
      <c r="N117" t="s">
        <v>1</v>
      </c>
      <c r="O117" t="s">
        <v>275</v>
      </c>
      <c r="P117" t="s">
        <v>275</v>
      </c>
      <c r="Q117" t="s">
        <v>1</v>
      </c>
      <c r="R117" t="s">
        <v>1</v>
      </c>
      <c r="S117" t="s">
        <v>275</v>
      </c>
      <c r="T117" t="s">
        <v>1</v>
      </c>
      <c r="U117" t="s">
        <v>275</v>
      </c>
      <c r="V117" t="s">
        <v>275</v>
      </c>
    </row>
    <row r="118" spans="1:22">
      <c r="A118">
        <v>116</v>
      </c>
      <c r="B118" t="s">
        <v>473</v>
      </c>
      <c r="C118" t="s">
        <v>474</v>
      </c>
      <c r="D118" t="str">
        <f>IF(VLOOKUP(C118,'Capabilities Overview'!$A$2:$A$587,1)=C118,"","Not in IOE")</f>
        <v/>
      </c>
      <c r="E118" t="s">
        <v>1</v>
      </c>
      <c r="F118" t="s">
        <v>1</v>
      </c>
      <c r="G118" t="s">
        <v>275</v>
      </c>
      <c r="H118" t="s">
        <v>275</v>
      </c>
      <c r="I118" t="s">
        <v>1</v>
      </c>
      <c r="J118" t="s">
        <v>1</v>
      </c>
      <c r="K118" t="s">
        <v>275</v>
      </c>
      <c r="L118" t="s">
        <v>275</v>
      </c>
      <c r="M118" t="s">
        <v>275</v>
      </c>
      <c r="N118" t="s">
        <v>275</v>
      </c>
      <c r="O118" t="s">
        <v>275</v>
      </c>
      <c r="P118" t="s">
        <v>275</v>
      </c>
      <c r="Q118" t="s">
        <v>275</v>
      </c>
      <c r="R118" t="s">
        <v>275</v>
      </c>
      <c r="S118" t="s">
        <v>275</v>
      </c>
      <c r="T118" t="s">
        <v>275</v>
      </c>
      <c r="U118" t="s">
        <v>275</v>
      </c>
      <c r="V118" t="s">
        <v>275</v>
      </c>
    </row>
    <row r="119" spans="1:22">
      <c r="A119">
        <v>117</v>
      </c>
      <c r="B119" t="s">
        <v>475</v>
      </c>
      <c r="C119" t="s">
        <v>476</v>
      </c>
      <c r="D119" t="str">
        <f>IF(VLOOKUP(C119,'Capabilities Overview'!$A$2:$A$587,1)=C119,"","Not in IOE")</f>
        <v/>
      </c>
      <c r="E119" t="s">
        <v>1</v>
      </c>
      <c r="F119" t="s">
        <v>1</v>
      </c>
      <c r="G119" t="s">
        <v>275</v>
      </c>
      <c r="H119" t="s">
        <v>275</v>
      </c>
      <c r="I119" t="s">
        <v>275</v>
      </c>
      <c r="J119" t="s">
        <v>275</v>
      </c>
      <c r="K119" t="s">
        <v>275</v>
      </c>
      <c r="L119" t="s">
        <v>275</v>
      </c>
      <c r="M119" t="s">
        <v>275</v>
      </c>
      <c r="N119" t="s">
        <v>275</v>
      </c>
      <c r="O119" t="s">
        <v>275</v>
      </c>
      <c r="P119" t="s">
        <v>275</v>
      </c>
      <c r="Q119" t="s">
        <v>275</v>
      </c>
      <c r="R119" t="s">
        <v>275</v>
      </c>
      <c r="S119" t="s">
        <v>275</v>
      </c>
      <c r="T119" t="s">
        <v>275</v>
      </c>
      <c r="U119" t="s">
        <v>275</v>
      </c>
      <c r="V119" t="s">
        <v>275</v>
      </c>
    </row>
    <row r="120" spans="1:22">
      <c r="A120">
        <v>118</v>
      </c>
      <c r="B120" t="s">
        <v>452</v>
      </c>
      <c r="C120" t="s">
        <v>477</v>
      </c>
      <c r="D120" t="str">
        <f>IF(VLOOKUP(C120,'Capabilities Overview'!$A$2:$A$587,1)=C120,"","Not in IOE")</f>
        <v/>
      </c>
      <c r="E120" t="s">
        <v>1</v>
      </c>
      <c r="F120" t="s">
        <v>1</v>
      </c>
      <c r="G120" t="s">
        <v>275</v>
      </c>
      <c r="H120" t="s">
        <v>275</v>
      </c>
      <c r="I120" t="s">
        <v>275</v>
      </c>
      <c r="J120" t="s">
        <v>275</v>
      </c>
      <c r="K120" t="s">
        <v>275</v>
      </c>
      <c r="L120" t="s">
        <v>275</v>
      </c>
      <c r="M120" t="s">
        <v>275</v>
      </c>
      <c r="N120" t="s">
        <v>275</v>
      </c>
      <c r="O120" t="s">
        <v>275</v>
      </c>
      <c r="P120" t="s">
        <v>275</v>
      </c>
      <c r="Q120" t="s">
        <v>275</v>
      </c>
      <c r="R120" t="s">
        <v>275</v>
      </c>
      <c r="S120" t="s">
        <v>275</v>
      </c>
      <c r="T120" t="s">
        <v>275</v>
      </c>
      <c r="U120" t="s">
        <v>275</v>
      </c>
      <c r="V120" t="s">
        <v>275</v>
      </c>
    </row>
    <row r="121" spans="1:22">
      <c r="A121">
        <v>119</v>
      </c>
      <c r="B121" t="s">
        <v>478</v>
      </c>
      <c r="C121" t="s">
        <v>479</v>
      </c>
      <c r="D121" t="str">
        <f>IF(VLOOKUP(C121,'Capabilities Overview'!$A$2:$A$587,1)=C121,"","Not in IOE")</f>
        <v/>
      </c>
      <c r="E121" t="s">
        <v>1</v>
      </c>
      <c r="F121" t="s">
        <v>1</v>
      </c>
      <c r="G121" t="s">
        <v>275</v>
      </c>
      <c r="H121" t="s">
        <v>275</v>
      </c>
      <c r="I121" t="s">
        <v>275</v>
      </c>
      <c r="J121" t="s">
        <v>275</v>
      </c>
      <c r="K121" t="s">
        <v>275</v>
      </c>
      <c r="L121" t="s">
        <v>275</v>
      </c>
      <c r="M121" t="s">
        <v>275</v>
      </c>
      <c r="N121" t="s">
        <v>275</v>
      </c>
      <c r="O121" t="s">
        <v>275</v>
      </c>
      <c r="P121" t="s">
        <v>275</v>
      </c>
      <c r="Q121" t="s">
        <v>275</v>
      </c>
      <c r="R121" t="s">
        <v>275</v>
      </c>
      <c r="S121" t="s">
        <v>275</v>
      </c>
      <c r="T121" t="s">
        <v>275</v>
      </c>
      <c r="U121" t="s">
        <v>275</v>
      </c>
      <c r="V121" t="s">
        <v>275</v>
      </c>
    </row>
    <row r="122" spans="1:22">
      <c r="A122">
        <v>120</v>
      </c>
      <c r="B122" t="s">
        <v>480</v>
      </c>
      <c r="C122" t="s">
        <v>481</v>
      </c>
      <c r="D122" t="str">
        <f>IF(VLOOKUP(C122,'Capabilities Overview'!$A$2:$A$587,1)=C122,"","Not in IOE")</f>
        <v/>
      </c>
      <c r="E122" t="s">
        <v>1</v>
      </c>
      <c r="F122" t="s">
        <v>1</v>
      </c>
      <c r="G122" t="s">
        <v>275</v>
      </c>
      <c r="H122" t="s">
        <v>275</v>
      </c>
      <c r="I122" t="s">
        <v>1</v>
      </c>
      <c r="J122" t="s">
        <v>1</v>
      </c>
      <c r="K122" t="s">
        <v>275</v>
      </c>
      <c r="L122" t="s">
        <v>275</v>
      </c>
      <c r="M122" t="s">
        <v>275</v>
      </c>
      <c r="N122" t="s">
        <v>275</v>
      </c>
      <c r="O122" t="s">
        <v>275</v>
      </c>
      <c r="P122" t="s">
        <v>275</v>
      </c>
      <c r="Q122" t="s">
        <v>275</v>
      </c>
      <c r="R122" t="s">
        <v>275</v>
      </c>
      <c r="S122" t="s">
        <v>275</v>
      </c>
      <c r="T122" t="s">
        <v>275</v>
      </c>
      <c r="U122" t="s">
        <v>275</v>
      </c>
      <c r="V122" t="s">
        <v>275</v>
      </c>
    </row>
    <row r="123" spans="1:22">
      <c r="A123">
        <v>121</v>
      </c>
      <c r="B123" t="s">
        <v>482</v>
      </c>
      <c r="C123" t="s">
        <v>483</v>
      </c>
      <c r="D123" t="str">
        <f>IF(VLOOKUP(C123,'Capabilities Overview'!$A$2:$A$587,1)=C123,"","Not in IOE")</f>
        <v/>
      </c>
      <c r="E123" t="s">
        <v>1</v>
      </c>
      <c r="F123" t="s">
        <v>1</v>
      </c>
      <c r="G123" t="s">
        <v>275</v>
      </c>
      <c r="H123" t="s">
        <v>275</v>
      </c>
      <c r="I123" t="s">
        <v>275</v>
      </c>
      <c r="J123" t="s">
        <v>275</v>
      </c>
      <c r="K123" t="s">
        <v>275</v>
      </c>
      <c r="L123" t="s">
        <v>275</v>
      </c>
      <c r="M123" t="s">
        <v>275</v>
      </c>
      <c r="N123" t="s">
        <v>275</v>
      </c>
      <c r="O123" t="s">
        <v>275</v>
      </c>
      <c r="P123" t="s">
        <v>275</v>
      </c>
      <c r="Q123" t="s">
        <v>275</v>
      </c>
      <c r="R123" t="s">
        <v>275</v>
      </c>
      <c r="S123" t="s">
        <v>275</v>
      </c>
      <c r="T123" t="s">
        <v>275</v>
      </c>
      <c r="U123" t="s">
        <v>275</v>
      </c>
      <c r="V123" t="s">
        <v>275</v>
      </c>
    </row>
    <row r="124" spans="1:22">
      <c r="A124">
        <v>122</v>
      </c>
      <c r="B124" t="s">
        <v>471</v>
      </c>
      <c r="C124" t="s">
        <v>484</v>
      </c>
      <c r="D124" t="str">
        <f>IF(VLOOKUP(C124,'Capabilities Overview'!$A$2:$A$587,1)=C124,"","Not in IOE")</f>
        <v/>
      </c>
      <c r="E124" t="s">
        <v>1</v>
      </c>
      <c r="F124" t="s">
        <v>275</v>
      </c>
      <c r="G124" t="s">
        <v>275</v>
      </c>
      <c r="H124" t="s">
        <v>275</v>
      </c>
      <c r="I124" t="s">
        <v>275</v>
      </c>
      <c r="J124" t="s">
        <v>275</v>
      </c>
      <c r="K124" t="s">
        <v>275</v>
      </c>
      <c r="L124" t="s">
        <v>275</v>
      </c>
      <c r="M124" t="s">
        <v>275</v>
      </c>
      <c r="N124" t="s">
        <v>275</v>
      </c>
      <c r="O124" t="s">
        <v>275</v>
      </c>
      <c r="P124" t="s">
        <v>275</v>
      </c>
      <c r="Q124" t="s">
        <v>275</v>
      </c>
      <c r="R124" t="s">
        <v>275</v>
      </c>
      <c r="S124" t="s">
        <v>275</v>
      </c>
      <c r="T124" t="s">
        <v>275</v>
      </c>
      <c r="U124" t="s">
        <v>275</v>
      </c>
      <c r="V124" t="s">
        <v>275</v>
      </c>
    </row>
    <row r="125" spans="1:22">
      <c r="A125">
        <v>123</v>
      </c>
      <c r="B125" t="s">
        <v>485</v>
      </c>
      <c r="C125" t="s">
        <v>486</v>
      </c>
      <c r="D125" t="str">
        <f>IF(VLOOKUP(C125,'Capabilities Overview'!$A$2:$A$587,1)=C125,"","Not in IOE")</f>
        <v/>
      </c>
      <c r="E125" t="s">
        <v>1</v>
      </c>
      <c r="F125" t="s">
        <v>1</v>
      </c>
      <c r="G125" t="s">
        <v>275</v>
      </c>
      <c r="H125" t="s">
        <v>275</v>
      </c>
      <c r="I125" t="s">
        <v>1</v>
      </c>
      <c r="J125" t="s">
        <v>1</v>
      </c>
      <c r="K125" t="s">
        <v>275</v>
      </c>
      <c r="L125" t="s">
        <v>275</v>
      </c>
      <c r="M125" t="s">
        <v>275</v>
      </c>
      <c r="N125" t="s">
        <v>275</v>
      </c>
      <c r="O125" t="s">
        <v>275</v>
      </c>
      <c r="P125" t="s">
        <v>275</v>
      </c>
      <c r="Q125" t="s">
        <v>275</v>
      </c>
      <c r="R125" t="s">
        <v>275</v>
      </c>
      <c r="S125" t="s">
        <v>275</v>
      </c>
      <c r="T125" t="s">
        <v>275</v>
      </c>
      <c r="U125" t="s">
        <v>275</v>
      </c>
      <c r="V125" t="s">
        <v>275</v>
      </c>
    </row>
    <row r="126" spans="1:22">
      <c r="A126">
        <v>124</v>
      </c>
      <c r="B126" t="s">
        <v>480</v>
      </c>
      <c r="C126" t="s">
        <v>487</v>
      </c>
      <c r="D126" t="str">
        <f>IF(VLOOKUP(C126,'Capabilities Overview'!$A$2:$A$587,1)=C126,"","Not in IOE")</f>
        <v/>
      </c>
      <c r="E126" t="s">
        <v>1</v>
      </c>
      <c r="F126" t="s">
        <v>1</v>
      </c>
      <c r="G126" t="s">
        <v>275</v>
      </c>
      <c r="H126" t="s">
        <v>275</v>
      </c>
      <c r="I126" t="s">
        <v>1</v>
      </c>
      <c r="J126" t="s">
        <v>1</v>
      </c>
      <c r="K126" t="s">
        <v>275</v>
      </c>
      <c r="L126" t="s">
        <v>275</v>
      </c>
      <c r="M126" t="s">
        <v>275</v>
      </c>
      <c r="N126" t="s">
        <v>275</v>
      </c>
      <c r="O126" t="s">
        <v>275</v>
      </c>
      <c r="P126" t="s">
        <v>275</v>
      </c>
      <c r="Q126" t="s">
        <v>275</v>
      </c>
      <c r="R126" t="s">
        <v>275</v>
      </c>
      <c r="S126" t="s">
        <v>275</v>
      </c>
      <c r="T126" t="s">
        <v>275</v>
      </c>
      <c r="U126" t="s">
        <v>275</v>
      </c>
      <c r="V126" t="s">
        <v>275</v>
      </c>
    </row>
    <row r="127" spans="1:22">
      <c r="A127">
        <v>125</v>
      </c>
      <c r="B127" t="s">
        <v>482</v>
      </c>
      <c r="C127" t="s">
        <v>488</v>
      </c>
      <c r="D127" t="str">
        <f>IF(VLOOKUP(C127,'Capabilities Overview'!$A$2:$A$587,1)=C127,"","Not in IOE")</f>
        <v/>
      </c>
      <c r="E127" t="s">
        <v>1</v>
      </c>
      <c r="F127" t="s">
        <v>1</v>
      </c>
      <c r="G127" t="s">
        <v>275</v>
      </c>
      <c r="H127" t="s">
        <v>275</v>
      </c>
      <c r="I127" t="s">
        <v>1</v>
      </c>
      <c r="J127" t="s">
        <v>1</v>
      </c>
      <c r="K127" t="s">
        <v>275</v>
      </c>
      <c r="L127" t="s">
        <v>275</v>
      </c>
      <c r="M127" t="s">
        <v>275</v>
      </c>
      <c r="N127" t="s">
        <v>275</v>
      </c>
      <c r="O127" t="s">
        <v>275</v>
      </c>
      <c r="P127" t="s">
        <v>275</v>
      </c>
      <c r="Q127" t="s">
        <v>275</v>
      </c>
      <c r="R127" t="s">
        <v>275</v>
      </c>
      <c r="S127" t="s">
        <v>275</v>
      </c>
      <c r="T127" t="s">
        <v>275</v>
      </c>
      <c r="U127" t="s">
        <v>275</v>
      </c>
      <c r="V127" t="s">
        <v>275</v>
      </c>
    </row>
    <row r="128" spans="1:22">
      <c r="A128">
        <v>126</v>
      </c>
      <c r="B128" t="s">
        <v>471</v>
      </c>
      <c r="C128" t="s">
        <v>489</v>
      </c>
      <c r="D128" t="str">
        <f>IF(VLOOKUP(C128,'Capabilities Overview'!$A$2:$A$587,1)=C128,"","Not in IOE")</f>
        <v/>
      </c>
      <c r="E128" t="s">
        <v>1</v>
      </c>
      <c r="F128" t="s">
        <v>275</v>
      </c>
      <c r="G128" t="s">
        <v>275</v>
      </c>
      <c r="H128" t="s">
        <v>275</v>
      </c>
      <c r="I128" t="s">
        <v>275</v>
      </c>
      <c r="J128" t="s">
        <v>275</v>
      </c>
      <c r="K128" t="s">
        <v>275</v>
      </c>
      <c r="L128" t="s">
        <v>1</v>
      </c>
      <c r="M128" t="s">
        <v>1</v>
      </c>
      <c r="N128" t="s">
        <v>1</v>
      </c>
      <c r="O128" t="s">
        <v>275</v>
      </c>
      <c r="P128" t="s">
        <v>275</v>
      </c>
      <c r="Q128" t="s">
        <v>275</v>
      </c>
      <c r="R128" t="s">
        <v>275</v>
      </c>
      <c r="S128" t="s">
        <v>275</v>
      </c>
      <c r="T128" t="s">
        <v>275</v>
      </c>
      <c r="U128" t="s">
        <v>275</v>
      </c>
      <c r="V128" t="s">
        <v>275</v>
      </c>
    </row>
    <row r="129" spans="1:22">
      <c r="A129">
        <v>127</v>
      </c>
      <c r="B129" t="s">
        <v>510</v>
      </c>
      <c r="C129" t="s">
        <v>511</v>
      </c>
      <c r="D129" t="str">
        <f>IF(VLOOKUP(C129,'Capabilities Overview'!$A$2:$A$587,1)=C129,"","Not in IOE")</f>
        <v/>
      </c>
      <c r="E129" t="s">
        <v>1</v>
      </c>
      <c r="F129" t="s">
        <v>1</v>
      </c>
      <c r="G129" t="s">
        <v>275</v>
      </c>
      <c r="H129" t="s">
        <v>275</v>
      </c>
      <c r="I129" t="s">
        <v>275</v>
      </c>
      <c r="J129" t="s">
        <v>275</v>
      </c>
      <c r="K129" t="s">
        <v>275</v>
      </c>
      <c r="L129" t="s">
        <v>275</v>
      </c>
      <c r="M129" t="s">
        <v>275</v>
      </c>
      <c r="N129" t="s">
        <v>275</v>
      </c>
      <c r="O129" t="s">
        <v>275</v>
      </c>
      <c r="P129" t="s">
        <v>275</v>
      </c>
      <c r="Q129" t="s">
        <v>275</v>
      </c>
      <c r="R129" t="s">
        <v>275</v>
      </c>
      <c r="S129" t="s">
        <v>275</v>
      </c>
      <c r="T129" t="s">
        <v>275</v>
      </c>
      <c r="U129" t="s">
        <v>275</v>
      </c>
      <c r="V129" t="s">
        <v>275</v>
      </c>
    </row>
    <row r="130" spans="1:22">
      <c r="A130">
        <v>128</v>
      </c>
      <c r="B130" t="s">
        <v>512</v>
      </c>
      <c r="C130" t="s">
        <v>513</v>
      </c>
      <c r="D130" t="str">
        <f>IF(VLOOKUP(C130,'Capabilities Overview'!$A$2:$A$587,1)=C130,"","Not in IOE")</f>
        <v/>
      </c>
      <c r="E130" t="s">
        <v>1</v>
      </c>
      <c r="F130" t="s">
        <v>1</v>
      </c>
      <c r="G130" t="s">
        <v>275</v>
      </c>
      <c r="H130" t="s">
        <v>1</v>
      </c>
      <c r="I130" t="s">
        <v>1</v>
      </c>
      <c r="J130" t="s">
        <v>1</v>
      </c>
      <c r="K130" t="s">
        <v>1</v>
      </c>
      <c r="L130" t="s">
        <v>275</v>
      </c>
      <c r="M130" t="s">
        <v>275</v>
      </c>
      <c r="N130" t="s">
        <v>275</v>
      </c>
      <c r="O130" t="s">
        <v>275</v>
      </c>
      <c r="P130" t="s">
        <v>275</v>
      </c>
      <c r="Q130" t="s">
        <v>275</v>
      </c>
      <c r="R130" t="s">
        <v>275</v>
      </c>
      <c r="S130" t="s">
        <v>275</v>
      </c>
      <c r="T130" t="s">
        <v>1</v>
      </c>
      <c r="U130" t="s">
        <v>275</v>
      </c>
      <c r="V130" t="s">
        <v>275</v>
      </c>
    </row>
    <row r="131" spans="1:22">
      <c r="A131">
        <v>129</v>
      </c>
      <c r="B131" t="s">
        <v>514</v>
      </c>
      <c r="C131" t="s">
        <v>515</v>
      </c>
      <c r="D131" t="str">
        <f>IF(VLOOKUP(C131,'Capabilities Overview'!$A$2:$A$587,1)=C131,"","Not in IOE")</f>
        <v/>
      </c>
      <c r="E131" t="s">
        <v>1</v>
      </c>
      <c r="F131" t="s">
        <v>1</v>
      </c>
      <c r="G131" t="s">
        <v>275</v>
      </c>
      <c r="H131" t="s">
        <v>275</v>
      </c>
      <c r="I131" t="s">
        <v>275</v>
      </c>
      <c r="J131" t="s">
        <v>275</v>
      </c>
      <c r="K131" t="s">
        <v>275</v>
      </c>
      <c r="L131" t="s">
        <v>275</v>
      </c>
      <c r="M131" t="s">
        <v>275</v>
      </c>
      <c r="N131" t="s">
        <v>275</v>
      </c>
      <c r="O131" t="s">
        <v>275</v>
      </c>
      <c r="P131" t="s">
        <v>275</v>
      </c>
      <c r="Q131" t="s">
        <v>275</v>
      </c>
      <c r="R131" t="s">
        <v>275</v>
      </c>
      <c r="S131" t="s">
        <v>275</v>
      </c>
      <c r="T131" t="s">
        <v>275</v>
      </c>
      <c r="U131" t="s">
        <v>275</v>
      </c>
      <c r="V131" t="s">
        <v>275</v>
      </c>
    </row>
    <row r="132" spans="1:22">
      <c r="A132">
        <v>130</v>
      </c>
      <c r="B132" t="s">
        <v>516</v>
      </c>
      <c r="C132" t="s">
        <v>517</v>
      </c>
      <c r="D132" t="str">
        <f>IF(VLOOKUP(C132,'Capabilities Overview'!$A$2:$A$587,1)=C132,"","Not in IOE")</f>
        <v/>
      </c>
      <c r="E132" t="s">
        <v>1</v>
      </c>
      <c r="F132" t="s">
        <v>1</v>
      </c>
      <c r="G132" t="s">
        <v>275</v>
      </c>
      <c r="H132" t="s">
        <v>1</v>
      </c>
      <c r="I132" t="s">
        <v>1</v>
      </c>
      <c r="J132" t="s">
        <v>1</v>
      </c>
      <c r="K132" t="s">
        <v>1</v>
      </c>
      <c r="L132" t="s">
        <v>275</v>
      </c>
      <c r="M132" t="s">
        <v>275</v>
      </c>
      <c r="N132" t="s">
        <v>275</v>
      </c>
      <c r="O132" t="s">
        <v>275</v>
      </c>
      <c r="P132" t="s">
        <v>275</v>
      </c>
      <c r="Q132" t="s">
        <v>275</v>
      </c>
      <c r="R132" t="s">
        <v>275</v>
      </c>
      <c r="S132" t="s">
        <v>275</v>
      </c>
      <c r="T132" t="s">
        <v>1</v>
      </c>
      <c r="U132" t="s">
        <v>275</v>
      </c>
      <c r="V132" t="s">
        <v>275</v>
      </c>
    </row>
    <row r="133" spans="1:22">
      <c r="A133">
        <v>131</v>
      </c>
      <c r="B133" t="s">
        <v>518</v>
      </c>
      <c r="C133" t="s">
        <v>519</v>
      </c>
      <c r="D133" t="str">
        <f>IF(VLOOKUP(C133,'Capabilities Overview'!$A$2:$A$587,1)=C133,"","Not in IOE")</f>
        <v/>
      </c>
      <c r="E133" t="s">
        <v>1</v>
      </c>
      <c r="F133" t="s">
        <v>1</v>
      </c>
      <c r="G133" t="s">
        <v>275</v>
      </c>
      <c r="H133" t="s">
        <v>275</v>
      </c>
      <c r="I133" t="s">
        <v>275</v>
      </c>
      <c r="J133" t="s">
        <v>275</v>
      </c>
      <c r="K133" t="s">
        <v>275</v>
      </c>
      <c r="L133" t="s">
        <v>275</v>
      </c>
      <c r="M133" t="s">
        <v>275</v>
      </c>
      <c r="N133" t="s">
        <v>275</v>
      </c>
      <c r="O133" t="s">
        <v>275</v>
      </c>
      <c r="P133" t="s">
        <v>275</v>
      </c>
      <c r="Q133" t="s">
        <v>275</v>
      </c>
      <c r="R133" t="s">
        <v>275</v>
      </c>
      <c r="S133" t="s">
        <v>275</v>
      </c>
      <c r="T133" t="s">
        <v>275</v>
      </c>
      <c r="U133" t="s">
        <v>275</v>
      </c>
      <c r="V133" t="s">
        <v>275</v>
      </c>
    </row>
    <row r="134" spans="1:22">
      <c r="A134">
        <v>132</v>
      </c>
      <c r="B134" t="s">
        <v>520</v>
      </c>
      <c r="C134" t="s">
        <v>521</v>
      </c>
      <c r="D134" t="str">
        <f>IF(VLOOKUP(C134,'Capabilities Overview'!$A$2:$A$587,1)=C134,"","Not in IOE")</f>
        <v/>
      </c>
      <c r="E134" t="s">
        <v>1</v>
      </c>
      <c r="F134" t="s">
        <v>1</v>
      </c>
      <c r="G134" t="s">
        <v>275</v>
      </c>
      <c r="H134" t="s">
        <v>1</v>
      </c>
      <c r="I134" t="s">
        <v>1</v>
      </c>
      <c r="J134" t="s">
        <v>1</v>
      </c>
      <c r="K134" t="s">
        <v>1</v>
      </c>
      <c r="L134" t="s">
        <v>275</v>
      </c>
      <c r="M134" t="s">
        <v>275</v>
      </c>
      <c r="N134" t="s">
        <v>275</v>
      </c>
      <c r="O134" t="s">
        <v>275</v>
      </c>
      <c r="P134" t="s">
        <v>275</v>
      </c>
      <c r="Q134" t="s">
        <v>275</v>
      </c>
      <c r="R134" t="s">
        <v>275</v>
      </c>
      <c r="S134" t="s">
        <v>275</v>
      </c>
      <c r="T134" t="s">
        <v>1</v>
      </c>
      <c r="U134" t="s">
        <v>275</v>
      </c>
      <c r="V134" t="s">
        <v>275</v>
      </c>
    </row>
    <row r="135" spans="1:22">
      <c r="A135">
        <v>133</v>
      </c>
      <c r="B135" t="s">
        <v>522</v>
      </c>
      <c r="C135" t="s">
        <v>523</v>
      </c>
      <c r="D135" t="str">
        <f>IF(VLOOKUP(C135,'Capabilities Overview'!$A$2:$A$587,1)=C135,"","Not in IOE")</f>
        <v/>
      </c>
      <c r="E135" t="s">
        <v>1</v>
      </c>
      <c r="F135" t="s">
        <v>1</v>
      </c>
      <c r="G135" t="s">
        <v>275</v>
      </c>
      <c r="H135" t="s">
        <v>275</v>
      </c>
      <c r="I135" t="s">
        <v>275</v>
      </c>
      <c r="J135" t="s">
        <v>275</v>
      </c>
      <c r="K135" t="s">
        <v>275</v>
      </c>
      <c r="L135" t="s">
        <v>275</v>
      </c>
      <c r="M135" t="s">
        <v>275</v>
      </c>
      <c r="N135" t="s">
        <v>275</v>
      </c>
      <c r="O135" t="s">
        <v>275</v>
      </c>
      <c r="P135" t="s">
        <v>275</v>
      </c>
      <c r="Q135" t="s">
        <v>275</v>
      </c>
      <c r="R135" t="s">
        <v>275</v>
      </c>
      <c r="S135" t="s">
        <v>275</v>
      </c>
      <c r="T135" t="s">
        <v>275</v>
      </c>
      <c r="U135" t="s">
        <v>275</v>
      </c>
      <c r="V135" t="s">
        <v>275</v>
      </c>
    </row>
    <row r="136" spans="1:22">
      <c r="A136">
        <v>134</v>
      </c>
      <c r="B136" t="s">
        <v>524</v>
      </c>
      <c r="C136" t="s">
        <v>525</v>
      </c>
      <c r="D136" t="str">
        <f>IF(VLOOKUP(C136,'Capabilities Overview'!$A$2:$A$587,1)=C136,"","Not in IOE")</f>
        <v/>
      </c>
      <c r="E136" t="s">
        <v>1</v>
      </c>
      <c r="F136" t="s">
        <v>1</v>
      </c>
      <c r="G136" t="s">
        <v>275</v>
      </c>
      <c r="H136" t="s">
        <v>1</v>
      </c>
      <c r="I136" t="s">
        <v>1</v>
      </c>
      <c r="J136" t="s">
        <v>1</v>
      </c>
      <c r="K136" t="s">
        <v>1</v>
      </c>
      <c r="L136" t="s">
        <v>275</v>
      </c>
      <c r="M136" t="s">
        <v>275</v>
      </c>
      <c r="N136" t="s">
        <v>275</v>
      </c>
      <c r="O136" t="s">
        <v>275</v>
      </c>
      <c r="P136" t="s">
        <v>275</v>
      </c>
      <c r="Q136" t="s">
        <v>275</v>
      </c>
      <c r="R136" t="s">
        <v>275</v>
      </c>
      <c r="S136" t="s">
        <v>275</v>
      </c>
      <c r="T136" t="s">
        <v>1</v>
      </c>
      <c r="U136" t="s">
        <v>275</v>
      </c>
      <c r="V136" t="s">
        <v>275</v>
      </c>
    </row>
    <row r="137" spans="1:22">
      <c r="A137">
        <v>135</v>
      </c>
      <c r="B137" t="s">
        <v>526</v>
      </c>
      <c r="C137" t="s">
        <v>527</v>
      </c>
      <c r="D137" t="str">
        <f>IF(VLOOKUP(C137,'Capabilities Overview'!$A$2:$A$587,1)=C137,"","Not in IOE")</f>
        <v/>
      </c>
      <c r="E137" t="s">
        <v>1</v>
      </c>
      <c r="F137" t="s">
        <v>1</v>
      </c>
      <c r="G137" t="s">
        <v>275</v>
      </c>
      <c r="H137" t="s">
        <v>41</v>
      </c>
      <c r="I137" t="s">
        <v>1</v>
      </c>
      <c r="J137" t="s">
        <v>1</v>
      </c>
      <c r="K137" t="s">
        <v>275</v>
      </c>
      <c r="L137" t="s">
        <v>275</v>
      </c>
      <c r="M137" t="s">
        <v>275</v>
      </c>
      <c r="N137" t="s">
        <v>275</v>
      </c>
      <c r="O137" t="s">
        <v>275</v>
      </c>
      <c r="P137" t="s">
        <v>275</v>
      </c>
      <c r="Q137" t="s">
        <v>275</v>
      </c>
      <c r="R137" t="s">
        <v>275</v>
      </c>
      <c r="S137" t="s">
        <v>275</v>
      </c>
      <c r="T137" t="s">
        <v>275</v>
      </c>
      <c r="U137" t="s">
        <v>275</v>
      </c>
      <c r="V137" t="s">
        <v>275</v>
      </c>
    </row>
    <row r="138" spans="1:22">
      <c r="A138">
        <v>136</v>
      </c>
      <c r="B138" t="s">
        <v>528</v>
      </c>
      <c r="C138" t="s">
        <v>529</v>
      </c>
      <c r="D138" t="str">
        <f>IF(VLOOKUP(C138,'Capabilities Overview'!$A$2:$A$587,1)=C138,"","Not in IOE")</f>
        <v/>
      </c>
      <c r="E138" t="s">
        <v>1</v>
      </c>
      <c r="F138" t="s">
        <v>1</v>
      </c>
      <c r="G138" t="s">
        <v>275</v>
      </c>
      <c r="H138" t="s">
        <v>275</v>
      </c>
      <c r="I138" t="s">
        <v>275</v>
      </c>
      <c r="J138" t="s">
        <v>275</v>
      </c>
      <c r="K138" t="s">
        <v>275</v>
      </c>
      <c r="L138" t="s">
        <v>275</v>
      </c>
      <c r="M138" t="s">
        <v>275</v>
      </c>
      <c r="N138" t="s">
        <v>275</v>
      </c>
      <c r="O138" t="s">
        <v>275</v>
      </c>
      <c r="P138" t="s">
        <v>275</v>
      </c>
      <c r="Q138" t="s">
        <v>275</v>
      </c>
      <c r="R138" t="s">
        <v>275</v>
      </c>
      <c r="S138" t="s">
        <v>275</v>
      </c>
      <c r="T138" t="s">
        <v>275</v>
      </c>
      <c r="U138" t="s">
        <v>275</v>
      </c>
      <c r="V138" t="s">
        <v>275</v>
      </c>
    </row>
    <row r="139" spans="1:22">
      <c r="A139">
        <v>137</v>
      </c>
      <c r="B139" t="s">
        <v>530</v>
      </c>
      <c r="C139" t="s">
        <v>531</v>
      </c>
      <c r="D139" t="str">
        <f>IF(VLOOKUP(C139,'Capabilities Overview'!$A$2:$A$587,1)=C139,"","Not in IOE")</f>
        <v/>
      </c>
      <c r="E139" t="s">
        <v>1</v>
      </c>
      <c r="F139" t="s">
        <v>1</v>
      </c>
      <c r="G139" t="s">
        <v>275</v>
      </c>
      <c r="H139" t="s">
        <v>41</v>
      </c>
      <c r="I139" t="s">
        <v>1</v>
      </c>
      <c r="J139" t="s">
        <v>1</v>
      </c>
      <c r="K139" t="s">
        <v>275</v>
      </c>
      <c r="L139" t="s">
        <v>275</v>
      </c>
      <c r="M139" t="s">
        <v>275</v>
      </c>
      <c r="N139" t="s">
        <v>275</v>
      </c>
      <c r="O139" t="s">
        <v>275</v>
      </c>
      <c r="P139" t="s">
        <v>275</v>
      </c>
      <c r="Q139" t="s">
        <v>275</v>
      </c>
      <c r="R139" t="s">
        <v>275</v>
      </c>
      <c r="S139" t="s">
        <v>275</v>
      </c>
      <c r="T139" t="s">
        <v>275</v>
      </c>
      <c r="U139" t="s">
        <v>275</v>
      </c>
      <c r="V139" t="s">
        <v>275</v>
      </c>
    </row>
    <row r="140" spans="1:22">
      <c r="A140">
        <v>138</v>
      </c>
      <c r="B140" t="s">
        <v>532</v>
      </c>
      <c r="C140" t="s">
        <v>533</v>
      </c>
      <c r="D140" t="str">
        <f>IF(VLOOKUP(C140,'Capabilities Overview'!$A$2:$A$587,1)=C140,"","Not in IOE")</f>
        <v/>
      </c>
      <c r="E140" t="s">
        <v>1</v>
      </c>
      <c r="F140" t="s">
        <v>1</v>
      </c>
      <c r="G140" t="s">
        <v>275</v>
      </c>
      <c r="H140" t="s">
        <v>1</v>
      </c>
      <c r="I140" t="s">
        <v>1</v>
      </c>
      <c r="J140" t="s">
        <v>1</v>
      </c>
      <c r="K140" t="s">
        <v>1</v>
      </c>
      <c r="L140" t="s">
        <v>275</v>
      </c>
      <c r="M140" t="s">
        <v>275</v>
      </c>
      <c r="N140" t="s">
        <v>275</v>
      </c>
      <c r="O140" t="s">
        <v>275</v>
      </c>
      <c r="P140" t="s">
        <v>275</v>
      </c>
      <c r="Q140" t="s">
        <v>275</v>
      </c>
      <c r="R140" t="s">
        <v>275</v>
      </c>
      <c r="S140" t="s">
        <v>275</v>
      </c>
      <c r="T140" t="s">
        <v>1</v>
      </c>
      <c r="U140" t="s">
        <v>275</v>
      </c>
      <c r="V140" t="s">
        <v>275</v>
      </c>
    </row>
    <row r="141" spans="1:22">
      <c r="A141">
        <v>139</v>
      </c>
      <c r="B141" t="s">
        <v>534</v>
      </c>
      <c r="C141" t="s">
        <v>535</v>
      </c>
      <c r="D141" t="str">
        <f>IF(VLOOKUP(C141,'Capabilities Overview'!$A$2:$A$587,1)=C141,"","Not in IOE")</f>
        <v/>
      </c>
      <c r="E141" t="s">
        <v>1</v>
      </c>
      <c r="F141" t="s">
        <v>1</v>
      </c>
      <c r="G141" t="s">
        <v>275</v>
      </c>
      <c r="H141" t="s">
        <v>1</v>
      </c>
      <c r="I141" t="s">
        <v>1</v>
      </c>
      <c r="J141" t="s">
        <v>1</v>
      </c>
      <c r="K141" t="s">
        <v>1</v>
      </c>
      <c r="L141" t="s">
        <v>275</v>
      </c>
      <c r="M141" t="s">
        <v>275</v>
      </c>
      <c r="N141" t="s">
        <v>275</v>
      </c>
      <c r="O141" t="s">
        <v>275</v>
      </c>
      <c r="P141" t="s">
        <v>275</v>
      </c>
      <c r="Q141" t="s">
        <v>275</v>
      </c>
      <c r="R141" t="s">
        <v>275</v>
      </c>
      <c r="S141" t="s">
        <v>275</v>
      </c>
      <c r="T141" t="s">
        <v>1</v>
      </c>
      <c r="U141" t="s">
        <v>275</v>
      </c>
      <c r="V141" t="s">
        <v>275</v>
      </c>
    </row>
    <row r="142" spans="1:22">
      <c r="A142">
        <v>140</v>
      </c>
      <c r="B142" t="s">
        <v>536</v>
      </c>
      <c r="C142" t="s">
        <v>537</v>
      </c>
      <c r="D142" t="str">
        <f>IF(VLOOKUP(C142,'Capabilities Overview'!$A$2:$A$587,1)=C142,"","Not in IOE")</f>
        <v/>
      </c>
      <c r="E142" t="s">
        <v>1</v>
      </c>
      <c r="F142" t="s">
        <v>1</v>
      </c>
      <c r="G142" t="s">
        <v>275</v>
      </c>
      <c r="H142" t="s">
        <v>1</v>
      </c>
      <c r="I142" t="s">
        <v>275</v>
      </c>
      <c r="J142" t="s">
        <v>275</v>
      </c>
      <c r="K142" t="s">
        <v>1</v>
      </c>
      <c r="L142" t="s">
        <v>1</v>
      </c>
      <c r="M142" t="s">
        <v>1</v>
      </c>
      <c r="N142" t="s">
        <v>1</v>
      </c>
      <c r="O142" t="s">
        <v>275</v>
      </c>
      <c r="P142" t="s">
        <v>275</v>
      </c>
      <c r="Q142" t="s">
        <v>275</v>
      </c>
      <c r="R142" t="s">
        <v>275</v>
      </c>
      <c r="S142" t="s">
        <v>275</v>
      </c>
      <c r="T142" t="s">
        <v>1</v>
      </c>
      <c r="U142" t="s">
        <v>275</v>
      </c>
      <c r="V142" t="s">
        <v>275</v>
      </c>
    </row>
    <row r="143" spans="1:22">
      <c r="A143">
        <v>141</v>
      </c>
      <c r="B143" t="s">
        <v>538</v>
      </c>
      <c r="C143" t="s">
        <v>539</v>
      </c>
      <c r="D143" t="str">
        <f>IF(VLOOKUP(C143,'Capabilities Overview'!$A$2:$A$587,1)=C143,"","Not in IOE")</f>
        <v/>
      </c>
      <c r="E143" t="s">
        <v>1</v>
      </c>
      <c r="F143" t="s">
        <v>1</v>
      </c>
      <c r="G143" t="s">
        <v>275</v>
      </c>
      <c r="H143" t="s">
        <v>1</v>
      </c>
      <c r="I143" t="s">
        <v>1</v>
      </c>
      <c r="J143" t="s">
        <v>1</v>
      </c>
      <c r="K143" t="s">
        <v>1</v>
      </c>
      <c r="L143" t="s">
        <v>1</v>
      </c>
      <c r="M143" t="s">
        <v>1</v>
      </c>
      <c r="N143" t="s">
        <v>1</v>
      </c>
      <c r="O143" t="s">
        <v>275</v>
      </c>
      <c r="P143" t="s">
        <v>275</v>
      </c>
      <c r="Q143" t="s">
        <v>275</v>
      </c>
      <c r="R143" t="s">
        <v>275</v>
      </c>
      <c r="S143" t="s">
        <v>275</v>
      </c>
      <c r="T143" t="s">
        <v>1</v>
      </c>
      <c r="U143" t="s">
        <v>275</v>
      </c>
      <c r="V143" t="s">
        <v>275</v>
      </c>
    </row>
    <row r="144" spans="1:22">
      <c r="A144">
        <v>142</v>
      </c>
      <c r="B144" t="s">
        <v>1733</v>
      </c>
      <c r="C144" t="s">
        <v>1734</v>
      </c>
      <c r="D144" t="str">
        <f>IF(VLOOKUP(C144,'Capabilities Overview'!$A$2:$A$587,1)=C144,"","Not in IOE")</f>
        <v>Not in IOE</v>
      </c>
      <c r="E144" t="s">
        <v>1</v>
      </c>
      <c r="F144" t="s">
        <v>1</v>
      </c>
      <c r="G144" t="s">
        <v>275</v>
      </c>
      <c r="H144" t="s">
        <v>275</v>
      </c>
      <c r="I144" t="s">
        <v>1</v>
      </c>
      <c r="J144" t="s">
        <v>1</v>
      </c>
      <c r="K144" t="s">
        <v>275</v>
      </c>
      <c r="L144" t="s">
        <v>275</v>
      </c>
      <c r="M144" t="s">
        <v>275</v>
      </c>
      <c r="N144" t="s">
        <v>275</v>
      </c>
      <c r="O144" t="s">
        <v>275</v>
      </c>
      <c r="P144" t="s">
        <v>275</v>
      </c>
      <c r="Q144" t="s">
        <v>275</v>
      </c>
      <c r="R144" t="s">
        <v>1</v>
      </c>
      <c r="S144" t="s">
        <v>275</v>
      </c>
      <c r="T144" t="s">
        <v>275</v>
      </c>
      <c r="U144" t="s">
        <v>275</v>
      </c>
      <c r="V144" t="s">
        <v>275</v>
      </c>
    </row>
    <row r="145" spans="1:22">
      <c r="A145">
        <v>143</v>
      </c>
      <c r="B145" t="s">
        <v>1735</v>
      </c>
      <c r="C145" t="s">
        <v>1736</v>
      </c>
      <c r="D145" t="str">
        <f>IF(VLOOKUP(C145,'Capabilities Overview'!$A$2:$A$587,1)=C145,"","Not in IOE")</f>
        <v>Not in IOE</v>
      </c>
      <c r="E145" t="s">
        <v>1</v>
      </c>
      <c r="F145" t="s">
        <v>1</v>
      </c>
      <c r="G145" t="s">
        <v>275</v>
      </c>
      <c r="H145" t="s">
        <v>275</v>
      </c>
      <c r="I145" t="s">
        <v>1</v>
      </c>
      <c r="J145" t="s">
        <v>1</v>
      </c>
      <c r="K145" t="s">
        <v>275</v>
      </c>
      <c r="L145" t="s">
        <v>275</v>
      </c>
      <c r="M145" t="s">
        <v>275</v>
      </c>
      <c r="N145" t="s">
        <v>275</v>
      </c>
      <c r="O145" t="s">
        <v>275</v>
      </c>
      <c r="P145" t="s">
        <v>275</v>
      </c>
      <c r="Q145" t="s">
        <v>275</v>
      </c>
      <c r="R145" t="s">
        <v>1</v>
      </c>
      <c r="S145" t="s">
        <v>275</v>
      </c>
      <c r="T145" t="s">
        <v>275</v>
      </c>
      <c r="U145" t="s">
        <v>275</v>
      </c>
      <c r="V145" t="s">
        <v>275</v>
      </c>
    </row>
    <row r="146" spans="1:22">
      <c r="A146">
        <v>144</v>
      </c>
      <c r="B146" t="s">
        <v>1737</v>
      </c>
      <c r="C146" t="s">
        <v>1738</v>
      </c>
      <c r="D146" t="str">
        <f>IF(VLOOKUP(C146,'Capabilities Overview'!$A$2:$A$587,1)=C146,"","Not in IOE")</f>
        <v>Not in IOE</v>
      </c>
      <c r="E146" t="s">
        <v>275</v>
      </c>
      <c r="F146" t="s">
        <v>1</v>
      </c>
      <c r="G146" t="s">
        <v>275</v>
      </c>
      <c r="H146" t="s">
        <v>275</v>
      </c>
      <c r="I146" t="s">
        <v>1</v>
      </c>
      <c r="J146" t="s">
        <v>1</v>
      </c>
      <c r="K146" t="s">
        <v>275</v>
      </c>
      <c r="L146" t="s">
        <v>275</v>
      </c>
      <c r="M146" t="s">
        <v>275</v>
      </c>
      <c r="N146" t="s">
        <v>275</v>
      </c>
      <c r="O146" t="s">
        <v>275</v>
      </c>
      <c r="P146" t="s">
        <v>275</v>
      </c>
      <c r="Q146" t="s">
        <v>275</v>
      </c>
      <c r="R146" t="s">
        <v>275</v>
      </c>
      <c r="S146" t="s">
        <v>275</v>
      </c>
      <c r="T146" t="s">
        <v>275</v>
      </c>
      <c r="U146" t="s">
        <v>275</v>
      </c>
      <c r="V146" t="s">
        <v>275</v>
      </c>
    </row>
    <row r="147" spans="1:22">
      <c r="A147">
        <v>145</v>
      </c>
      <c r="B147" t="s">
        <v>1739</v>
      </c>
      <c r="C147" t="s">
        <v>1740</v>
      </c>
      <c r="D147" t="str">
        <f>IF(VLOOKUP(C147,'Capabilities Overview'!$A$2:$A$587,1)=C147,"","Not in IOE")</f>
        <v>Not in IOE</v>
      </c>
      <c r="E147" t="s">
        <v>275</v>
      </c>
      <c r="F147" t="s">
        <v>1</v>
      </c>
      <c r="G147" t="s">
        <v>275</v>
      </c>
      <c r="H147" t="s">
        <v>275</v>
      </c>
      <c r="I147" t="s">
        <v>1</v>
      </c>
      <c r="J147" t="s">
        <v>1</v>
      </c>
      <c r="K147" t="s">
        <v>275</v>
      </c>
      <c r="L147" t="s">
        <v>275</v>
      </c>
      <c r="M147" t="s">
        <v>275</v>
      </c>
      <c r="N147" t="s">
        <v>275</v>
      </c>
      <c r="O147" t="s">
        <v>275</v>
      </c>
      <c r="P147" t="s">
        <v>275</v>
      </c>
      <c r="Q147" t="s">
        <v>275</v>
      </c>
      <c r="R147" t="s">
        <v>275</v>
      </c>
      <c r="S147" t="s">
        <v>275</v>
      </c>
      <c r="T147" t="s">
        <v>275</v>
      </c>
      <c r="U147" t="s">
        <v>275</v>
      </c>
      <c r="V147" t="s">
        <v>275</v>
      </c>
    </row>
    <row r="148" spans="1:22">
      <c r="A148">
        <v>146</v>
      </c>
      <c r="B148" t="s">
        <v>1741</v>
      </c>
      <c r="C148" t="s">
        <v>1742</v>
      </c>
      <c r="D148" t="str">
        <f>IF(VLOOKUP(C148,'Capabilities Overview'!$A$2:$A$587,1)=C148,"","Not in IOE")</f>
        <v>Not in IOE</v>
      </c>
      <c r="E148" t="s">
        <v>1</v>
      </c>
      <c r="F148" t="s">
        <v>1</v>
      </c>
      <c r="G148" t="s">
        <v>275</v>
      </c>
      <c r="H148" t="s">
        <v>275</v>
      </c>
      <c r="I148" t="s">
        <v>1</v>
      </c>
      <c r="J148" t="s">
        <v>1</v>
      </c>
      <c r="K148" t="s">
        <v>275</v>
      </c>
      <c r="L148" t="s">
        <v>275</v>
      </c>
      <c r="M148" t="s">
        <v>275</v>
      </c>
      <c r="N148" t="s">
        <v>275</v>
      </c>
      <c r="O148" t="s">
        <v>275</v>
      </c>
      <c r="P148" t="s">
        <v>275</v>
      </c>
      <c r="Q148" t="s">
        <v>275</v>
      </c>
      <c r="R148" t="s">
        <v>275</v>
      </c>
      <c r="S148" t="s">
        <v>275</v>
      </c>
      <c r="T148" t="s">
        <v>275</v>
      </c>
      <c r="U148" t="s">
        <v>275</v>
      </c>
      <c r="V148" t="s">
        <v>275</v>
      </c>
    </row>
    <row r="149" spans="1:22">
      <c r="A149">
        <v>147</v>
      </c>
      <c r="B149" t="s">
        <v>548</v>
      </c>
      <c r="C149" t="s">
        <v>549</v>
      </c>
      <c r="D149" t="str">
        <f>IF(VLOOKUP(C149,'Capabilities Overview'!$A$2:$A$587,1)=C149,"","Not in IOE")</f>
        <v/>
      </c>
      <c r="E149" t="s">
        <v>1</v>
      </c>
      <c r="F149" t="s">
        <v>1</v>
      </c>
      <c r="G149" t="s">
        <v>275</v>
      </c>
      <c r="H149" t="s">
        <v>275</v>
      </c>
      <c r="I149" t="s">
        <v>1</v>
      </c>
      <c r="J149" t="s">
        <v>1</v>
      </c>
      <c r="K149" t="s">
        <v>275</v>
      </c>
      <c r="L149" t="s">
        <v>275</v>
      </c>
      <c r="M149" t="s">
        <v>275</v>
      </c>
      <c r="N149" t="s">
        <v>275</v>
      </c>
      <c r="O149" t="s">
        <v>275</v>
      </c>
      <c r="P149" t="s">
        <v>275</v>
      </c>
      <c r="Q149" t="s">
        <v>275</v>
      </c>
      <c r="R149" t="s">
        <v>275</v>
      </c>
      <c r="S149" t="s">
        <v>275</v>
      </c>
      <c r="T149" t="s">
        <v>275</v>
      </c>
      <c r="U149" t="s">
        <v>275</v>
      </c>
      <c r="V149" t="s">
        <v>275</v>
      </c>
    </row>
    <row r="150" spans="1:22">
      <c r="A150">
        <v>148</v>
      </c>
      <c r="B150" t="s">
        <v>548</v>
      </c>
      <c r="C150" t="s">
        <v>550</v>
      </c>
      <c r="D150" t="str">
        <f>IF(VLOOKUP(C150,'Capabilities Overview'!$A$2:$A$587,1)=C150,"","Not in IOE")</f>
        <v/>
      </c>
      <c r="E150" t="s">
        <v>1</v>
      </c>
      <c r="F150" t="s">
        <v>1</v>
      </c>
      <c r="G150" t="s">
        <v>275</v>
      </c>
      <c r="H150" t="s">
        <v>275</v>
      </c>
      <c r="I150" t="s">
        <v>1</v>
      </c>
      <c r="J150" t="s">
        <v>1</v>
      </c>
      <c r="K150" t="s">
        <v>275</v>
      </c>
      <c r="L150" t="s">
        <v>275</v>
      </c>
      <c r="M150" t="s">
        <v>275</v>
      </c>
      <c r="N150" t="s">
        <v>275</v>
      </c>
      <c r="O150" t="s">
        <v>275</v>
      </c>
      <c r="P150" t="s">
        <v>275</v>
      </c>
      <c r="Q150" t="s">
        <v>275</v>
      </c>
      <c r="R150" t="s">
        <v>275</v>
      </c>
      <c r="S150" t="s">
        <v>275</v>
      </c>
      <c r="T150" t="s">
        <v>275</v>
      </c>
      <c r="U150" t="s">
        <v>275</v>
      </c>
      <c r="V150" t="s">
        <v>275</v>
      </c>
    </row>
    <row r="151" spans="1:22">
      <c r="A151">
        <v>149</v>
      </c>
      <c r="B151" t="s">
        <v>557</v>
      </c>
      <c r="C151" t="s">
        <v>558</v>
      </c>
      <c r="D151" t="str">
        <f>IF(VLOOKUP(C151,'Capabilities Overview'!$A$2:$A$587,1)=C151,"","Not in IOE")</f>
        <v/>
      </c>
      <c r="E151" t="s">
        <v>1</v>
      </c>
      <c r="F151" t="s">
        <v>1</v>
      </c>
      <c r="G151" t="s">
        <v>275</v>
      </c>
      <c r="H151" t="s">
        <v>275</v>
      </c>
      <c r="I151" t="s">
        <v>1</v>
      </c>
      <c r="J151" t="s">
        <v>1</v>
      </c>
      <c r="K151" t="s">
        <v>275</v>
      </c>
      <c r="L151" t="s">
        <v>275</v>
      </c>
      <c r="M151" t="s">
        <v>275</v>
      </c>
      <c r="N151" t="s">
        <v>275</v>
      </c>
      <c r="O151" t="s">
        <v>275</v>
      </c>
      <c r="P151" t="s">
        <v>275</v>
      </c>
      <c r="Q151" t="s">
        <v>275</v>
      </c>
      <c r="R151" t="s">
        <v>275</v>
      </c>
      <c r="S151" t="s">
        <v>275</v>
      </c>
      <c r="T151" t="s">
        <v>275</v>
      </c>
      <c r="U151" t="s">
        <v>275</v>
      </c>
      <c r="V151" t="s">
        <v>275</v>
      </c>
    </row>
    <row r="152" spans="1:22">
      <c r="A152">
        <v>150</v>
      </c>
      <c r="B152" t="s">
        <v>561</v>
      </c>
      <c r="C152" t="s">
        <v>562</v>
      </c>
      <c r="D152" t="str">
        <f>IF(VLOOKUP(C152,'Capabilities Overview'!$A$2:$A$587,1)=C152,"","Not in IOE")</f>
        <v/>
      </c>
      <c r="E152" t="s">
        <v>1</v>
      </c>
      <c r="F152" t="s">
        <v>1</v>
      </c>
      <c r="G152" t="s">
        <v>275</v>
      </c>
      <c r="H152" t="s">
        <v>275</v>
      </c>
      <c r="I152" t="s">
        <v>1</v>
      </c>
      <c r="J152" t="s">
        <v>1</v>
      </c>
      <c r="K152" t="s">
        <v>275</v>
      </c>
      <c r="L152" t="s">
        <v>275</v>
      </c>
      <c r="M152" t="s">
        <v>275</v>
      </c>
      <c r="N152" t="s">
        <v>275</v>
      </c>
      <c r="O152" t="s">
        <v>275</v>
      </c>
      <c r="P152" t="s">
        <v>275</v>
      </c>
      <c r="Q152" t="s">
        <v>275</v>
      </c>
      <c r="R152" t="s">
        <v>275</v>
      </c>
      <c r="S152" t="s">
        <v>275</v>
      </c>
      <c r="T152" t="s">
        <v>275</v>
      </c>
      <c r="U152" t="s">
        <v>275</v>
      </c>
      <c r="V152" t="s">
        <v>275</v>
      </c>
    </row>
    <row r="153" spans="1:22">
      <c r="A153">
        <v>151</v>
      </c>
      <c r="B153" t="s">
        <v>563</v>
      </c>
      <c r="C153" t="s">
        <v>564</v>
      </c>
      <c r="D153" t="str">
        <f>IF(VLOOKUP(C153,'Capabilities Overview'!$A$2:$A$587,1)=C153,"","Not in IOE")</f>
        <v/>
      </c>
      <c r="E153" t="s">
        <v>1</v>
      </c>
      <c r="F153" t="s">
        <v>1</v>
      </c>
      <c r="G153" t="s">
        <v>275</v>
      </c>
      <c r="H153" t="s">
        <v>275</v>
      </c>
      <c r="I153" t="s">
        <v>1</v>
      </c>
      <c r="J153" t="s">
        <v>1</v>
      </c>
      <c r="K153" t="s">
        <v>275</v>
      </c>
      <c r="L153" t="s">
        <v>275</v>
      </c>
      <c r="M153" t="s">
        <v>275</v>
      </c>
      <c r="N153" t="s">
        <v>275</v>
      </c>
      <c r="O153" t="s">
        <v>275</v>
      </c>
      <c r="P153" t="s">
        <v>275</v>
      </c>
      <c r="Q153" t="s">
        <v>275</v>
      </c>
      <c r="R153" t="s">
        <v>275</v>
      </c>
      <c r="S153" t="s">
        <v>275</v>
      </c>
      <c r="T153" t="s">
        <v>275</v>
      </c>
      <c r="U153" t="s">
        <v>275</v>
      </c>
      <c r="V153" t="s">
        <v>275</v>
      </c>
    </row>
    <row r="154" spans="1:22">
      <c r="A154">
        <v>152</v>
      </c>
      <c r="B154" t="s">
        <v>567</v>
      </c>
      <c r="C154" t="s">
        <v>568</v>
      </c>
      <c r="D154" t="str">
        <f>IF(VLOOKUP(C154,'Capabilities Overview'!$A$2:$A$587,1)=C154,"","Not in IOE")</f>
        <v/>
      </c>
      <c r="E154" t="s">
        <v>1</v>
      </c>
      <c r="F154" t="s">
        <v>1</v>
      </c>
      <c r="G154" t="s">
        <v>275</v>
      </c>
      <c r="H154" t="s">
        <v>275</v>
      </c>
      <c r="I154" t="s">
        <v>1</v>
      </c>
      <c r="J154" t="s">
        <v>1</v>
      </c>
      <c r="K154" t="s">
        <v>275</v>
      </c>
      <c r="L154" t="s">
        <v>275</v>
      </c>
      <c r="M154" t="s">
        <v>275</v>
      </c>
      <c r="N154" t="s">
        <v>275</v>
      </c>
      <c r="O154" t="s">
        <v>275</v>
      </c>
      <c r="P154" t="s">
        <v>275</v>
      </c>
      <c r="Q154" t="s">
        <v>275</v>
      </c>
      <c r="R154" t="s">
        <v>275</v>
      </c>
      <c r="S154" t="s">
        <v>275</v>
      </c>
      <c r="T154" t="s">
        <v>275</v>
      </c>
      <c r="U154" t="s">
        <v>275</v>
      </c>
      <c r="V154" t="s">
        <v>275</v>
      </c>
    </row>
    <row r="155" spans="1:22">
      <c r="A155">
        <v>153</v>
      </c>
      <c r="B155" t="s">
        <v>569</v>
      </c>
      <c r="C155" t="s">
        <v>570</v>
      </c>
      <c r="D155" t="str">
        <f>IF(VLOOKUP(C155,'Capabilities Overview'!$A$2:$A$587,1)=C155,"","Not in IOE")</f>
        <v/>
      </c>
      <c r="E155" t="s">
        <v>1</v>
      </c>
      <c r="F155" t="s">
        <v>1</v>
      </c>
      <c r="G155" t="s">
        <v>275</v>
      </c>
      <c r="H155" t="s">
        <v>275</v>
      </c>
      <c r="I155" t="s">
        <v>1</v>
      </c>
      <c r="J155" t="s">
        <v>1</v>
      </c>
      <c r="K155" t="s">
        <v>275</v>
      </c>
      <c r="L155" t="s">
        <v>275</v>
      </c>
      <c r="M155" t="s">
        <v>275</v>
      </c>
      <c r="N155" t="s">
        <v>275</v>
      </c>
      <c r="O155" t="s">
        <v>275</v>
      </c>
      <c r="P155" t="s">
        <v>275</v>
      </c>
      <c r="Q155" t="s">
        <v>275</v>
      </c>
      <c r="R155" t="s">
        <v>275</v>
      </c>
      <c r="S155" t="s">
        <v>275</v>
      </c>
      <c r="T155" t="s">
        <v>275</v>
      </c>
      <c r="U155" t="s">
        <v>275</v>
      </c>
      <c r="V155" t="s">
        <v>275</v>
      </c>
    </row>
    <row r="156" spans="1:22">
      <c r="A156">
        <v>154</v>
      </c>
      <c r="B156" t="s">
        <v>593</v>
      </c>
      <c r="C156" t="s">
        <v>594</v>
      </c>
      <c r="D156" t="str">
        <f>IF(VLOOKUP(C156,'Capabilities Overview'!$A$2:$A$587,1)=C156,"","Not in IOE")</f>
        <v/>
      </c>
      <c r="E156" t="s">
        <v>1</v>
      </c>
      <c r="F156" t="s">
        <v>1</v>
      </c>
      <c r="G156" t="s">
        <v>275</v>
      </c>
      <c r="H156" t="s">
        <v>275</v>
      </c>
      <c r="I156" t="s">
        <v>1</v>
      </c>
      <c r="J156" t="s">
        <v>1</v>
      </c>
      <c r="K156" t="s">
        <v>275</v>
      </c>
      <c r="L156" t="s">
        <v>275</v>
      </c>
      <c r="M156" t="s">
        <v>275</v>
      </c>
      <c r="N156" t="s">
        <v>275</v>
      </c>
      <c r="O156" t="s">
        <v>275</v>
      </c>
      <c r="P156" t="s">
        <v>275</v>
      </c>
      <c r="Q156" t="s">
        <v>275</v>
      </c>
      <c r="R156" t="s">
        <v>275</v>
      </c>
      <c r="S156" t="s">
        <v>275</v>
      </c>
      <c r="T156" t="s">
        <v>275</v>
      </c>
      <c r="U156" t="s">
        <v>275</v>
      </c>
      <c r="V156" t="s">
        <v>275</v>
      </c>
    </row>
    <row r="157" spans="1:22">
      <c r="A157">
        <v>155</v>
      </c>
      <c r="B157" t="s">
        <v>595</v>
      </c>
      <c r="C157" t="s">
        <v>596</v>
      </c>
      <c r="D157" t="str">
        <f>IF(VLOOKUP(C157,'Capabilities Overview'!$A$2:$A$587,1)=C157,"","Not in IOE")</f>
        <v/>
      </c>
      <c r="E157" t="s">
        <v>1</v>
      </c>
      <c r="F157" t="s">
        <v>1</v>
      </c>
      <c r="G157" t="s">
        <v>275</v>
      </c>
      <c r="H157" t="s">
        <v>275</v>
      </c>
      <c r="I157" t="s">
        <v>1</v>
      </c>
      <c r="J157" t="s">
        <v>1</v>
      </c>
      <c r="K157" t="s">
        <v>275</v>
      </c>
      <c r="L157" t="s">
        <v>275</v>
      </c>
      <c r="M157" t="s">
        <v>275</v>
      </c>
      <c r="N157" t="s">
        <v>275</v>
      </c>
      <c r="O157" t="s">
        <v>275</v>
      </c>
      <c r="P157" t="s">
        <v>275</v>
      </c>
      <c r="Q157" t="s">
        <v>275</v>
      </c>
      <c r="R157" t="s">
        <v>275</v>
      </c>
      <c r="S157" t="s">
        <v>275</v>
      </c>
      <c r="T157" t="s">
        <v>275</v>
      </c>
      <c r="U157" t="s">
        <v>275</v>
      </c>
      <c r="V157" t="s">
        <v>275</v>
      </c>
    </row>
    <row r="158" spans="1:22">
      <c r="A158">
        <v>156</v>
      </c>
      <c r="B158" t="s">
        <v>597</v>
      </c>
      <c r="C158" t="s">
        <v>598</v>
      </c>
      <c r="D158" t="str">
        <f>IF(VLOOKUP(C158,'Capabilities Overview'!$A$2:$A$587,1)=C158,"","Not in IOE")</f>
        <v/>
      </c>
      <c r="E158" t="s">
        <v>1</v>
      </c>
      <c r="F158" t="s">
        <v>1</v>
      </c>
      <c r="G158" t="s">
        <v>275</v>
      </c>
      <c r="H158" t="s">
        <v>275</v>
      </c>
      <c r="I158" t="s">
        <v>1</v>
      </c>
      <c r="J158" t="s">
        <v>1</v>
      </c>
      <c r="K158" t="s">
        <v>275</v>
      </c>
      <c r="L158" t="s">
        <v>275</v>
      </c>
      <c r="M158" t="s">
        <v>275</v>
      </c>
      <c r="N158" t="s">
        <v>275</v>
      </c>
      <c r="O158" t="s">
        <v>275</v>
      </c>
      <c r="P158" t="s">
        <v>275</v>
      </c>
      <c r="Q158" t="s">
        <v>275</v>
      </c>
      <c r="R158" t="s">
        <v>275</v>
      </c>
      <c r="S158" t="s">
        <v>275</v>
      </c>
      <c r="T158" t="s">
        <v>275</v>
      </c>
      <c r="U158" t="s">
        <v>275</v>
      </c>
      <c r="V158" t="s">
        <v>275</v>
      </c>
    </row>
    <row r="159" spans="1:22">
      <c r="A159">
        <v>157</v>
      </c>
      <c r="B159" t="s">
        <v>601</v>
      </c>
      <c r="C159" t="s">
        <v>602</v>
      </c>
      <c r="D159" t="str">
        <f>IF(VLOOKUP(C159,'Capabilities Overview'!$A$2:$A$587,1)=C159,"","Not in IOE")</f>
        <v/>
      </c>
      <c r="E159" t="s">
        <v>1</v>
      </c>
      <c r="F159" t="s">
        <v>1</v>
      </c>
      <c r="G159" t="s">
        <v>275</v>
      </c>
      <c r="H159" t="s">
        <v>275</v>
      </c>
      <c r="I159" t="s">
        <v>1</v>
      </c>
      <c r="J159" t="s">
        <v>1</v>
      </c>
      <c r="K159" t="s">
        <v>275</v>
      </c>
      <c r="L159" t="s">
        <v>275</v>
      </c>
      <c r="M159" t="s">
        <v>275</v>
      </c>
      <c r="N159" t="s">
        <v>275</v>
      </c>
      <c r="O159" t="s">
        <v>275</v>
      </c>
      <c r="P159" t="s">
        <v>275</v>
      </c>
      <c r="Q159" t="s">
        <v>275</v>
      </c>
      <c r="R159" t="s">
        <v>275</v>
      </c>
      <c r="S159" t="s">
        <v>275</v>
      </c>
      <c r="T159" t="s">
        <v>275</v>
      </c>
      <c r="U159" t="s">
        <v>275</v>
      </c>
      <c r="V159" t="s">
        <v>275</v>
      </c>
    </row>
    <row r="160" spans="1:22">
      <c r="A160">
        <v>158</v>
      </c>
      <c r="B160" t="s">
        <v>603</v>
      </c>
      <c r="C160" t="s">
        <v>604</v>
      </c>
      <c r="D160" t="str">
        <f>IF(VLOOKUP(C160,'Capabilities Overview'!$A$2:$A$587,1)=C160,"","Not in IOE")</f>
        <v/>
      </c>
      <c r="E160" t="s">
        <v>1</v>
      </c>
      <c r="F160" t="s">
        <v>1</v>
      </c>
      <c r="G160" t="s">
        <v>275</v>
      </c>
      <c r="H160" t="s">
        <v>275</v>
      </c>
      <c r="I160" t="s">
        <v>1</v>
      </c>
      <c r="J160" t="s">
        <v>1</v>
      </c>
      <c r="K160" t="s">
        <v>275</v>
      </c>
      <c r="L160" t="s">
        <v>275</v>
      </c>
      <c r="M160" t="s">
        <v>275</v>
      </c>
      <c r="N160" t="s">
        <v>275</v>
      </c>
      <c r="O160" t="s">
        <v>275</v>
      </c>
      <c r="P160" t="s">
        <v>275</v>
      </c>
      <c r="Q160" t="s">
        <v>275</v>
      </c>
      <c r="R160" t="s">
        <v>275</v>
      </c>
      <c r="S160" t="s">
        <v>275</v>
      </c>
      <c r="T160" t="s">
        <v>275</v>
      </c>
      <c r="U160" t="s">
        <v>275</v>
      </c>
      <c r="V160" t="s">
        <v>275</v>
      </c>
    </row>
    <row r="161" spans="1:22">
      <c r="A161">
        <v>159</v>
      </c>
      <c r="B161" t="s">
        <v>1743</v>
      </c>
      <c r="C161" t="s">
        <v>1744</v>
      </c>
      <c r="D161" t="str">
        <f>IF(VLOOKUP(C161,'Capabilities Overview'!$A$2:$A$587,1)=C161,"","Not in IOE")</f>
        <v>Not in IOE</v>
      </c>
      <c r="E161" t="s">
        <v>1</v>
      </c>
      <c r="F161" t="s">
        <v>1</v>
      </c>
      <c r="G161" t="s">
        <v>275</v>
      </c>
      <c r="H161" t="s">
        <v>275</v>
      </c>
      <c r="I161" t="s">
        <v>1</v>
      </c>
      <c r="J161" t="s">
        <v>1</v>
      </c>
      <c r="K161" t="s">
        <v>275</v>
      </c>
      <c r="L161" t="s">
        <v>275</v>
      </c>
      <c r="M161" t="s">
        <v>275</v>
      </c>
      <c r="N161" t="s">
        <v>275</v>
      </c>
      <c r="O161" t="s">
        <v>275</v>
      </c>
      <c r="P161" t="s">
        <v>275</v>
      </c>
      <c r="Q161" t="s">
        <v>275</v>
      </c>
      <c r="R161" t="s">
        <v>275</v>
      </c>
      <c r="S161" t="s">
        <v>275</v>
      </c>
      <c r="T161" t="s">
        <v>275</v>
      </c>
      <c r="U161" t="s">
        <v>275</v>
      </c>
      <c r="V161" t="s">
        <v>275</v>
      </c>
    </row>
    <row r="162" spans="1:22">
      <c r="A162">
        <v>160</v>
      </c>
      <c r="B162" t="s">
        <v>597</v>
      </c>
      <c r="C162" t="s">
        <v>605</v>
      </c>
      <c r="D162" t="str">
        <f>IF(VLOOKUP(C162,'Capabilities Overview'!$A$2:$A$587,1)=C162,"","Not in IOE")</f>
        <v/>
      </c>
      <c r="E162" t="s">
        <v>1</v>
      </c>
      <c r="F162" t="s">
        <v>1</v>
      </c>
      <c r="G162" t="s">
        <v>275</v>
      </c>
      <c r="H162" t="s">
        <v>275</v>
      </c>
      <c r="I162" t="s">
        <v>1</v>
      </c>
      <c r="J162" t="s">
        <v>1</v>
      </c>
      <c r="K162" t="s">
        <v>275</v>
      </c>
      <c r="L162" t="s">
        <v>275</v>
      </c>
      <c r="M162" t="s">
        <v>275</v>
      </c>
      <c r="N162" t="s">
        <v>275</v>
      </c>
      <c r="O162" t="s">
        <v>275</v>
      </c>
      <c r="P162" t="s">
        <v>275</v>
      </c>
      <c r="Q162" t="s">
        <v>275</v>
      </c>
      <c r="R162" t="s">
        <v>275</v>
      </c>
      <c r="S162" t="s">
        <v>275</v>
      </c>
      <c r="T162" t="s">
        <v>275</v>
      </c>
      <c r="U162" t="s">
        <v>275</v>
      </c>
      <c r="V162" t="s">
        <v>275</v>
      </c>
    </row>
    <row r="163" spans="1:22">
      <c r="A163">
        <v>161</v>
      </c>
      <c r="B163" t="s">
        <v>606</v>
      </c>
      <c r="C163" t="s">
        <v>607</v>
      </c>
      <c r="D163" t="str">
        <f>IF(VLOOKUP(C163,'Capabilities Overview'!$A$2:$A$587,1)=C163,"","Not in IOE")</f>
        <v/>
      </c>
      <c r="E163" t="s">
        <v>1</v>
      </c>
      <c r="F163" t="s">
        <v>1</v>
      </c>
      <c r="G163" t="s">
        <v>275</v>
      </c>
      <c r="H163" t="s">
        <v>275</v>
      </c>
      <c r="I163" t="s">
        <v>1</v>
      </c>
      <c r="J163" t="s">
        <v>1</v>
      </c>
      <c r="K163" t="s">
        <v>275</v>
      </c>
      <c r="L163" t="s">
        <v>275</v>
      </c>
      <c r="M163" t="s">
        <v>275</v>
      </c>
      <c r="N163" t="s">
        <v>275</v>
      </c>
      <c r="O163" t="s">
        <v>275</v>
      </c>
      <c r="P163" t="s">
        <v>275</v>
      </c>
      <c r="Q163" t="s">
        <v>275</v>
      </c>
      <c r="R163" t="s">
        <v>275</v>
      </c>
      <c r="S163" t="s">
        <v>275</v>
      </c>
      <c r="T163" t="s">
        <v>275</v>
      </c>
      <c r="U163" t="s">
        <v>275</v>
      </c>
      <c r="V163" t="s">
        <v>275</v>
      </c>
    </row>
    <row r="164" spans="1:22">
      <c r="A164">
        <v>162</v>
      </c>
      <c r="B164" t="s">
        <v>610</v>
      </c>
      <c r="C164" t="s">
        <v>611</v>
      </c>
      <c r="D164" t="str">
        <f>IF(VLOOKUP(C164,'Capabilities Overview'!$A$2:$A$587,1)=C164,"","Not in IOE")</f>
        <v/>
      </c>
      <c r="E164" t="s">
        <v>1</v>
      </c>
      <c r="F164" t="s">
        <v>1</v>
      </c>
      <c r="G164" t="s">
        <v>275</v>
      </c>
      <c r="H164" t="s">
        <v>275</v>
      </c>
      <c r="I164" t="s">
        <v>1</v>
      </c>
      <c r="J164" t="s">
        <v>1</v>
      </c>
      <c r="K164" t="s">
        <v>275</v>
      </c>
      <c r="L164" t="s">
        <v>275</v>
      </c>
      <c r="M164" t="s">
        <v>275</v>
      </c>
      <c r="N164" t="s">
        <v>275</v>
      </c>
      <c r="O164" t="s">
        <v>275</v>
      </c>
      <c r="P164" t="s">
        <v>275</v>
      </c>
      <c r="Q164" t="s">
        <v>275</v>
      </c>
      <c r="R164" t="s">
        <v>275</v>
      </c>
      <c r="S164" t="s">
        <v>275</v>
      </c>
      <c r="T164" t="s">
        <v>275</v>
      </c>
      <c r="U164" t="s">
        <v>275</v>
      </c>
      <c r="V164" t="s">
        <v>275</v>
      </c>
    </row>
    <row r="165" spans="1:22">
      <c r="A165">
        <v>163</v>
      </c>
      <c r="B165" t="s">
        <v>612</v>
      </c>
      <c r="C165" t="s">
        <v>613</v>
      </c>
      <c r="D165" t="str">
        <f>IF(VLOOKUP(C165,'Capabilities Overview'!$A$2:$A$587,1)=C165,"","Not in IOE")</f>
        <v/>
      </c>
      <c r="E165" t="s">
        <v>1</v>
      </c>
      <c r="F165" t="s">
        <v>1</v>
      </c>
      <c r="G165" t="s">
        <v>275</v>
      </c>
      <c r="H165" t="s">
        <v>275</v>
      </c>
      <c r="I165" t="s">
        <v>1</v>
      </c>
      <c r="J165" t="s">
        <v>1</v>
      </c>
      <c r="K165" t="s">
        <v>275</v>
      </c>
      <c r="L165" t="s">
        <v>275</v>
      </c>
      <c r="M165" t="s">
        <v>275</v>
      </c>
      <c r="N165" t="s">
        <v>275</v>
      </c>
      <c r="O165" t="s">
        <v>275</v>
      </c>
      <c r="P165" t="s">
        <v>275</v>
      </c>
      <c r="Q165" t="s">
        <v>275</v>
      </c>
      <c r="R165" t="s">
        <v>275</v>
      </c>
      <c r="S165" t="s">
        <v>275</v>
      </c>
      <c r="T165" t="s">
        <v>275</v>
      </c>
      <c r="U165" t="s">
        <v>275</v>
      </c>
      <c r="V165" t="s">
        <v>275</v>
      </c>
    </row>
    <row r="166" spans="1:22">
      <c r="A166">
        <v>164</v>
      </c>
      <c r="B166" t="s">
        <v>616</v>
      </c>
      <c r="C166" t="s">
        <v>617</v>
      </c>
      <c r="D166" t="str">
        <f>IF(VLOOKUP(C166,'Capabilities Overview'!$A$2:$A$587,1)=C166,"","Not in IOE")</f>
        <v/>
      </c>
      <c r="E166" t="s">
        <v>1</v>
      </c>
      <c r="F166" t="s">
        <v>1</v>
      </c>
      <c r="G166" t="s">
        <v>275</v>
      </c>
      <c r="H166" t="s">
        <v>1</v>
      </c>
      <c r="I166" t="s">
        <v>1</v>
      </c>
      <c r="J166" t="s">
        <v>1</v>
      </c>
      <c r="K166" t="s">
        <v>1</v>
      </c>
      <c r="L166" t="s">
        <v>275</v>
      </c>
      <c r="M166" t="s">
        <v>275</v>
      </c>
      <c r="N166" t="s">
        <v>275</v>
      </c>
      <c r="O166" t="s">
        <v>275</v>
      </c>
      <c r="P166" t="s">
        <v>275</v>
      </c>
      <c r="Q166" t="s">
        <v>275</v>
      </c>
      <c r="R166" t="s">
        <v>275</v>
      </c>
      <c r="S166" t="s">
        <v>275</v>
      </c>
      <c r="T166" t="s">
        <v>1</v>
      </c>
      <c r="U166" t="s">
        <v>275</v>
      </c>
      <c r="V166" t="s">
        <v>275</v>
      </c>
    </row>
    <row r="167" spans="1:22">
      <c r="A167">
        <v>165</v>
      </c>
      <c r="B167" t="s">
        <v>618</v>
      </c>
      <c r="C167" t="s">
        <v>619</v>
      </c>
      <c r="D167" t="str">
        <f>IF(VLOOKUP(C167,'Capabilities Overview'!$A$2:$A$587,1)=C167,"","Not in IOE")</f>
        <v/>
      </c>
      <c r="E167" t="s">
        <v>1</v>
      </c>
      <c r="F167" t="s">
        <v>1</v>
      </c>
      <c r="G167" t="s">
        <v>275</v>
      </c>
      <c r="H167" t="s">
        <v>275</v>
      </c>
      <c r="I167" t="s">
        <v>1</v>
      </c>
      <c r="J167" t="s">
        <v>1</v>
      </c>
      <c r="K167" t="s">
        <v>275</v>
      </c>
      <c r="L167" t="s">
        <v>275</v>
      </c>
      <c r="M167" t="s">
        <v>275</v>
      </c>
      <c r="N167" t="s">
        <v>275</v>
      </c>
      <c r="O167" t="s">
        <v>275</v>
      </c>
      <c r="P167" t="s">
        <v>275</v>
      </c>
      <c r="Q167" t="s">
        <v>275</v>
      </c>
      <c r="R167" t="s">
        <v>275</v>
      </c>
      <c r="S167" t="s">
        <v>275</v>
      </c>
      <c r="T167" t="s">
        <v>275</v>
      </c>
      <c r="U167" t="s">
        <v>275</v>
      </c>
      <c r="V167" t="s">
        <v>275</v>
      </c>
    </row>
    <row r="168" spans="1:22">
      <c r="A168">
        <v>166</v>
      </c>
      <c r="B168" t="s">
        <v>620</v>
      </c>
      <c r="C168" t="s">
        <v>621</v>
      </c>
      <c r="D168" t="str">
        <f>IF(VLOOKUP(C168,'Capabilities Overview'!$A$2:$A$587,1)=C168,"","Not in IOE")</f>
        <v/>
      </c>
      <c r="E168" t="s">
        <v>1</v>
      </c>
      <c r="F168" t="s">
        <v>1</v>
      </c>
      <c r="G168" t="s">
        <v>275</v>
      </c>
      <c r="H168" t="s">
        <v>1</v>
      </c>
      <c r="I168" t="s">
        <v>1</v>
      </c>
      <c r="J168" t="s">
        <v>1</v>
      </c>
      <c r="K168" t="s">
        <v>1</v>
      </c>
      <c r="L168" t="s">
        <v>275</v>
      </c>
      <c r="M168" t="s">
        <v>275</v>
      </c>
      <c r="N168" t="s">
        <v>275</v>
      </c>
      <c r="O168" t="s">
        <v>275</v>
      </c>
      <c r="P168" t="s">
        <v>275</v>
      </c>
      <c r="Q168" t="s">
        <v>275</v>
      </c>
      <c r="R168" t="s">
        <v>275</v>
      </c>
      <c r="S168" t="s">
        <v>275</v>
      </c>
      <c r="T168" t="s">
        <v>1</v>
      </c>
      <c r="U168" t="s">
        <v>275</v>
      </c>
      <c r="V168" t="s">
        <v>275</v>
      </c>
    </row>
    <row r="169" spans="1:22">
      <c r="A169">
        <v>167</v>
      </c>
      <c r="B169" t="s">
        <v>630</v>
      </c>
      <c r="C169" t="s">
        <v>631</v>
      </c>
      <c r="D169" t="str">
        <f>IF(VLOOKUP(C169,'Capabilities Overview'!$A$2:$A$587,1)=C169,"","Not in IOE")</f>
        <v/>
      </c>
      <c r="E169" t="s">
        <v>1</v>
      </c>
      <c r="F169" t="s">
        <v>1</v>
      </c>
      <c r="G169" t="s">
        <v>275</v>
      </c>
      <c r="H169" t="s">
        <v>275</v>
      </c>
      <c r="I169" t="s">
        <v>1</v>
      </c>
      <c r="J169" t="s">
        <v>1</v>
      </c>
      <c r="K169" t="s">
        <v>275</v>
      </c>
      <c r="L169" t="s">
        <v>275</v>
      </c>
      <c r="M169" t="s">
        <v>275</v>
      </c>
      <c r="N169" t="s">
        <v>275</v>
      </c>
      <c r="O169" t="s">
        <v>275</v>
      </c>
      <c r="P169" t="s">
        <v>275</v>
      </c>
      <c r="Q169" t="s">
        <v>275</v>
      </c>
      <c r="R169" t="s">
        <v>275</v>
      </c>
      <c r="S169" t="s">
        <v>275</v>
      </c>
      <c r="T169" t="s">
        <v>275</v>
      </c>
      <c r="U169" t="s">
        <v>275</v>
      </c>
      <c r="V169" t="s">
        <v>275</v>
      </c>
    </row>
    <row r="170" spans="1:22">
      <c r="A170">
        <v>168</v>
      </c>
      <c r="B170" t="s">
        <v>632</v>
      </c>
      <c r="C170" t="s">
        <v>633</v>
      </c>
      <c r="D170" t="str">
        <f>IF(VLOOKUP(C170,'Capabilities Overview'!$A$2:$A$587,1)=C170,"","Not in IOE")</f>
        <v/>
      </c>
      <c r="E170" t="s">
        <v>1</v>
      </c>
      <c r="F170" t="s">
        <v>1</v>
      </c>
      <c r="G170" t="s">
        <v>275</v>
      </c>
      <c r="H170" t="s">
        <v>275</v>
      </c>
      <c r="I170" t="s">
        <v>1</v>
      </c>
      <c r="J170" t="s">
        <v>1</v>
      </c>
      <c r="K170" t="s">
        <v>275</v>
      </c>
      <c r="L170" t="s">
        <v>275</v>
      </c>
      <c r="M170" t="s">
        <v>275</v>
      </c>
      <c r="N170" t="s">
        <v>275</v>
      </c>
      <c r="O170" t="s">
        <v>275</v>
      </c>
      <c r="P170" t="s">
        <v>275</v>
      </c>
      <c r="Q170" t="s">
        <v>275</v>
      </c>
      <c r="R170" t="s">
        <v>275</v>
      </c>
      <c r="S170" t="s">
        <v>275</v>
      </c>
      <c r="T170" t="s">
        <v>275</v>
      </c>
      <c r="U170" t="s">
        <v>275</v>
      </c>
      <c r="V170" t="s">
        <v>275</v>
      </c>
    </row>
    <row r="171" spans="1:22">
      <c r="A171">
        <v>169</v>
      </c>
      <c r="B171" t="s">
        <v>634</v>
      </c>
      <c r="C171" t="s">
        <v>635</v>
      </c>
      <c r="D171" t="str">
        <f>IF(VLOOKUP(C171,'Capabilities Overview'!$A$2:$A$587,1)=C171,"","Not in IOE")</f>
        <v/>
      </c>
      <c r="E171" t="s">
        <v>1</v>
      </c>
      <c r="F171" t="s">
        <v>1</v>
      </c>
      <c r="G171" t="s">
        <v>275</v>
      </c>
      <c r="H171" t="s">
        <v>275</v>
      </c>
      <c r="I171" t="s">
        <v>1</v>
      </c>
      <c r="J171" t="s">
        <v>1</v>
      </c>
      <c r="K171" t="s">
        <v>275</v>
      </c>
      <c r="L171" t="s">
        <v>275</v>
      </c>
      <c r="M171" t="s">
        <v>275</v>
      </c>
      <c r="N171" t="s">
        <v>275</v>
      </c>
      <c r="O171" t="s">
        <v>275</v>
      </c>
      <c r="P171" t="s">
        <v>275</v>
      </c>
      <c r="Q171" t="s">
        <v>275</v>
      </c>
      <c r="R171" t="s">
        <v>275</v>
      </c>
      <c r="S171" t="s">
        <v>275</v>
      </c>
      <c r="T171" t="s">
        <v>275</v>
      </c>
      <c r="U171" t="s">
        <v>275</v>
      </c>
      <c r="V171" t="s">
        <v>275</v>
      </c>
    </row>
    <row r="172" spans="1:22">
      <c r="A172">
        <v>170</v>
      </c>
      <c r="B172" t="s">
        <v>636</v>
      </c>
      <c r="C172" t="s">
        <v>637</v>
      </c>
      <c r="D172" t="str">
        <f>IF(VLOOKUP(C172,'Capabilities Overview'!$A$2:$A$587,1)=C172,"","Not in IOE")</f>
        <v/>
      </c>
      <c r="E172" t="s">
        <v>1</v>
      </c>
      <c r="F172" t="s">
        <v>1</v>
      </c>
      <c r="G172" t="s">
        <v>275</v>
      </c>
      <c r="H172" t="s">
        <v>275</v>
      </c>
      <c r="I172" t="s">
        <v>1</v>
      </c>
      <c r="J172" t="s">
        <v>1</v>
      </c>
      <c r="K172" t="s">
        <v>275</v>
      </c>
      <c r="L172" t="s">
        <v>275</v>
      </c>
      <c r="M172" t="s">
        <v>275</v>
      </c>
      <c r="N172" t="s">
        <v>275</v>
      </c>
      <c r="O172" t="s">
        <v>275</v>
      </c>
      <c r="P172" t="s">
        <v>275</v>
      </c>
      <c r="Q172" t="s">
        <v>275</v>
      </c>
      <c r="R172" t="s">
        <v>275</v>
      </c>
      <c r="S172" t="s">
        <v>275</v>
      </c>
      <c r="T172" t="s">
        <v>275</v>
      </c>
      <c r="U172" t="s">
        <v>275</v>
      </c>
      <c r="V172" t="s">
        <v>275</v>
      </c>
    </row>
    <row r="173" spans="1:22">
      <c r="A173">
        <v>171</v>
      </c>
      <c r="B173" t="s">
        <v>640</v>
      </c>
      <c r="C173" t="s">
        <v>641</v>
      </c>
      <c r="D173" t="str">
        <f>IF(VLOOKUP(C173,'Capabilities Overview'!$A$2:$A$587,1)=C173,"","Not in IOE")</f>
        <v/>
      </c>
      <c r="E173" t="s">
        <v>1</v>
      </c>
      <c r="F173" t="s">
        <v>1</v>
      </c>
      <c r="G173" t="s">
        <v>275</v>
      </c>
      <c r="H173" t="s">
        <v>275</v>
      </c>
      <c r="I173" t="s">
        <v>1</v>
      </c>
      <c r="J173" t="s">
        <v>1</v>
      </c>
      <c r="K173" t="s">
        <v>275</v>
      </c>
      <c r="L173" t="s">
        <v>275</v>
      </c>
      <c r="M173" t="s">
        <v>275</v>
      </c>
      <c r="N173" t="s">
        <v>275</v>
      </c>
      <c r="O173" t="s">
        <v>275</v>
      </c>
      <c r="P173" t="s">
        <v>275</v>
      </c>
      <c r="Q173" t="s">
        <v>275</v>
      </c>
      <c r="R173" t="s">
        <v>275</v>
      </c>
      <c r="S173" t="s">
        <v>275</v>
      </c>
      <c r="T173" t="s">
        <v>275</v>
      </c>
      <c r="U173" t="s">
        <v>275</v>
      </c>
      <c r="V173" t="s">
        <v>275</v>
      </c>
    </row>
    <row r="174" spans="1:22">
      <c r="A174">
        <v>172</v>
      </c>
      <c r="B174" t="s">
        <v>642</v>
      </c>
      <c r="C174" t="s">
        <v>643</v>
      </c>
      <c r="D174" t="str">
        <f>IF(VLOOKUP(C174,'Capabilities Overview'!$A$2:$A$587,1)=C174,"","Not in IOE")</f>
        <v/>
      </c>
      <c r="E174" t="s">
        <v>1</v>
      </c>
      <c r="F174" t="s">
        <v>1</v>
      </c>
      <c r="G174" t="s">
        <v>275</v>
      </c>
      <c r="H174" t="s">
        <v>275</v>
      </c>
      <c r="I174" t="s">
        <v>1</v>
      </c>
      <c r="J174" t="s">
        <v>1</v>
      </c>
      <c r="K174" t="s">
        <v>275</v>
      </c>
      <c r="L174" t="s">
        <v>275</v>
      </c>
      <c r="M174" t="s">
        <v>275</v>
      </c>
      <c r="N174" t="s">
        <v>275</v>
      </c>
      <c r="O174" t="s">
        <v>275</v>
      </c>
      <c r="P174" t="s">
        <v>275</v>
      </c>
      <c r="Q174" t="s">
        <v>275</v>
      </c>
      <c r="R174" t="s">
        <v>275</v>
      </c>
      <c r="S174" t="s">
        <v>275</v>
      </c>
      <c r="T174" t="s">
        <v>275</v>
      </c>
      <c r="U174" t="s">
        <v>275</v>
      </c>
      <c r="V174" t="s">
        <v>275</v>
      </c>
    </row>
    <row r="175" spans="1:22">
      <c r="A175">
        <v>173</v>
      </c>
      <c r="B175" t="s">
        <v>1745</v>
      </c>
      <c r="C175" t="s">
        <v>1746</v>
      </c>
      <c r="D175" t="str">
        <f>IF(VLOOKUP(C175,'Capabilities Overview'!$A$2:$A$587,1)=C175,"","Not in IOE")</f>
        <v>Not in IOE</v>
      </c>
      <c r="E175" t="s">
        <v>1</v>
      </c>
      <c r="F175" t="s">
        <v>1</v>
      </c>
      <c r="G175" t="s">
        <v>275</v>
      </c>
      <c r="H175" t="s">
        <v>275</v>
      </c>
      <c r="I175" t="s">
        <v>1</v>
      </c>
      <c r="J175" t="s">
        <v>1</v>
      </c>
      <c r="K175" t="s">
        <v>275</v>
      </c>
      <c r="L175" t="s">
        <v>275</v>
      </c>
      <c r="M175" t="s">
        <v>275</v>
      </c>
      <c r="N175" t="s">
        <v>275</v>
      </c>
      <c r="O175" t="s">
        <v>275</v>
      </c>
      <c r="P175" t="s">
        <v>275</v>
      </c>
      <c r="Q175" t="s">
        <v>275</v>
      </c>
      <c r="R175" t="s">
        <v>275</v>
      </c>
      <c r="S175" t="s">
        <v>275</v>
      </c>
      <c r="T175" t="s">
        <v>275</v>
      </c>
      <c r="U175" t="s">
        <v>275</v>
      </c>
      <c r="V175" t="s">
        <v>275</v>
      </c>
    </row>
    <row r="176" spans="1:22">
      <c r="A176">
        <v>174</v>
      </c>
      <c r="B176" t="s">
        <v>648</v>
      </c>
      <c r="C176" t="s">
        <v>649</v>
      </c>
      <c r="D176" t="str">
        <f>IF(VLOOKUP(C176,'Capabilities Overview'!$A$2:$A$587,1)=C176,"","Not in IOE")</f>
        <v/>
      </c>
      <c r="E176" t="s">
        <v>1</v>
      </c>
      <c r="F176" t="s">
        <v>1</v>
      </c>
      <c r="G176" t="s">
        <v>275</v>
      </c>
      <c r="H176" t="s">
        <v>275</v>
      </c>
      <c r="I176" t="s">
        <v>1</v>
      </c>
      <c r="J176" t="s">
        <v>1</v>
      </c>
      <c r="K176" t="s">
        <v>275</v>
      </c>
      <c r="L176" t="s">
        <v>275</v>
      </c>
      <c r="M176" t="s">
        <v>275</v>
      </c>
      <c r="N176" t="s">
        <v>275</v>
      </c>
      <c r="O176" t="s">
        <v>275</v>
      </c>
      <c r="P176" t="s">
        <v>275</v>
      </c>
      <c r="Q176" t="s">
        <v>275</v>
      </c>
      <c r="R176" t="s">
        <v>275</v>
      </c>
      <c r="S176" t="s">
        <v>275</v>
      </c>
      <c r="T176" t="s">
        <v>275</v>
      </c>
      <c r="U176" t="s">
        <v>275</v>
      </c>
      <c r="V176" t="s">
        <v>275</v>
      </c>
    </row>
    <row r="177" spans="1:22">
      <c r="A177">
        <v>175</v>
      </c>
      <c r="B177" t="s">
        <v>650</v>
      </c>
      <c r="C177" t="s">
        <v>651</v>
      </c>
      <c r="D177" t="str">
        <f>IF(VLOOKUP(C177,'Capabilities Overview'!$A$2:$A$587,1)=C177,"","Not in IOE")</f>
        <v/>
      </c>
      <c r="E177" t="s">
        <v>1</v>
      </c>
      <c r="F177" t="s">
        <v>1</v>
      </c>
      <c r="G177" t="s">
        <v>275</v>
      </c>
      <c r="H177" t="s">
        <v>275</v>
      </c>
      <c r="I177" t="s">
        <v>1</v>
      </c>
      <c r="J177" t="s">
        <v>1</v>
      </c>
      <c r="K177" t="s">
        <v>275</v>
      </c>
      <c r="L177" t="s">
        <v>275</v>
      </c>
      <c r="M177" t="s">
        <v>275</v>
      </c>
      <c r="N177" t="s">
        <v>275</v>
      </c>
      <c r="O177" t="s">
        <v>275</v>
      </c>
      <c r="P177" t="s">
        <v>275</v>
      </c>
      <c r="Q177" t="s">
        <v>275</v>
      </c>
      <c r="R177" t="s">
        <v>275</v>
      </c>
      <c r="S177" t="s">
        <v>275</v>
      </c>
      <c r="T177" t="s">
        <v>275</v>
      </c>
      <c r="U177" t="s">
        <v>275</v>
      </c>
      <c r="V177" t="s">
        <v>275</v>
      </c>
    </row>
    <row r="178" spans="1:22">
      <c r="A178">
        <v>176</v>
      </c>
      <c r="B178" t="s">
        <v>652</v>
      </c>
      <c r="C178" t="s">
        <v>653</v>
      </c>
      <c r="D178" t="str">
        <f>IF(VLOOKUP(C178,'Capabilities Overview'!$A$2:$A$587,1)=C178,"","Not in IOE")</f>
        <v/>
      </c>
      <c r="E178" t="s">
        <v>1</v>
      </c>
      <c r="F178" t="s">
        <v>1</v>
      </c>
      <c r="G178" t="s">
        <v>275</v>
      </c>
      <c r="H178" t="s">
        <v>275</v>
      </c>
      <c r="I178" t="s">
        <v>1</v>
      </c>
      <c r="J178" t="s">
        <v>1</v>
      </c>
      <c r="K178" t="s">
        <v>275</v>
      </c>
      <c r="L178" t="s">
        <v>275</v>
      </c>
      <c r="M178" t="s">
        <v>275</v>
      </c>
      <c r="N178" t="s">
        <v>275</v>
      </c>
      <c r="O178" t="s">
        <v>275</v>
      </c>
      <c r="P178" t="s">
        <v>275</v>
      </c>
      <c r="Q178" t="s">
        <v>275</v>
      </c>
      <c r="R178" t="s">
        <v>275</v>
      </c>
      <c r="S178" t="s">
        <v>275</v>
      </c>
      <c r="T178" t="s">
        <v>275</v>
      </c>
      <c r="U178" t="s">
        <v>275</v>
      </c>
      <c r="V178" t="s">
        <v>275</v>
      </c>
    </row>
    <row r="179" spans="1:22">
      <c r="A179">
        <v>177</v>
      </c>
      <c r="B179" t="s">
        <v>654</v>
      </c>
      <c r="C179" t="s">
        <v>655</v>
      </c>
      <c r="D179" t="str">
        <f>IF(VLOOKUP(C179,'Capabilities Overview'!$A$2:$A$587,1)=C179,"","Not in IOE")</f>
        <v/>
      </c>
      <c r="E179" t="s">
        <v>1</v>
      </c>
      <c r="F179" t="s">
        <v>1</v>
      </c>
      <c r="G179" t="s">
        <v>275</v>
      </c>
      <c r="H179" t="s">
        <v>275</v>
      </c>
      <c r="I179" t="s">
        <v>1</v>
      </c>
      <c r="J179" t="s">
        <v>1</v>
      </c>
      <c r="K179" t="s">
        <v>275</v>
      </c>
      <c r="L179" t="s">
        <v>275</v>
      </c>
      <c r="M179" t="s">
        <v>275</v>
      </c>
      <c r="N179" t="s">
        <v>275</v>
      </c>
      <c r="O179" t="s">
        <v>275</v>
      </c>
      <c r="P179" t="s">
        <v>275</v>
      </c>
      <c r="Q179" t="s">
        <v>275</v>
      </c>
      <c r="R179" t="s">
        <v>275</v>
      </c>
      <c r="S179" t="s">
        <v>275</v>
      </c>
      <c r="T179" t="s">
        <v>275</v>
      </c>
      <c r="U179" t="s">
        <v>275</v>
      </c>
      <c r="V179" t="s">
        <v>275</v>
      </c>
    </row>
    <row r="180" spans="1:22">
      <c r="A180">
        <v>178</v>
      </c>
      <c r="B180" t="s">
        <v>656</v>
      </c>
      <c r="C180" t="s">
        <v>657</v>
      </c>
      <c r="D180" t="str">
        <f>IF(VLOOKUP(C180,'Capabilities Overview'!$A$2:$A$587,1)=C180,"","Not in IOE")</f>
        <v/>
      </c>
      <c r="E180" t="s">
        <v>1</v>
      </c>
      <c r="F180" t="s">
        <v>1</v>
      </c>
      <c r="G180" t="s">
        <v>275</v>
      </c>
      <c r="H180" t="s">
        <v>275</v>
      </c>
      <c r="I180" t="s">
        <v>275</v>
      </c>
      <c r="J180" t="s">
        <v>275</v>
      </c>
      <c r="K180" t="s">
        <v>275</v>
      </c>
      <c r="L180" t="s">
        <v>275</v>
      </c>
      <c r="M180" t="s">
        <v>275</v>
      </c>
      <c r="N180" t="s">
        <v>275</v>
      </c>
      <c r="O180" t="s">
        <v>275</v>
      </c>
      <c r="P180" t="s">
        <v>275</v>
      </c>
      <c r="Q180" t="s">
        <v>275</v>
      </c>
      <c r="R180" t="s">
        <v>275</v>
      </c>
      <c r="S180" t="s">
        <v>275</v>
      </c>
      <c r="T180" t="s">
        <v>275</v>
      </c>
      <c r="U180" t="s">
        <v>275</v>
      </c>
      <c r="V180" t="s">
        <v>275</v>
      </c>
    </row>
    <row r="181" spans="1:22">
      <c r="A181">
        <v>179</v>
      </c>
      <c r="B181" t="s">
        <v>658</v>
      </c>
      <c r="C181" t="s">
        <v>659</v>
      </c>
      <c r="D181" t="str">
        <f>IF(VLOOKUP(C181,'Capabilities Overview'!$A$2:$A$587,1)=C181,"","Not in IOE")</f>
        <v/>
      </c>
      <c r="E181" t="s">
        <v>1</v>
      </c>
      <c r="F181" t="s">
        <v>1</v>
      </c>
      <c r="G181" t="s">
        <v>1</v>
      </c>
      <c r="H181" t="s">
        <v>275</v>
      </c>
      <c r="I181" t="s">
        <v>1</v>
      </c>
      <c r="J181" t="s">
        <v>1</v>
      </c>
      <c r="K181" t="s">
        <v>275</v>
      </c>
      <c r="L181" t="s">
        <v>275</v>
      </c>
      <c r="M181" t="s">
        <v>275</v>
      </c>
      <c r="N181" t="s">
        <v>275</v>
      </c>
      <c r="O181" t="s">
        <v>275</v>
      </c>
      <c r="P181" t="s">
        <v>275</v>
      </c>
      <c r="Q181" t="s">
        <v>275</v>
      </c>
      <c r="R181" t="s">
        <v>275</v>
      </c>
      <c r="S181" t="s">
        <v>275</v>
      </c>
      <c r="T181" t="s">
        <v>275</v>
      </c>
      <c r="U181" t="s">
        <v>275</v>
      </c>
      <c r="V181" t="s">
        <v>275</v>
      </c>
    </row>
    <row r="182" spans="1:22">
      <c r="A182">
        <v>180</v>
      </c>
      <c r="B182" t="s">
        <v>660</v>
      </c>
      <c r="C182" t="s">
        <v>661</v>
      </c>
      <c r="D182" t="str">
        <f>IF(VLOOKUP(C182,'Capabilities Overview'!$A$2:$A$587,1)=C182,"","Not in IOE")</f>
        <v/>
      </c>
      <c r="E182" t="s">
        <v>1</v>
      </c>
      <c r="F182" t="s">
        <v>1</v>
      </c>
      <c r="G182" t="s">
        <v>275</v>
      </c>
      <c r="H182" t="s">
        <v>275</v>
      </c>
      <c r="I182" t="s">
        <v>1</v>
      </c>
      <c r="J182" t="s">
        <v>1</v>
      </c>
      <c r="K182" t="s">
        <v>275</v>
      </c>
      <c r="L182" t="s">
        <v>275</v>
      </c>
      <c r="M182" t="s">
        <v>275</v>
      </c>
      <c r="N182" t="s">
        <v>275</v>
      </c>
      <c r="O182" t="s">
        <v>275</v>
      </c>
      <c r="P182" t="s">
        <v>275</v>
      </c>
      <c r="Q182" t="s">
        <v>275</v>
      </c>
      <c r="R182" t="s">
        <v>275</v>
      </c>
      <c r="S182" t="s">
        <v>275</v>
      </c>
      <c r="T182" t="s">
        <v>275</v>
      </c>
      <c r="U182" t="s">
        <v>275</v>
      </c>
      <c r="V182" t="s">
        <v>275</v>
      </c>
    </row>
    <row r="183" spans="1:22">
      <c r="A183">
        <v>181</v>
      </c>
      <c r="B183" t="s">
        <v>662</v>
      </c>
      <c r="C183" t="s">
        <v>663</v>
      </c>
      <c r="D183" t="str">
        <f>IF(VLOOKUP(C183,'Capabilities Overview'!$A$2:$A$587,1)=C183,"","Not in IOE")</f>
        <v/>
      </c>
      <c r="E183" t="s">
        <v>1</v>
      </c>
      <c r="F183" t="s">
        <v>1</v>
      </c>
      <c r="G183" t="s">
        <v>275</v>
      </c>
      <c r="H183" t="s">
        <v>275</v>
      </c>
      <c r="I183" t="s">
        <v>1</v>
      </c>
      <c r="J183" t="s">
        <v>1</v>
      </c>
      <c r="K183" t="s">
        <v>275</v>
      </c>
      <c r="L183" t="s">
        <v>275</v>
      </c>
      <c r="M183" t="s">
        <v>275</v>
      </c>
      <c r="N183" t="s">
        <v>275</v>
      </c>
      <c r="O183" t="s">
        <v>275</v>
      </c>
      <c r="P183" t="s">
        <v>275</v>
      </c>
      <c r="Q183" t="s">
        <v>275</v>
      </c>
      <c r="R183" t="s">
        <v>275</v>
      </c>
      <c r="S183" t="s">
        <v>275</v>
      </c>
      <c r="T183" t="s">
        <v>275</v>
      </c>
      <c r="U183" t="s">
        <v>275</v>
      </c>
      <c r="V183" t="s">
        <v>275</v>
      </c>
    </row>
    <row r="184" spans="1:22">
      <c r="A184">
        <v>182</v>
      </c>
      <c r="B184" t="s">
        <v>664</v>
      </c>
      <c r="C184" t="s">
        <v>665</v>
      </c>
      <c r="D184" t="str">
        <f>IF(VLOOKUP(C184,'Capabilities Overview'!$A$2:$A$587,1)=C184,"","Not in IOE")</f>
        <v/>
      </c>
      <c r="E184" t="s">
        <v>1</v>
      </c>
      <c r="F184" t="s">
        <v>1</v>
      </c>
      <c r="G184" t="s">
        <v>275</v>
      </c>
      <c r="H184" t="s">
        <v>275</v>
      </c>
      <c r="I184" t="s">
        <v>1</v>
      </c>
      <c r="J184" t="s">
        <v>1</v>
      </c>
      <c r="K184" t="s">
        <v>275</v>
      </c>
      <c r="L184" t="s">
        <v>275</v>
      </c>
      <c r="M184" t="s">
        <v>275</v>
      </c>
      <c r="N184" t="s">
        <v>275</v>
      </c>
      <c r="O184" t="s">
        <v>275</v>
      </c>
      <c r="P184" t="s">
        <v>275</v>
      </c>
      <c r="Q184" t="s">
        <v>275</v>
      </c>
      <c r="R184" t="s">
        <v>275</v>
      </c>
      <c r="S184" t="s">
        <v>275</v>
      </c>
      <c r="T184" t="s">
        <v>275</v>
      </c>
      <c r="U184" t="s">
        <v>275</v>
      </c>
      <c r="V184" t="s">
        <v>275</v>
      </c>
    </row>
    <row r="185" spans="1:22">
      <c r="A185">
        <v>183</v>
      </c>
      <c r="B185" t="s">
        <v>666</v>
      </c>
      <c r="C185" t="s">
        <v>667</v>
      </c>
      <c r="D185" t="str">
        <f>IF(VLOOKUP(C185,'Capabilities Overview'!$A$2:$A$587,1)=C185,"","Not in IOE")</f>
        <v/>
      </c>
      <c r="E185" t="s">
        <v>1</v>
      </c>
      <c r="F185" t="s">
        <v>1</v>
      </c>
      <c r="G185" t="s">
        <v>275</v>
      </c>
      <c r="H185" t="s">
        <v>275</v>
      </c>
      <c r="I185" t="s">
        <v>1</v>
      </c>
      <c r="J185" t="s">
        <v>1</v>
      </c>
      <c r="K185" t="s">
        <v>275</v>
      </c>
      <c r="L185" t="s">
        <v>275</v>
      </c>
      <c r="M185" t="s">
        <v>275</v>
      </c>
      <c r="N185" t="s">
        <v>275</v>
      </c>
      <c r="O185" t="s">
        <v>275</v>
      </c>
      <c r="P185" t="s">
        <v>275</v>
      </c>
      <c r="Q185" t="s">
        <v>275</v>
      </c>
      <c r="R185" t="s">
        <v>275</v>
      </c>
      <c r="S185" t="s">
        <v>275</v>
      </c>
      <c r="T185" t="s">
        <v>275</v>
      </c>
      <c r="U185" t="s">
        <v>275</v>
      </c>
      <c r="V185" t="s">
        <v>275</v>
      </c>
    </row>
    <row r="186" spans="1:22">
      <c r="A186">
        <v>184</v>
      </c>
      <c r="B186" t="s">
        <v>668</v>
      </c>
      <c r="C186" t="s">
        <v>669</v>
      </c>
      <c r="D186" t="str">
        <f>IF(VLOOKUP(C186,'Capabilities Overview'!$A$2:$A$587,1)=C186,"","Not in IOE")</f>
        <v/>
      </c>
      <c r="E186" t="s">
        <v>1</v>
      </c>
      <c r="F186" t="s">
        <v>1</v>
      </c>
      <c r="G186" t="s">
        <v>275</v>
      </c>
      <c r="H186" t="s">
        <v>275</v>
      </c>
      <c r="I186" t="s">
        <v>1</v>
      </c>
      <c r="J186" t="s">
        <v>1</v>
      </c>
      <c r="K186" t="s">
        <v>275</v>
      </c>
      <c r="L186" t="s">
        <v>275</v>
      </c>
      <c r="M186" t="s">
        <v>275</v>
      </c>
      <c r="N186" t="s">
        <v>275</v>
      </c>
      <c r="O186" t="s">
        <v>275</v>
      </c>
      <c r="P186" t="s">
        <v>275</v>
      </c>
      <c r="Q186" t="s">
        <v>275</v>
      </c>
      <c r="R186" t="s">
        <v>275</v>
      </c>
      <c r="S186" t="s">
        <v>275</v>
      </c>
      <c r="T186" t="s">
        <v>275</v>
      </c>
      <c r="U186" t="s">
        <v>275</v>
      </c>
      <c r="V186" t="s">
        <v>275</v>
      </c>
    </row>
    <row r="187" spans="1:22">
      <c r="A187">
        <v>185</v>
      </c>
      <c r="B187" t="s">
        <v>670</v>
      </c>
      <c r="C187" t="s">
        <v>671</v>
      </c>
      <c r="D187" t="str">
        <f>IF(VLOOKUP(C187,'Capabilities Overview'!$A$2:$A$587,1)=C187,"","Not in IOE")</f>
        <v/>
      </c>
      <c r="E187" t="s">
        <v>1</v>
      </c>
      <c r="F187" t="s">
        <v>1</v>
      </c>
      <c r="G187" t="s">
        <v>275</v>
      </c>
      <c r="H187" t="s">
        <v>275</v>
      </c>
      <c r="I187" t="s">
        <v>275</v>
      </c>
      <c r="J187" t="s">
        <v>275</v>
      </c>
      <c r="K187" t="s">
        <v>275</v>
      </c>
      <c r="L187" t="s">
        <v>275</v>
      </c>
      <c r="M187" t="s">
        <v>275</v>
      </c>
      <c r="N187" t="s">
        <v>275</v>
      </c>
      <c r="O187" t="s">
        <v>275</v>
      </c>
      <c r="P187" t="s">
        <v>275</v>
      </c>
      <c r="Q187" t="s">
        <v>275</v>
      </c>
      <c r="R187" t="s">
        <v>275</v>
      </c>
      <c r="S187" t="s">
        <v>275</v>
      </c>
      <c r="T187" t="s">
        <v>275</v>
      </c>
      <c r="U187" t="s">
        <v>275</v>
      </c>
      <c r="V187" t="s">
        <v>275</v>
      </c>
    </row>
    <row r="188" spans="1:22">
      <c r="A188">
        <v>186</v>
      </c>
      <c r="B188" t="s">
        <v>672</v>
      </c>
      <c r="C188" t="s">
        <v>673</v>
      </c>
      <c r="D188" t="str">
        <f>IF(VLOOKUP(C188,'Capabilities Overview'!$A$2:$A$587,1)=C188,"","Not in IOE")</f>
        <v/>
      </c>
      <c r="E188" t="s">
        <v>275</v>
      </c>
      <c r="F188" t="s">
        <v>1</v>
      </c>
      <c r="G188" t="s">
        <v>275</v>
      </c>
      <c r="H188" t="s">
        <v>1</v>
      </c>
      <c r="I188" t="s">
        <v>1</v>
      </c>
      <c r="J188" t="s">
        <v>1</v>
      </c>
      <c r="K188" t="s">
        <v>1</v>
      </c>
      <c r="L188" t="s">
        <v>275</v>
      </c>
      <c r="M188" t="s">
        <v>275</v>
      </c>
      <c r="N188" t="s">
        <v>275</v>
      </c>
      <c r="O188" t="s">
        <v>275</v>
      </c>
      <c r="P188" t="s">
        <v>275</v>
      </c>
      <c r="Q188" t="s">
        <v>275</v>
      </c>
      <c r="R188" t="s">
        <v>275</v>
      </c>
      <c r="S188" t="s">
        <v>275</v>
      </c>
      <c r="T188" t="s">
        <v>1</v>
      </c>
      <c r="U188" t="s">
        <v>275</v>
      </c>
      <c r="V188" t="s">
        <v>275</v>
      </c>
    </row>
    <row r="189" spans="1:22">
      <c r="A189">
        <v>187</v>
      </c>
      <c r="B189" t="s">
        <v>674</v>
      </c>
      <c r="C189" t="s">
        <v>675</v>
      </c>
      <c r="D189" t="str">
        <f>IF(VLOOKUP(C189,'Capabilities Overview'!$A$2:$A$587,1)=C189,"","Not in IOE")</f>
        <v/>
      </c>
      <c r="E189" t="s">
        <v>275</v>
      </c>
      <c r="F189" t="s">
        <v>1</v>
      </c>
      <c r="G189" t="s">
        <v>275</v>
      </c>
      <c r="H189" t="s">
        <v>275</v>
      </c>
      <c r="I189" t="s">
        <v>1</v>
      </c>
      <c r="J189" t="s">
        <v>1</v>
      </c>
      <c r="K189" t="s">
        <v>275</v>
      </c>
      <c r="L189" t="s">
        <v>275</v>
      </c>
      <c r="M189" t="s">
        <v>275</v>
      </c>
      <c r="N189" t="s">
        <v>275</v>
      </c>
      <c r="O189" t="s">
        <v>275</v>
      </c>
      <c r="P189" t="s">
        <v>275</v>
      </c>
      <c r="Q189" t="s">
        <v>275</v>
      </c>
      <c r="R189" t="s">
        <v>275</v>
      </c>
      <c r="S189" t="s">
        <v>275</v>
      </c>
      <c r="T189" t="s">
        <v>275</v>
      </c>
      <c r="U189" t="s">
        <v>275</v>
      </c>
      <c r="V189" t="s">
        <v>275</v>
      </c>
    </row>
    <row r="190" spans="1:22">
      <c r="A190">
        <v>188</v>
      </c>
      <c r="B190" t="s">
        <v>676</v>
      </c>
      <c r="C190" t="s">
        <v>677</v>
      </c>
      <c r="D190" t="str">
        <f>IF(VLOOKUP(C190,'Capabilities Overview'!$A$2:$A$587,1)=C190,"","Not in IOE")</f>
        <v/>
      </c>
      <c r="E190" t="s">
        <v>275</v>
      </c>
      <c r="F190" t="s">
        <v>1</v>
      </c>
      <c r="G190" t="s">
        <v>275</v>
      </c>
      <c r="H190" t="s">
        <v>275</v>
      </c>
      <c r="I190" t="s">
        <v>1</v>
      </c>
      <c r="J190" t="s">
        <v>1</v>
      </c>
      <c r="K190" t="s">
        <v>275</v>
      </c>
      <c r="L190" t="s">
        <v>275</v>
      </c>
      <c r="M190" t="s">
        <v>275</v>
      </c>
      <c r="N190" t="s">
        <v>275</v>
      </c>
      <c r="O190" t="s">
        <v>275</v>
      </c>
      <c r="P190" t="s">
        <v>275</v>
      </c>
      <c r="Q190" t="s">
        <v>275</v>
      </c>
      <c r="R190" t="s">
        <v>275</v>
      </c>
      <c r="S190" t="s">
        <v>275</v>
      </c>
      <c r="T190" t="s">
        <v>275</v>
      </c>
      <c r="U190" t="s">
        <v>275</v>
      </c>
      <c r="V190" t="s">
        <v>275</v>
      </c>
    </row>
    <row r="191" spans="1:22">
      <c r="A191">
        <v>189</v>
      </c>
      <c r="B191" t="s">
        <v>678</v>
      </c>
      <c r="C191" t="s">
        <v>679</v>
      </c>
      <c r="D191" t="str">
        <f>IF(VLOOKUP(C191,'Capabilities Overview'!$A$2:$A$587,1)=C191,"","Not in IOE")</f>
        <v/>
      </c>
      <c r="E191" t="s">
        <v>275</v>
      </c>
      <c r="F191" t="s">
        <v>1</v>
      </c>
      <c r="G191" t="s">
        <v>275</v>
      </c>
      <c r="H191" t="s">
        <v>275</v>
      </c>
      <c r="I191" t="s">
        <v>1</v>
      </c>
      <c r="J191" t="s">
        <v>1</v>
      </c>
      <c r="K191" t="s">
        <v>275</v>
      </c>
      <c r="L191" t="s">
        <v>275</v>
      </c>
      <c r="M191" t="s">
        <v>275</v>
      </c>
      <c r="N191" t="s">
        <v>275</v>
      </c>
      <c r="O191" t="s">
        <v>275</v>
      </c>
      <c r="P191" t="s">
        <v>275</v>
      </c>
      <c r="Q191" t="s">
        <v>275</v>
      </c>
      <c r="R191" t="s">
        <v>275</v>
      </c>
      <c r="S191" t="s">
        <v>275</v>
      </c>
      <c r="T191" t="s">
        <v>275</v>
      </c>
      <c r="U191" t="s">
        <v>275</v>
      </c>
      <c r="V191" t="s">
        <v>275</v>
      </c>
    </row>
    <row r="192" spans="1:22">
      <c r="A192">
        <v>190</v>
      </c>
      <c r="B192" t="s">
        <v>680</v>
      </c>
      <c r="C192" t="s">
        <v>681</v>
      </c>
      <c r="D192" t="str">
        <f>IF(VLOOKUP(C192,'Capabilities Overview'!$A$2:$A$587,1)=C192,"","Not in IOE")</f>
        <v/>
      </c>
      <c r="E192" t="s">
        <v>275</v>
      </c>
      <c r="F192" t="s">
        <v>1</v>
      </c>
      <c r="G192" t="s">
        <v>275</v>
      </c>
      <c r="H192" t="s">
        <v>275</v>
      </c>
      <c r="I192" t="s">
        <v>1</v>
      </c>
      <c r="J192" t="s">
        <v>1</v>
      </c>
      <c r="K192" t="s">
        <v>275</v>
      </c>
      <c r="L192" t="s">
        <v>275</v>
      </c>
      <c r="M192" t="s">
        <v>275</v>
      </c>
      <c r="N192" t="s">
        <v>275</v>
      </c>
      <c r="O192" t="s">
        <v>275</v>
      </c>
      <c r="P192" t="s">
        <v>275</v>
      </c>
      <c r="Q192" t="s">
        <v>275</v>
      </c>
      <c r="R192" t="s">
        <v>275</v>
      </c>
      <c r="S192" t="s">
        <v>275</v>
      </c>
      <c r="T192" t="s">
        <v>275</v>
      </c>
      <c r="U192" t="s">
        <v>275</v>
      </c>
      <c r="V192" t="s">
        <v>275</v>
      </c>
    </row>
    <row r="193" spans="1:22">
      <c r="A193">
        <v>191</v>
      </c>
      <c r="B193" t="s">
        <v>682</v>
      </c>
      <c r="C193" t="s">
        <v>683</v>
      </c>
      <c r="D193" t="str">
        <f>IF(VLOOKUP(C193,'Capabilities Overview'!$A$2:$A$587,1)=C193,"","Not in IOE")</f>
        <v/>
      </c>
      <c r="E193" t="s">
        <v>275</v>
      </c>
      <c r="F193" t="s">
        <v>1</v>
      </c>
      <c r="G193" t="s">
        <v>275</v>
      </c>
      <c r="H193" t="s">
        <v>275</v>
      </c>
      <c r="I193" t="s">
        <v>1</v>
      </c>
      <c r="J193" t="s">
        <v>1</v>
      </c>
      <c r="K193" t="s">
        <v>275</v>
      </c>
      <c r="L193" t="s">
        <v>275</v>
      </c>
      <c r="M193" t="s">
        <v>275</v>
      </c>
      <c r="N193" t="s">
        <v>275</v>
      </c>
      <c r="O193" t="s">
        <v>275</v>
      </c>
      <c r="P193" t="s">
        <v>275</v>
      </c>
      <c r="Q193" t="s">
        <v>275</v>
      </c>
      <c r="R193" t="s">
        <v>275</v>
      </c>
      <c r="S193" t="s">
        <v>275</v>
      </c>
      <c r="T193" t="s">
        <v>275</v>
      </c>
      <c r="U193" t="s">
        <v>275</v>
      </c>
      <c r="V193" t="s">
        <v>275</v>
      </c>
    </row>
    <row r="194" spans="1:22">
      <c r="A194">
        <v>192</v>
      </c>
      <c r="B194" t="s">
        <v>128</v>
      </c>
      <c r="C194" t="s">
        <v>129</v>
      </c>
      <c r="D194" t="str">
        <f>IF(VLOOKUP(C194,'Capabilities Overview'!$A$2:$A$587,1)=C194,"","Not in IOE")</f>
        <v/>
      </c>
      <c r="E194" t="s">
        <v>275</v>
      </c>
      <c r="F194" t="s">
        <v>275</v>
      </c>
      <c r="G194" t="s">
        <v>275</v>
      </c>
      <c r="H194" t="s">
        <v>275</v>
      </c>
      <c r="I194" t="s">
        <v>275</v>
      </c>
      <c r="J194" t="s">
        <v>275</v>
      </c>
      <c r="K194" t="s">
        <v>275</v>
      </c>
      <c r="L194" t="s">
        <v>275</v>
      </c>
      <c r="M194" t="s">
        <v>275</v>
      </c>
      <c r="N194" t="s">
        <v>275</v>
      </c>
      <c r="O194" t="s">
        <v>275</v>
      </c>
      <c r="P194" t="s">
        <v>1</v>
      </c>
      <c r="Q194" t="s">
        <v>275</v>
      </c>
      <c r="R194" t="s">
        <v>275</v>
      </c>
      <c r="S194" t="s">
        <v>275</v>
      </c>
      <c r="T194" t="s">
        <v>275</v>
      </c>
      <c r="U194" t="s">
        <v>275</v>
      </c>
      <c r="V194" t="s">
        <v>275</v>
      </c>
    </row>
    <row r="195" spans="1:22">
      <c r="A195">
        <v>193</v>
      </c>
      <c r="B195" t="s">
        <v>684</v>
      </c>
      <c r="C195" t="s">
        <v>685</v>
      </c>
      <c r="D195" t="str">
        <f>IF(VLOOKUP(C195,'Capabilities Overview'!$A$2:$A$587,1)=C195,"","Not in IOE")</f>
        <v/>
      </c>
      <c r="E195" t="s">
        <v>275</v>
      </c>
      <c r="F195" t="s">
        <v>1</v>
      </c>
      <c r="G195" t="s">
        <v>275</v>
      </c>
      <c r="H195" t="s">
        <v>1</v>
      </c>
      <c r="I195" t="s">
        <v>1</v>
      </c>
      <c r="J195" t="s">
        <v>1</v>
      </c>
      <c r="K195" t="s">
        <v>1</v>
      </c>
      <c r="L195" t="s">
        <v>275</v>
      </c>
      <c r="M195" t="s">
        <v>275</v>
      </c>
      <c r="N195" t="s">
        <v>275</v>
      </c>
      <c r="O195" t="s">
        <v>275</v>
      </c>
      <c r="P195" t="s">
        <v>275</v>
      </c>
      <c r="Q195" t="s">
        <v>275</v>
      </c>
      <c r="R195" t="s">
        <v>275</v>
      </c>
      <c r="S195" t="s">
        <v>275</v>
      </c>
      <c r="T195" t="s">
        <v>1</v>
      </c>
      <c r="U195" t="s">
        <v>275</v>
      </c>
      <c r="V195" t="s">
        <v>275</v>
      </c>
    </row>
    <row r="196" spans="1:22">
      <c r="A196">
        <v>194</v>
      </c>
      <c r="B196" t="s">
        <v>130</v>
      </c>
      <c r="C196" t="s">
        <v>131</v>
      </c>
      <c r="D196" t="str">
        <f>IF(VLOOKUP(C196,'Capabilities Overview'!$A$2:$A$587,1)=C196,"","Not in IOE")</f>
        <v/>
      </c>
      <c r="E196" t="s">
        <v>275</v>
      </c>
      <c r="F196" t="s">
        <v>275</v>
      </c>
      <c r="G196" t="s">
        <v>275</v>
      </c>
      <c r="H196" t="s">
        <v>275</v>
      </c>
      <c r="I196" t="s">
        <v>275</v>
      </c>
      <c r="J196" t="s">
        <v>275</v>
      </c>
      <c r="K196" t="s">
        <v>275</v>
      </c>
      <c r="L196" t="s">
        <v>275</v>
      </c>
      <c r="M196" t="s">
        <v>275</v>
      </c>
      <c r="N196" t="s">
        <v>275</v>
      </c>
      <c r="O196" t="s">
        <v>275</v>
      </c>
      <c r="P196" t="s">
        <v>1</v>
      </c>
      <c r="Q196" t="s">
        <v>275</v>
      </c>
      <c r="R196" t="s">
        <v>275</v>
      </c>
      <c r="S196" t="s">
        <v>275</v>
      </c>
      <c r="T196" t="s">
        <v>275</v>
      </c>
      <c r="U196" t="s">
        <v>275</v>
      </c>
      <c r="V196" t="s">
        <v>275</v>
      </c>
    </row>
    <row r="197" spans="1:22">
      <c r="A197">
        <v>195</v>
      </c>
      <c r="B197" t="s">
        <v>132</v>
      </c>
      <c r="C197" t="s">
        <v>133</v>
      </c>
      <c r="D197" t="str">
        <f>IF(VLOOKUP(C197,'Capabilities Overview'!$A$2:$A$587,1)=C197,"","Not in IOE")</f>
        <v/>
      </c>
      <c r="E197" t="s">
        <v>1</v>
      </c>
      <c r="F197" t="s">
        <v>1</v>
      </c>
      <c r="G197" t="s">
        <v>275</v>
      </c>
      <c r="H197" t="s">
        <v>1</v>
      </c>
      <c r="I197" t="s">
        <v>1</v>
      </c>
      <c r="J197" t="s">
        <v>1</v>
      </c>
      <c r="K197" t="s">
        <v>1</v>
      </c>
      <c r="L197" t="s">
        <v>1</v>
      </c>
      <c r="M197" t="s">
        <v>1</v>
      </c>
      <c r="N197" t="s">
        <v>1</v>
      </c>
      <c r="O197" t="s">
        <v>275</v>
      </c>
      <c r="P197" t="s">
        <v>1</v>
      </c>
      <c r="Q197" t="s">
        <v>275</v>
      </c>
      <c r="R197" t="s">
        <v>275</v>
      </c>
      <c r="S197" t="s">
        <v>275</v>
      </c>
      <c r="T197" t="s">
        <v>1</v>
      </c>
      <c r="U197" t="s">
        <v>275</v>
      </c>
      <c r="V197" t="s">
        <v>275</v>
      </c>
    </row>
    <row r="198" spans="1:22">
      <c r="A198">
        <v>196</v>
      </c>
      <c r="B198" t="s">
        <v>686</v>
      </c>
      <c r="C198" t="s">
        <v>687</v>
      </c>
      <c r="D198" t="str">
        <f>IF(VLOOKUP(C198,'Capabilities Overview'!$A$2:$A$587,1)=C198,"","Not in IOE")</f>
        <v/>
      </c>
      <c r="E198" t="s">
        <v>1</v>
      </c>
      <c r="F198" t="s">
        <v>1</v>
      </c>
      <c r="G198" t="s">
        <v>275</v>
      </c>
      <c r="H198" t="s">
        <v>1</v>
      </c>
      <c r="I198" t="s">
        <v>1</v>
      </c>
      <c r="J198" t="s">
        <v>1</v>
      </c>
      <c r="K198" t="s">
        <v>1</v>
      </c>
      <c r="L198" t="s">
        <v>275</v>
      </c>
      <c r="M198" t="s">
        <v>275</v>
      </c>
      <c r="N198" t="s">
        <v>275</v>
      </c>
      <c r="O198" t="s">
        <v>275</v>
      </c>
      <c r="P198" t="s">
        <v>275</v>
      </c>
      <c r="Q198" t="s">
        <v>275</v>
      </c>
      <c r="R198" t="s">
        <v>275</v>
      </c>
      <c r="S198" t="s">
        <v>275</v>
      </c>
      <c r="T198" t="s">
        <v>1</v>
      </c>
      <c r="U198" t="s">
        <v>275</v>
      </c>
      <c r="V198" t="s">
        <v>275</v>
      </c>
    </row>
    <row r="199" spans="1:22">
      <c r="A199">
        <v>197</v>
      </c>
      <c r="B199" t="s">
        <v>688</v>
      </c>
      <c r="C199" t="s">
        <v>689</v>
      </c>
      <c r="D199" t="str">
        <f>IF(VLOOKUP(C199,'Capabilities Overview'!$A$2:$A$587,1)=C199,"","Not in IOE")</f>
        <v/>
      </c>
      <c r="E199" t="s">
        <v>1</v>
      </c>
      <c r="F199" t="s">
        <v>1</v>
      </c>
      <c r="G199" t="s">
        <v>275</v>
      </c>
      <c r="H199" t="s">
        <v>1</v>
      </c>
      <c r="I199" t="s">
        <v>1</v>
      </c>
      <c r="J199" t="s">
        <v>1</v>
      </c>
      <c r="K199" t="s">
        <v>1</v>
      </c>
      <c r="L199" t="s">
        <v>275</v>
      </c>
      <c r="M199" t="s">
        <v>275</v>
      </c>
      <c r="N199" t="s">
        <v>275</v>
      </c>
      <c r="O199" t="s">
        <v>275</v>
      </c>
      <c r="P199" t="s">
        <v>275</v>
      </c>
      <c r="Q199" t="s">
        <v>275</v>
      </c>
      <c r="R199" t="s">
        <v>275</v>
      </c>
      <c r="S199" t="s">
        <v>275</v>
      </c>
      <c r="T199" t="s">
        <v>1</v>
      </c>
      <c r="U199" t="s">
        <v>275</v>
      </c>
      <c r="V199" t="s">
        <v>275</v>
      </c>
    </row>
    <row r="200" spans="1:22">
      <c r="A200">
        <v>198</v>
      </c>
      <c r="B200" t="s">
        <v>134</v>
      </c>
      <c r="C200" t="s">
        <v>135</v>
      </c>
      <c r="D200" t="str">
        <f>IF(VLOOKUP(C200,'Capabilities Overview'!$A$2:$A$587,1)=C200,"","Not in IOE")</f>
        <v/>
      </c>
      <c r="E200" t="s">
        <v>1</v>
      </c>
      <c r="F200" t="s">
        <v>1</v>
      </c>
      <c r="G200" t="s">
        <v>1</v>
      </c>
      <c r="H200" t="s">
        <v>1</v>
      </c>
      <c r="I200" t="s">
        <v>1</v>
      </c>
      <c r="J200" t="s">
        <v>1</v>
      </c>
      <c r="K200" t="s">
        <v>1</v>
      </c>
      <c r="L200" t="s">
        <v>1</v>
      </c>
      <c r="M200" t="s">
        <v>1</v>
      </c>
      <c r="N200" t="s">
        <v>275</v>
      </c>
      <c r="O200" t="s">
        <v>1</v>
      </c>
      <c r="P200" t="s">
        <v>1</v>
      </c>
      <c r="Q200" t="s">
        <v>275</v>
      </c>
      <c r="R200" t="s">
        <v>275</v>
      </c>
      <c r="S200" t="s">
        <v>275</v>
      </c>
      <c r="T200" t="s">
        <v>1</v>
      </c>
      <c r="U200" t="s">
        <v>275</v>
      </c>
      <c r="V200" t="s">
        <v>275</v>
      </c>
    </row>
    <row r="201" spans="1:22">
      <c r="A201">
        <v>199</v>
      </c>
      <c r="B201" t="s">
        <v>690</v>
      </c>
      <c r="C201" t="s">
        <v>691</v>
      </c>
      <c r="D201" t="str">
        <f>IF(VLOOKUP(C201,'Capabilities Overview'!$A$2:$A$587,1)=C201,"","Not in IOE")</f>
        <v/>
      </c>
      <c r="E201" t="s">
        <v>1</v>
      </c>
      <c r="F201" t="s">
        <v>1</v>
      </c>
      <c r="G201" t="s">
        <v>275</v>
      </c>
      <c r="H201" t="s">
        <v>275</v>
      </c>
      <c r="I201" t="s">
        <v>1</v>
      </c>
      <c r="J201" t="s">
        <v>1</v>
      </c>
      <c r="K201" t="s">
        <v>275</v>
      </c>
      <c r="L201" t="s">
        <v>275</v>
      </c>
      <c r="M201" t="s">
        <v>275</v>
      </c>
      <c r="N201" t="s">
        <v>275</v>
      </c>
      <c r="O201" t="s">
        <v>275</v>
      </c>
      <c r="P201" t="s">
        <v>275</v>
      </c>
      <c r="Q201" t="s">
        <v>275</v>
      </c>
      <c r="R201" t="s">
        <v>275</v>
      </c>
      <c r="S201" t="s">
        <v>275</v>
      </c>
      <c r="T201" t="s">
        <v>275</v>
      </c>
      <c r="U201" t="s">
        <v>275</v>
      </c>
      <c r="V201" t="s">
        <v>275</v>
      </c>
    </row>
    <row r="202" spans="1:22">
      <c r="A202">
        <v>200</v>
      </c>
      <c r="B202" t="s">
        <v>692</v>
      </c>
      <c r="C202" t="s">
        <v>693</v>
      </c>
      <c r="D202" t="str">
        <f>IF(VLOOKUP(C202,'Capabilities Overview'!$A$2:$A$587,1)=C202,"","Not in IOE")</f>
        <v/>
      </c>
      <c r="E202" t="s">
        <v>1</v>
      </c>
      <c r="F202" t="s">
        <v>1</v>
      </c>
      <c r="G202" t="s">
        <v>275</v>
      </c>
      <c r="H202" t="s">
        <v>275</v>
      </c>
      <c r="I202" t="s">
        <v>1</v>
      </c>
      <c r="J202" t="s">
        <v>1</v>
      </c>
      <c r="K202" t="s">
        <v>275</v>
      </c>
      <c r="L202" t="s">
        <v>275</v>
      </c>
      <c r="M202" t="s">
        <v>275</v>
      </c>
      <c r="N202" t="s">
        <v>275</v>
      </c>
      <c r="O202" t="s">
        <v>275</v>
      </c>
      <c r="P202" t="s">
        <v>275</v>
      </c>
      <c r="Q202" t="s">
        <v>275</v>
      </c>
      <c r="R202" t="s">
        <v>275</v>
      </c>
      <c r="S202" t="s">
        <v>275</v>
      </c>
      <c r="T202" t="s">
        <v>275</v>
      </c>
      <c r="U202" t="s">
        <v>275</v>
      </c>
      <c r="V202" t="s">
        <v>275</v>
      </c>
    </row>
    <row r="203" spans="1:22">
      <c r="A203">
        <v>201</v>
      </c>
      <c r="B203" t="s">
        <v>136</v>
      </c>
      <c r="C203" t="s">
        <v>137</v>
      </c>
      <c r="D203" t="str">
        <f>IF(VLOOKUP(C203,'Capabilities Overview'!$A$2:$A$587,1)=C203,"","Not in IOE")</f>
        <v/>
      </c>
      <c r="E203" t="s">
        <v>1</v>
      </c>
      <c r="F203" t="s">
        <v>1</v>
      </c>
      <c r="G203" t="s">
        <v>275</v>
      </c>
      <c r="H203" t="s">
        <v>1</v>
      </c>
      <c r="I203" t="s">
        <v>1</v>
      </c>
      <c r="J203" t="s">
        <v>1</v>
      </c>
      <c r="K203" t="s">
        <v>1</v>
      </c>
      <c r="L203" t="s">
        <v>1</v>
      </c>
      <c r="M203" t="s">
        <v>1</v>
      </c>
      <c r="N203" t="s">
        <v>1</v>
      </c>
      <c r="O203" t="s">
        <v>275</v>
      </c>
      <c r="P203" t="s">
        <v>1</v>
      </c>
      <c r="Q203" t="s">
        <v>275</v>
      </c>
      <c r="R203" t="s">
        <v>275</v>
      </c>
      <c r="S203" t="s">
        <v>275</v>
      </c>
      <c r="T203" t="s">
        <v>1</v>
      </c>
      <c r="U203" t="s">
        <v>275</v>
      </c>
      <c r="V203" t="s">
        <v>275</v>
      </c>
    </row>
    <row r="204" spans="1:22">
      <c r="A204">
        <v>202</v>
      </c>
      <c r="B204" t="s">
        <v>138</v>
      </c>
      <c r="C204" t="s">
        <v>139</v>
      </c>
      <c r="D204" t="str">
        <f>IF(VLOOKUP(C204,'Capabilities Overview'!$A$2:$A$587,1)=C204,"","Not in IOE")</f>
        <v/>
      </c>
      <c r="E204" t="s">
        <v>1</v>
      </c>
      <c r="F204" t="s">
        <v>1</v>
      </c>
      <c r="G204" t="s">
        <v>275</v>
      </c>
      <c r="H204" t="s">
        <v>1</v>
      </c>
      <c r="I204" t="s">
        <v>1</v>
      </c>
      <c r="J204" t="s">
        <v>1</v>
      </c>
      <c r="K204" t="s">
        <v>1</v>
      </c>
      <c r="L204" t="s">
        <v>1</v>
      </c>
      <c r="M204" t="s">
        <v>1</v>
      </c>
      <c r="N204" t="s">
        <v>1</v>
      </c>
      <c r="O204" t="s">
        <v>1</v>
      </c>
      <c r="P204" t="s">
        <v>1</v>
      </c>
      <c r="Q204" t="s">
        <v>275</v>
      </c>
      <c r="R204" t="s">
        <v>275</v>
      </c>
      <c r="S204" t="s">
        <v>275</v>
      </c>
      <c r="T204" t="s">
        <v>1</v>
      </c>
      <c r="U204" t="s">
        <v>275</v>
      </c>
      <c r="V204" t="s">
        <v>275</v>
      </c>
    </row>
    <row r="205" spans="1:22">
      <c r="A205">
        <v>203</v>
      </c>
      <c r="B205" t="s">
        <v>694</v>
      </c>
      <c r="C205" t="s">
        <v>695</v>
      </c>
      <c r="D205" t="str">
        <f>IF(VLOOKUP(C205,'Capabilities Overview'!$A$2:$A$587,1)=C205,"","Not in IOE")</f>
        <v/>
      </c>
      <c r="E205" t="s">
        <v>1</v>
      </c>
      <c r="F205" t="s">
        <v>1</v>
      </c>
      <c r="G205" t="s">
        <v>275</v>
      </c>
      <c r="H205" t="s">
        <v>1</v>
      </c>
      <c r="I205" t="s">
        <v>1</v>
      </c>
      <c r="J205" t="s">
        <v>1</v>
      </c>
      <c r="K205" t="s">
        <v>1</v>
      </c>
      <c r="L205" t="s">
        <v>275</v>
      </c>
      <c r="M205" t="s">
        <v>275</v>
      </c>
      <c r="N205" t="s">
        <v>275</v>
      </c>
      <c r="O205" t="s">
        <v>275</v>
      </c>
      <c r="P205" t="s">
        <v>275</v>
      </c>
      <c r="Q205" t="s">
        <v>275</v>
      </c>
      <c r="R205" t="s">
        <v>275</v>
      </c>
      <c r="S205" t="s">
        <v>275</v>
      </c>
      <c r="T205" t="s">
        <v>1</v>
      </c>
      <c r="U205" t="s">
        <v>275</v>
      </c>
      <c r="V205" t="s">
        <v>275</v>
      </c>
    </row>
    <row r="206" spans="1:22">
      <c r="A206">
        <v>204</v>
      </c>
      <c r="B206" t="s">
        <v>696</v>
      </c>
      <c r="C206" t="s">
        <v>697</v>
      </c>
      <c r="D206" t="str">
        <f>IF(VLOOKUP(C206,'Capabilities Overview'!$A$2:$A$587,1)=C206,"","Not in IOE")</f>
        <v/>
      </c>
      <c r="E206" t="s">
        <v>1</v>
      </c>
      <c r="F206" t="s">
        <v>1</v>
      </c>
      <c r="G206" t="s">
        <v>275</v>
      </c>
      <c r="H206" t="s">
        <v>275</v>
      </c>
      <c r="I206" t="s">
        <v>1</v>
      </c>
      <c r="J206" t="s">
        <v>1</v>
      </c>
      <c r="K206" t="s">
        <v>275</v>
      </c>
      <c r="L206" t="s">
        <v>275</v>
      </c>
      <c r="M206" t="s">
        <v>275</v>
      </c>
      <c r="N206" t="s">
        <v>275</v>
      </c>
      <c r="O206" t="s">
        <v>275</v>
      </c>
      <c r="P206" t="s">
        <v>275</v>
      </c>
      <c r="Q206" t="s">
        <v>275</v>
      </c>
      <c r="R206" t="s">
        <v>275</v>
      </c>
      <c r="S206" t="s">
        <v>275</v>
      </c>
      <c r="T206" t="s">
        <v>275</v>
      </c>
      <c r="U206" t="s">
        <v>275</v>
      </c>
      <c r="V206" t="s">
        <v>275</v>
      </c>
    </row>
    <row r="207" spans="1:22">
      <c r="A207">
        <v>205</v>
      </c>
      <c r="B207" t="s">
        <v>698</v>
      </c>
      <c r="C207" t="s">
        <v>699</v>
      </c>
      <c r="D207" t="str">
        <f>IF(VLOOKUP(C207,'Capabilities Overview'!$A$2:$A$587,1)=C207,"","Not in IOE")</f>
        <v/>
      </c>
      <c r="E207" t="s">
        <v>1</v>
      </c>
      <c r="F207" t="s">
        <v>1</v>
      </c>
      <c r="G207" t="s">
        <v>275</v>
      </c>
      <c r="H207" t="s">
        <v>275</v>
      </c>
      <c r="I207" t="s">
        <v>1</v>
      </c>
      <c r="J207" t="s">
        <v>1</v>
      </c>
      <c r="K207" t="s">
        <v>275</v>
      </c>
      <c r="L207" t="s">
        <v>275</v>
      </c>
      <c r="M207" t="s">
        <v>275</v>
      </c>
      <c r="N207" t="s">
        <v>275</v>
      </c>
      <c r="O207" t="s">
        <v>275</v>
      </c>
      <c r="P207" t="s">
        <v>275</v>
      </c>
      <c r="Q207" t="s">
        <v>275</v>
      </c>
      <c r="R207" t="s">
        <v>275</v>
      </c>
      <c r="S207" t="s">
        <v>275</v>
      </c>
      <c r="T207" t="s">
        <v>275</v>
      </c>
      <c r="U207" t="s">
        <v>275</v>
      </c>
      <c r="V207" t="s">
        <v>275</v>
      </c>
    </row>
    <row r="208" spans="1:22">
      <c r="A208">
        <v>206</v>
      </c>
      <c r="B208" t="s">
        <v>700</v>
      </c>
      <c r="C208" t="s">
        <v>701</v>
      </c>
      <c r="D208" t="str">
        <f>IF(VLOOKUP(C208,'Capabilities Overview'!$A$2:$A$587,1)=C208,"","Not in IOE")</f>
        <v/>
      </c>
      <c r="E208" t="s">
        <v>1</v>
      </c>
      <c r="F208" t="s">
        <v>1</v>
      </c>
      <c r="G208" t="s">
        <v>275</v>
      </c>
      <c r="H208" t="s">
        <v>275</v>
      </c>
      <c r="I208" t="s">
        <v>1</v>
      </c>
      <c r="J208" t="s">
        <v>1</v>
      </c>
      <c r="K208" t="s">
        <v>275</v>
      </c>
      <c r="L208" t="s">
        <v>275</v>
      </c>
      <c r="M208" t="s">
        <v>275</v>
      </c>
      <c r="N208" t="s">
        <v>275</v>
      </c>
      <c r="O208" t="s">
        <v>275</v>
      </c>
      <c r="P208" t="s">
        <v>275</v>
      </c>
      <c r="Q208" t="s">
        <v>275</v>
      </c>
      <c r="R208" t="s">
        <v>275</v>
      </c>
      <c r="S208" t="s">
        <v>275</v>
      </c>
      <c r="T208" t="s">
        <v>275</v>
      </c>
      <c r="U208" t="s">
        <v>275</v>
      </c>
      <c r="V208" t="s">
        <v>275</v>
      </c>
    </row>
    <row r="209" spans="1:22">
      <c r="A209">
        <v>207</v>
      </c>
      <c r="B209" t="s">
        <v>702</v>
      </c>
      <c r="C209" t="s">
        <v>703</v>
      </c>
      <c r="D209" t="str">
        <f>IF(VLOOKUP(C209,'Capabilities Overview'!$A$2:$A$587,1)=C209,"","Not in IOE")</f>
        <v/>
      </c>
      <c r="E209" t="s">
        <v>1</v>
      </c>
      <c r="F209" t="s">
        <v>1</v>
      </c>
      <c r="G209" t="s">
        <v>275</v>
      </c>
      <c r="H209" t="s">
        <v>275</v>
      </c>
      <c r="I209" t="s">
        <v>1</v>
      </c>
      <c r="J209" t="s">
        <v>1</v>
      </c>
      <c r="K209" t="s">
        <v>275</v>
      </c>
      <c r="L209" t="s">
        <v>275</v>
      </c>
      <c r="M209" t="s">
        <v>275</v>
      </c>
      <c r="N209" t="s">
        <v>275</v>
      </c>
      <c r="O209" t="s">
        <v>275</v>
      </c>
      <c r="P209" t="s">
        <v>275</v>
      </c>
      <c r="Q209" t="s">
        <v>275</v>
      </c>
      <c r="R209" t="s">
        <v>275</v>
      </c>
      <c r="S209" t="s">
        <v>275</v>
      </c>
      <c r="T209" t="s">
        <v>275</v>
      </c>
      <c r="U209" t="s">
        <v>275</v>
      </c>
      <c r="V209" t="s">
        <v>275</v>
      </c>
    </row>
    <row r="210" spans="1:22">
      <c r="A210">
        <v>208</v>
      </c>
      <c r="B210" t="s">
        <v>704</v>
      </c>
      <c r="C210" t="s">
        <v>705</v>
      </c>
      <c r="D210" t="str">
        <f>IF(VLOOKUP(C210,'Capabilities Overview'!$A$2:$A$587,1)=C210,"","Not in IOE")</f>
        <v/>
      </c>
      <c r="E210" t="s">
        <v>1</v>
      </c>
      <c r="F210" t="s">
        <v>1</v>
      </c>
      <c r="G210" t="s">
        <v>275</v>
      </c>
      <c r="H210" t="s">
        <v>275</v>
      </c>
      <c r="I210" t="s">
        <v>1</v>
      </c>
      <c r="J210" t="s">
        <v>1</v>
      </c>
      <c r="K210" t="s">
        <v>275</v>
      </c>
      <c r="L210" t="s">
        <v>275</v>
      </c>
      <c r="M210" t="s">
        <v>275</v>
      </c>
      <c r="N210" t="s">
        <v>275</v>
      </c>
      <c r="O210" t="s">
        <v>275</v>
      </c>
      <c r="P210" t="s">
        <v>275</v>
      </c>
      <c r="Q210" t="s">
        <v>275</v>
      </c>
      <c r="R210" t="s">
        <v>275</v>
      </c>
      <c r="S210" t="s">
        <v>275</v>
      </c>
      <c r="T210" t="s">
        <v>275</v>
      </c>
      <c r="U210" t="s">
        <v>275</v>
      </c>
      <c r="V210" t="s">
        <v>275</v>
      </c>
    </row>
    <row r="211" spans="1:22">
      <c r="A211">
        <v>209</v>
      </c>
      <c r="B211" t="s">
        <v>706</v>
      </c>
      <c r="C211" t="s">
        <v>707</v>
      </c>
      <c r="D211" t="str">
        <f>IF(VLOOKUP(C211,'Capabilities Overview'!$A$2:$A$587,1)=C211,"","Not in IOE")</f>
        <v/>
      </c>
      <c r="E211" t="s">
        <v>1</v>
      </c>
      <c r="F211" t="s">
        <v>1</v>
      </c>
      <c r="G211" t="s">
        <v>1</v>
      </c>
      <c r="H211" t="s">
        <v>275</v>
      </c>
      <c r="I211" t="s">
        <v>275</v>
      </c>
      <c r="J211" t="s">
        <v>275</v>
      </c>
      <c r="K211" t="s">
        <v>275</v>
      </c>
      <c r="L211" t="s">
        <v>275</v>
      </c>
      <c r="M211" t="s">
        <v>275</v>
      </c>
      <c r="N211" t="s">
        <v>275</v>
      </c>
      <c r="O211" t="s">
        <v>275</v>
      </c>
      <c r="P211" t="s">
        <v>275</v>
      </c>
      <c r="Q211" t="s">
        <v>275</v>
      </c>
      <c r="R211" t="s">
        <v>275</v>
      </c>
      <c r="S211" t="s">
        <v>275</v>
      </c>
      <c r="T211" t="s">
        <v>275</v>
      </c>
      <c r="U211" t="s">
        <v>275</v>
      </c>
      <c r="V211" t="s">
        <v>275</v>
      </c>
    </row>
    <row r="212" spans="1:22">
      <c r="A212">
        <v>210</v>
      </c>
      <c r="B212" t="s">
        <v>708</v>
      </c>
      <c r="C212" t="s">
        <v>709</v>
      </c>
      <c r="D212" t="str">
        <f>IF(VLOOKUP(C212,'Capabilities Overview'!$A$2:$A$587,1)=C212,"","Not in IOE")</f>
        <v/>
      </c>
      <c r="E212" t="s">
        <v>1</v>
      </c>
      <c r="F212" t="s">
        <v>1</v>
      </c>
      <c r="G212" t="s">
        <v>275</v>
      </c>
      <c r="H212" t="s">
        <v>275</v>
      </c>
      <c r="I212" t="s">
        <v>1</v>
      </c>
      <c r="J212" t="s">
        <v>1</v>
      </c>
      <c r="K212" t="s">
        <v>275</v>
      </c>
      <c r="L212" t="s">
        <v>275</v>
      </c>
      <c r="M212" t="s">
        <v>275</v>
      </c>
      <c r="N212" t="s">
        <v>275</v>
      </c>
      <c r="O212" t="s">
        <v>275</v>
      </c>
      <c r="P212" t="s">
        <v>275</v>
      </c>
      <c r="Q212" t="s">
        <v>275</v>
      </c>
      <c r="R212" t="s">
        <v>275</v>
      </c>
      <c r="S212" t="s">
        <v>275</v>
      </c>
      <c r="T212" t="s">
        <v>275</v>
      </c>
      <c r="U212" t="s">
        <v>275</v>
      </c>
      <c r="V212" t="s">
        <v>275</v>
      </c>
    </row>
    <row r="213" spans="1:22">
      <c r="A213">
        <v>211</v>
      </c>
      <c r="B213" t="s">
        <v>710</v>
      </c>
      <c r="C213" t="s">
        <v>711</v>
      </c>
      <c r="D213" t="str">
        <f>IF(VLOOKUP(C213,'Capabilities Overview'!$A$2:$A$587,1)=C213,"","Not in IOE")</f>
        <v/>
      </c>
      <c r="E213" t="s">
        <v>1</v>
      </c>
      <c r="F213" t="s">
        <v>1</v>
      </c>
      <c r="G213" t="s">
        <v>275</v>
      </c>
      <c r="H213" t="s">
        <v>275</v>
      </c>
      <c r="I213" t="s">
        <v>1</v>
      </c>
      <c r="J213" t="s">
        <v>1</v>
      </c>
      <c r="K213" t="s">
        <v>275</v>
      </c>
      <c r="L213" t="s">
        <v>275</v>
      </c>
      <c r="M213" t="s">
        <v>275</v>
      </c>
      <c r="N213" t="s">
        <v>275</v>
      </c>
      <c r="O213" t="s">
        <v>275</v>
      </c>
      <c r="P213" t="s">
        <v>275</v>
      </c>
      <c r="Q213" t="s">
        <v>275</v>
      </c>
      <c r="R213" t="s">
        <v>275</v>
      </c>
      <c r="S213" t="s">
        <v>275</v>
      </c>
      <c r="T213" t="s">
        <v>275</v>
      </c>
      <c r="U213" t="s">
        <v>275</v>
      </c>
      <c r="V213" t="s">
        <v>275</v>
      </c>
    </row>
    <row r="214" spans="1:22">
      <c r="A214">
        <v>212</v>
      </c>
      <c r="B214" t="s">
        <v>712</v>
      </c>
      <c r="C214" t="s">
        <v>713</v>
      </c>
      <c r="D214" t="str">
        <f>IF(VLOOKUP(C214,'Capabilities Overview'!$A$2:$A$587,1)=C214,"","Not in IOE")</f>
        <v/>
      </c>
      <c r="E214" t="s">
        <v>275</v>
      </c>
      <c r="F214" t="s">
        <v>275</v>
      </c>
      <c r="G214" t="s">
        <v>275</v>
      </c>
      <c r="H214" t="s">
        <v>275</v>
      </c>
      <c r="I214" t="s">
        <v>275</v>
      </c>
      <c r="J214" t="s">
        <v>275</v>
      </c>
      <c r="K214" t="s">
        <v>275</v>
      </c>
      <c r="L214" t="s">
        <v>275</v>
      </c>
      <c r="M214" t="s">
        <v>275</v>
      </c>
      <c r="N214" t="s">
        <v>275</v>
      </c>
      <c r="O214" t="s">
        <v>275</v>
      </c>
      <c r="P214" t="s">
        <v>275</v>
      </c>
      <c r="Q214" t="s">
        <v>275</v>
      </c>
      <c r="R214" t="s">
        <v>275</v>
      </c>
      <c r="S214" t="s">
        <v>275</v>
      </c>
      <c r="T214" t="s">
        <v>275</v>
      </c>
      <c r="U214" t="s">
        <v>275</v>
      </c>
      <c r="V214" t="s">
        <v>275</v>
      </c>
    </row>
    <row r="215" spans="1:22">
      <c r="A215">
        <v>213</v>
      </c>
      <c r="B215" t="s">
        <v>714</v>
      </c>
      <c r="C215" t="s">
        <v>715</v>
      </c>
      <c r="D215" t="str">
        <f>IF(VLOOKUP(C215,'Capabilities Overview'!$A$2:$A$587,1)=C215,"","Not in IOE")</f>
        <v/>
      </c>
      <c r="E215" t="s">
        <v>275</v>
      </c>
      <c r="F215" t="s">
        <v>275</v>
      </c>
      <c r="G215" t="s">
        <v>275</v>
      </c>
      <c r="H215" t="s">
        <v>275</v>
      </c>
      <c r="I215" t="s">
        <v>275</v>
      </c>
      <c r="J215" t="s">
        <v>275</v>
      </c>
      <c r="K215" t="s">
        <v>275</v>
      </c>
      <c r="L215" t="s">
        <v>1</v>
      </c>
      <c r="M215" t="s">
        <v>1</v>
      </c>
      <c r="N215" t="s">
        <v>1</v>
      </c>
      <c r="O215" t="s">
        <v>275</v>
      </c>
      <c r="P215" t="s">
        <v>275</v>
      </c>
      <c r="Q215" t="s">
        <v>275</v>
      </c>
      <c r="R215" t="s">
        <v>275</v>
      </c>
      <c r="S215" t="s">
        <v>275</v>
      </c>
      <c r="T215" t="s">
        <v>275</v>
      </c>
      <c r="U215" t="s">
        <v>275</v>
      </c>
      <c r="V215" t="s">
        <v>275</v>
      </c>
    </row>
    <row r="216" spans="1:22">
      <c r="A216">
        <v>214</v>
      </c>
      <c r="B216" t="s">
        <v>716</v>
      </c>
      <c r="C216" t="s">
        <v>717</v>
      </c>
      <c r="D216" t="str">
        <f>IF(VLOOKUP(C216,'Capabilities Overview'!$A$2:$A$587,1)=C216,"","Not in IOE")</f>
        <v/>
      </c>
      <c r="E216" t="s">
        <v>1</v>
      </c>
      <c r="F216" t="s">
        <v>1</v>
      </c>
      <c r="G216" t="s">
        <v>275</v>
      </c>
      <c r="H216" t="s">
        <v>275</v>
      </c>
      <c r="I216" t="s">
        <v>1</v>
      </c>
      <c r="J216" t="s">
        <v>1</v>
      </c>
      <c r="K216" t="s">
        <v>275</v>
      </c>
      <c r="L216" t="s">
        <v>275</v>
      </c>
      <c r="M216" t="s">
        <v>275</v>
      </c>
      <c r="N216" t="s">
        <v>275</v>
      </c>
      <c r="O216" t="s">
        <v>275</v>
      </c>
      <c r="P216" t="s">
        <v>275</v>
      </c>
      <c r="Q216" t="s">
        <v>275</v>
      </c>
      <c r="R216" t="s">
        <v>275</v>
      </c>
      <c r="S216" t="s">
        <v>275</v>
      </c>
      <c r="T216" t="s">
        <v>275</v>
      </c>
      <c r="U216" t="s">
        <v>275</v>
      </c>
      <c r="V216" t="s">
        <v>275</v>
      </c>
    </row>
    <row r="217" spans="1:22">
      <c r="A217">
        <v>215</v>
      </c>
      <c r="B217" t="s">
        <v>718</v>
      </c>
      <c r="C217" t="s">
        <v>719</v>
      </c>
      <c r="D217" t="str">
        <f>IF(VLOOKUP(C217,'Capabilities Overview'!$A$2:$A$587,1)=C217,"","Not in IOE")</f>
        <v/>
      </c>
      <c r="E217" t="s">
        <v>1</v>
      </c>
      <c r="F217" t="s">
        <v>1</v>
      </c>
      <c r="G217" t="s">
        <v>275</v>
      </c>
      <c r="H217" t="s">
        <v>275</v>
      </c>
      <c r="I217" t="s">
        <v>1</v>
      </c>
      <c r="J217" t="s">
        <v>1</v>
      </c>
      <c r="K217" t="s">
        <v>275</v>
      </c>
      <c r="L217" t="s">
        <v>275</v>
      </c>
      <c r="M217" t="s">
        <v>275</v>
      </c>
      <c r="N217" t="s">
        <v>275</v>
      </c>
      <c r="O217" t="s">
        <v>275</v>
      </c>
      <c r="P217" t="s">
        <v>275</v>
      </c>
      <c r="Q217" t="s">
        <v>275</v>
      </c>
      <c r="R217" t="s">
        <v>275</v>
      </c>
      <c r="S217" t="s">
        <v>275</v>
      </c>
      <c r="T217" t="s">
        <v>275</v>
      </c>
      <c r="U217" t="s">
        <v>275</v>
      </c>
      <c r="V217" t="s">
        <v>275</v>
      </c>
    </row>
    <row r="218" spans="1:22">
      <c r="A218">
        <v>216</v>
      </c>
      <c r="B218" t="s">
        <v>720</v>
      </c>
      <c r="C218" t="s">
        <v>721</v>
      </c>
      <c r="D218" t="str">
        <f>IF(VLOOKUP(C218,'Capabilities Overview'!$A$2:$A$587,1)=C218,"","Not in IOE")</f>
        <v/>
      </c>
      <c r="E218" t="s">
        <v>1</v>
      </c>
      <c r="F218" t="s">
        <v>1</v>
      </c>
      <c r="G218" t="s">
        <v>275</v>
      </c>
      <c r="H218" t="s">
        <v>275</v>
      </c>
      <c r="I218" t="s">
        <v>1</v>
      </c>
      <c r="J218" t="s">
        <v>1</v>
      </c>
      <c r="K218" t="s">
        <v>275</v>
      </c>
      <c r="L218" t="s">
        <v>275</v>
      </c>
      <c r="M218" t="s">
        <v>275</v>
      </c>
      <c r="N218" t="s">
        <v>275</v>
      </c>
      <c r="O218" t="s">
        <v>275</v>
      </c>
      <c r="P218" t="s">
        <v>275</v>
      </c>
      <c r="Q218" t="s">
        <v>275</v>
      </c>
      <c r="R218" t="s">
        <v>275</v>
      </c>
      <c r="S218" t="s">
        <v>275</v>
      </c>
      <c r="T218" t="s">
        <v>275</v>
      </c>
      <c r="U218" t="s">
        <v>275</v>
      </c>
      <c r="V218" t="s">
        <v>275</v>
      </c>
    </row>
    <row r="219" spans="1:22">
      <c r="A219">
        <v>217</v>
      </c>
      <c r="B219" t="s">
        <v>722</v>
      </c>
      <c r="C219" t="s">
        <v>723</v>
      </c>
      <c r="D219" t="str">
        <f>IF(VLOOKUP(C219,'Capabilities Overview'!$A$2:$A$587,1)=C219,"","Not in IOE")</f>
        <v/>
      </c>
      <c r="E219" t="s">
        <v>1</v>
      </c>
      <c r="F219" t="s">
        <v>1</v>
      </c>
      <c r="G219" t="s">
        <v>275</v>
      </c>
      <c r="H219" t="s">
        <v>1</v>
      </c>
      <c r="I219" t="s">
        <v>1</v>
      </c>
      <c r="J219" t="s">
        <v>1</v>
      </c>
      <c r="K219" t="s">
        <v>1</v>
      </c>
      <c r="L219" t="s">
        <v>275</v>
      </c>
      <c r="M219" t="s">
        <v>275</v>
      </c>
      <c r="N219" t="s">
        <v>275</v>
      </c>
      <c r="O219" t="s">
        <v>275</v>
      </c>
      <c r="P219" t="s">
        <v>275</v>
      </c>
      <c r="Q219" t="s">
        <v>275</v>
      </c>
      <c r="R219" t="s">
        <v>275</v>
      </c>
      <c r="S219" t="s">
        <v>275</v>
      </c>
      <c r="T219" t="s">
        <v>1</v>
      </c>
      <c r="U219" t="s">
        <v>275</v>
      </c>
      <c r="V219" t="s">
        <v>275</v>
      </c>
    </row>
    <row r="220" spans="1:22">
      <c r="A220">
        <v>218</v>
      </c>
      <c r="B220" t="s">
        <v>724</v>
      </c>
      <c r="C220" t="s">
        <v>725</v>
      </c>
      <c r="D220" t="str">
        <f>IF(VLOOKUP(C220,'Capabilities Overview'!$A$2:$A$587,1)=C220,"","Not in IOE")</f>
        <v/>
      </c>
      <c r="E220" t="s">
        <v>1</v>
      </c>
      <c r="F220" t="s">
        <v>1</v>
      </c>
      <c r="G220" t="s">
        <v>275</v>
      </c>
      <c r="H220" t="s">
        <v>275</v>
      </c>
      <c r="I220" t="s">
        <v>1</v>
      </c>
      <c r="J220" t="s">
        <v>1</v>
      </c>
      <c r="K220" t="s">
        <v>275</v>
      </c>
      <c r="L220" t="s">
        <v>275</v>
      </c>
      <c r="M220" t="s">
        <v>275</v>
      </c>
      <c r="N220" t="s">
        <v>275</v>
      </c>
      <c r="O220" t="s">
        <v>275</v>
      </c>
      <c r="P220" t="s">
        <v>275</v>
      </c>
      <c r="Q220" t="s">
        <v>275</v>
      </c>
      <c r="R220" t="s">
        <v>275</v>
      </c>
      <c r="S220" t="s">
        <v>275</v>
      </c>
      <c r="T220" t="s">
        <v>275</v>
      </c>
      <c r="U220" t="s">
        <v>275</v>
      </c>
      <c r="V220" t="s">
        <v>275</v>
      </c>
    </row>
    <row r="221" spans="1:22">
      <c r="A221">
        <v>219</v>
      </c>
      <c r="B221" t="s">
        <v>726</v>
      </c>
      <c r="C221" t="s">
        <v>727</v>
      </c>
      <c r="D221" t="str">
        <f>IF(VLOOKUP(C221,'Capabilities Overview'!$A$2:$A$587,1)=C221,"","Not in IOE")</f>
        <v/>
      </c>
      <c r="E221" t="s">
        <v>1</v>
      </c>
      <c r="F221" t="s">
        <v>1</v>
      </c>
      <c r="G221" t="s">
        <v>275</v>
      </c>
      <c r="H221" t="s">
        <v>275</v>
      </c>
      <c r="I221" t="s">
        <v>1</v>
      </c>
      <c r="J221" t="s">
        <v>1</v>
      </c>
      <c r="K221" t="s">
        <v>275</v>
      </c>
      <c r="L221" t="s">
        <v>275</v>
      </c>
      <c r="M221" t="s">
        <v>275</v>
      </c>
      <c r="N221" t="s">
        <v>275</v>
      </c>
      <c r="O221" t="s">
        <v>275</v>
      </c>
      <c r="P221" t="s">
        <v>275</v>
      </c>
      <c r="Q221" t="s">
        <v>275</v>
      </c>
      <c r="R221" t="s">
        <v>275</v>
      </c>
      <c r="S221" t="s">
        <v>275</v>
      </c>
      <c r="T221" t="s">
        <v>275</v>
      </c>
      <c r="U221" t="s">
        <v>275</v>
      </c>
      <c r="V221" t="s">
        <v>275</v>
      </c>
    </row>
    <row r="222" spans="1:22">
      <c r="A222">
        <v>220</v>
      </c>
      <c r="B222" t="s">
        <v>728</v>
      </c>
      <c r="C222" t="s">
        <v>729</v>
      </c>
      <c r="D222" t="str">
        <f>IF(VLOOKUP(C222,'Capabilities Overview'!$A$2:$A$587,1)=C222,"","Not in IOE")</f>
        <v/>
      </c>
      <c r="E222" t="s">
        <v>1</v>
      </c>
      <c r="F222" t="s">
        <v>1</v>
      </c>
      <c r="G222" t="s">
        <v>275</v>
      </c>
      <c r="H222" t="s">
        <v>275</v>
      </c>
      <c r="I222" t="s">
        <v>1</v>
      </c>
      <c r="J222" t="s">
        <v>1</v>
      </c>
      <c r="K222" t="s">
        <v>275</v>
      </c>
      <c r="L222" t="s">
        <v>275</v>
      </c>
      <c r="M222" t="s">
        <v>275</v>
      </c>
      <c r="N222" t="s">
        <v>275</v>
      </c>
      <c r="O222" t="s">
        <v>275</v>
      </c>
      <c r="P222" t="s">
        <v>275</v>
      </c>
      <c r="Q222" t="s">
        <v>275</v>
      </c>
      <c r="R222" t="s">
        <v>275</v>
      </c>
      <c r="S222" t="s">
        <v>275</v>
      </c>
      <c r="T222" t="s">
        <v>275</v>
      </c>
      <c r="U222" t="s">
        <v>275</v>
      </c>
      <c r="V222" t="s">
        <v>275</v>
      </c>
    </row>
    <row r="223" spans="1:22">
      <c r="A223">
        <v>221</v>
      </c>
      <c r="B223" t="s">
        <v>730</v>
      </c>
      <c r="C223" t="s">
        <v>731</v>
      </c>
      <c r="D223" t="str">
        <f>IF(VLOOKUP(C223,'Capabilities Overview'!$A$2:$A$587,1)=C223,"","Not in IOE")</f>
        <v/>
      </c>
      <c r="E223" t="s">
        <v>1</v>
      </c>
      <c r="F223" t="s">
        <v>1</v>
      </c>
      <c r="G223" t="s">
        <v>275</v>
      </c>
      <c r="H223" t="s">
        <v>275</v>
      </c>
      <c r="I223" t="s">
        <v>1</v>
      </c>
      <c r="J223" t="s">
        <v>1</v>
      </c>
      <c r="K223" t="s">
        <v>275</v>
      </c>
      <c r="L223" t="s">
        <v>275</v>
      </c>
      <c r="M223" t="s">
        <v>275</v>
      </c>
      <c r="N223" t="s">
        <v>275</v>
      </c>
      <c r="O223" t="s">
        <v>275</v>
      </c>
      <c r="P223" t="s">
        <v>275</v>
      </c>
      <c r="Q223" t="s">
        <v>275</v>
      </c>
      <c r="R223" t="s">
        <v>275</v>
      </c>
      <c r="S223" t="s">
        <v>275</v>
      </c>
      <c r="T223" t="s">
        <v>275</v>
      </c>
      <c r="U223" t="s">
        <v>275</v>
      </c>
      <c r="V223" t="s">
        <v>275</v>
      </c>
    </row>
    <row r="224" spans="1:22">
      <c r="A224">
        <v>222</v>
      </c>
      <c r="B224" t="s">
        <v>732</v>
      </c>
      <c r="C224" t="s">
        <v>733</v>
      </c>
      <c r="D224" t="str">
        <f>IF(VLOOKUP(C224,'Capabilities Overview'!$A$2:$A$587,1)=C224,"","Not in IOE")</f>
        <v/>
      </c>
      <c r="E224" t="s">
        <v>1</v>
      </c>
      <c r="F224" t="s">
        <v>1</v>
      </c>
      <c r="G224" t="s">
        <v>275</v>
      </c>
      <c r="H224" t="s">
        <v>275</v>
      </c>
      <c r="I224" t="s">
        <v>1</v>
      </c>
      <c r="J224" t="s">
        <v>1</v>
      </c>
      <c r="K224" t="s">
        <v>275</v>
      </c>
      <c r="L224" t="s">
        <v>275</v>
      </c>
      <c r="M224" t="s">
        <v>275</v>
      </c>
      <c r="N224" t="s">
        <v>275</v>
      </c>
      <c r="O224" t="s">
        <v>275</v>
      </c>
      <c r="P224" t="s">
        <v>275</v>
      </c>
      <c r="Q224" t="s">
        <v>275</v>
      </c>
      <c r="R224" t="s">
        <v>275</v>
      </c>
      <c r="S224" t="s">
        <v>275</v>
      </c>
      <c r="T224" t="s">
        <v>275</v>
      </c>
      <c r="U224" t="s">
        <v>275</v>
      </c>
      <c r="V224" t="s">
        <v>275</v>
      </c>
    </row>
    <row r="225" spans="1:22">
      <c r="A225">
        <v>223</v>
      </c>
      <c r="B225" t="s">
        <v>734</v>
      </c>
      <c r="C225" t="s">
        <v>735</v>
      </c>
      <c r="D225" t="str">
        <f>IF(VLOOKUP(C225,'Capabilities Overview'!$A$2:$A$587,1)=C225,"","Not in IOE")</f>
        <v/>
      </c>
      <c r="E225" t="s">
        <v>1</v>
      </c>
      <c r="F225" t="s">
        <v>1</v>
      </c>
      <c r="G225" t="s">
        <v>275</v>
      </c>
      <c r="H225" t="s">
        <v>275</v>
      </c>
      <c r="I225" t="s">
        <v>1</v>
      </c>
      <c r="J225" t="s">
        <v>1</v>
      </c>
      <c r="K225" t="s">
        <v>275</v>
      </c>
      <c r="L225" t="s">
        <v>275</v>
      </c>
      <c r="M225" t="s">
        <v>275</v>
      </c>
      <c r="N225" t="s">
        <v>275</v>
      </c>
      <c r="O225" t="s">
        <v>275</v>
      </c>
      <c r="P225" t="s">
        <v>275</v>
      </c>
      <c r="Q225" t="s">
        <v>275</v>
      </c>
      <c r="R225" t="s">
        <v>275</v>
      </c>
      <c r="S225" t="s">
        <v>275</v>
      </c>
      <c r="T225" t="s">
        <v>275</v>
      </c>
      <c r="U225" t="s">
        <v>275</v>
      </c>
      <c r="V225" t="s">
        <v>275</v>
      </c>
    </row>
    <row r="226" spans="1:22">
      <c r="A226">
        <v>224</v>
      </c>
      <c r="B226" t="s">
        <v>736</v>
      </c>
      <c r="C226" t="s">
        <v>737</v>
      </c>
      <c r="D226" t="str">
        <f>IF(VLOOKUP(C226,'Capabilities Overview'!$A$2:$A$587,1)=C226,"","Not in IOE")</f>
        <v/>
      </c>
      <c r="E226" t="s">
        <v>1</v>
      </c>
      <c r="F226" t="s">
        <v>275</v>
      </c>
      <c r="G226" t="s">
        <v>275</v>
      </c>
      <c r="H226" t="s">
        <v>275</v>
      </c>
      <c r="I226" t="s">
        <v>1</v>
      </c>
      <c r="J226" t="s">
        <v>275</v>
      </c>
      <c r="K226" t="s">
        <v>275</v>
      </c>
      <c r="L226" t="s">
        <v>275</v>
      </c>
      <c r="M226" t="s">
        <v>275</v>
      </c>
      <c r="N226" t="s">
        <v>275</v>
      </c>
      <c r="O226" t="s">
        <v>275</v>
      </c>
      <c r="P226" t="s">
        <v>275</v>
      </c>
      <c r="Q226" t="s">
        <v>275</v>
      </c>
      <c r="R226" t="s">
        <v>275</v>
      </c>
      <c r="S226" t="s">
        <v>275</v>
      </c>
      <c r="T226" t="s">
        <v>1</v>
      </c>
      <c r="U226" t="s">
        <v>275</v>
      </c>
      <c r="V226" t="s">
        <v>275</v>
      </c>
    </row>
    <row r="227" spans="1:22">
      <c r="A227">
        <v>225</v>
      </c>
      <c r="B227" t="s">
        <v>738</v>
      </c>
      <c r="C227" t="s">
        <v>739</v>
      </c>
      <c r="D227" t="str">
        <f>IF(VLOOKUP(C227,'Capabilities Overview'!$A$2:$A$587,1)=C227,"","Not in IOE")</f>
        <v/>
      </c>
      <c r="E227" t="s">
        <v>1</v>
      </c>
      <c r="F227" t="s">
        <v>1</v>
      </c>
      <c r="G227" t="s">
        <v>1</v>
      </c>
      <c r="H227" t="s">
        <v>1</v>
      </c>
      <c r="I227" t="s">
        <v>1</v>
      </c>
      <c r="J227" t="s">
        <v>1</v>
      </c>
      <c r="K227" t="s">
        <v>1</v>
      </c>
      <c r="L227" t="s">
        <v>275</v>
      </c>
      <c r="M227" t="s">
        <v>275</v>
      </c>
      <c r="N227" t="s">
        <v>275</v>
      </c>
      <c r="O227" t="s">
        <v>275</v>
      </c>
      <c r="P227" t="s">
        <v>275</v>
      </c>
      <c r="Q227" t="s">
        <v>275</v>
      </c>
      <c r="R227" t="s">
        <v>1</v>
      </c>
      <c r="S227" t="s">
        <v>275</v>
      </c>
      <c r="T227" t="s">
        <v>1</v>
      </c>
      <c r="U227" t="s">
        <v>275</v>
      </c>
      <c r="V227" t="s">
        <v>275</v>
      </c>
    </row>
    <row r="228" spans="1:22">
      <c r="A228">
        <v>226</v>
      </c>
      <c r="B228" t="s">
        <v>740</v>
      </c>
      <c r="C228" t="s">
        <v>741</v>
      </c>
      <c r="D228" t="str">
        <f>IF(VLOOKUP(C228,'Capabilities Overview'!$A$2:$A$587,1)=C228,"","Not in IOE")</f>
        <v/>
      </c>
      <c r="E228" t="s">
        <v>1</v>
      </c>
      <c r="F228" t="s">
        <v>1</v>
      </c>
      <c r="G228" t="s">
        <v>275</v>
      </c>
      <c r="H228" t="s">
        <v>275</v>
      </c>
      <c r="I228" t="s">
        <v>1</v>
      </c>
      <c r="J228" t="s">
        <v>1</v>
      </c>
      <c r="K228" t="s">
        <v>1</v>
      </c>
      <c r="L228" t="s">
        <v>275</v>
      </c>
      <c r="M228" t="s">
        <v>275</v>
      </c>
      <c r="N228" t="s">
        <v>275</v>
      </c>
      <c r="O228" t="s">
        <v>275</v>
      </c>
      <c r="P228" t="s">
        <v>275</v>
      </c>
      <c r="Q228" t="s">
        <v>275</v>
      </c>
      <c r="R228" t="s">
        <v>275</v>
      </c>
      <c r="S228" t="s">
        <v>275</v>
      </c>
      <c r="T228" t="s">
        <v>1</v>
      </c>
      <c r="U228" t="s">
        <v>275</v>
      </c>
      <c r="V228" t="s">
        <v>275</v>
      </c>
    </row>
    <row r="229" spans="1:22">
      <c r="A229">
        <v>227</v>
      </c>
      <c r="B229" t="s">
        <v>742</v>
      </c>
      <c r="C229" t="s">
        <v>743</v>
      </c>
      <c r="D229" t="str">
        <f>IF(VLOOKUP(C229,'Capabilities Overview'!$A$2:$A$587,1)=C229,"","Not in IOE")</f>
        <v/>
      </c>
      <c r="E229" t="s">
        <v>1</v>
      </c>
      <c r="F229" t="s">
        <v>1</v>
      </c>
      <c r="G229" t="s">
        <v>275</v>
      </c>
      <c r="H229" t="s">
        <v>1</v>
      </c>
      <c r="I229" t="s">
        <v>1</v>
      </c>
      <c r="J229" t="s">
        <v>1</v>
      </c>
      <c r="K229" t="s">
        <v>1</v>
      </c>
      <c r="L229" t="s">
        <v>275</v>
      </c>
      <c r="M229" t="s">
        <v>275</v>
      </c>
      <c r="N229" t="s">
        <v>275</v>
      </c>
      <c r="O229" t="s">
        <v>275</v>
      </c>
      <c r="P229" t="s">
        <v>275</v>
      </c>
      <c r="Q229" t="s">
        <v>275</v>
      </c>
      <c r="R229" t="s">
        <v>1</v>
      </c>
      <c r="S229" t="s">
        <v>275</v>
      </c>
      <c r="T229" t="s">
        <v>1</v>
      </c>
      <c r="U229" t="s">
        <v>275</v>
      </c>
      <c r="V229" t="s">
        <v>275</v>
      </c>
    </row>
    <row r="230" spans="1:22">
      <c r="A230">
        <v>228</v>
      </c>
      <c r="B230" t="s">
        <v>354</v>
      </c>
      <c r="C230" t="s">
        <v>744</v>
      </c>
      <c r="D230" t="str">
        <f>IF(VLOOKUP(C230,'Capabilities Overview'!$A$2:$A$587,1)=C230,"","Not in IOE")</f>
        <v/>
      </c>
      <c r="E230" t="s">
        <v>1</v>
      </c>
      <c r="F230" t="s">
        <v>1</v>
      </c>
      <c r="G230" t="s">
        <v>275</v>
      </c>
      <c r="H230" t="s">
        <v>1</v>
      </c>
      <c r="I230" t="s">
        <v>1</v>
      </c>
      <c r="J230" t="s">
        <v>1</v>
      </c>
      <c r="K230" t="s">
        <v>1</v>
      </c>
      <c r="L230" t="s">
        <v>1</v>
      </c>
      <c r="M230" t="s">
        <v>1</v>
      </c>
      <c r="N230" t="s">
        <v>1</v>
      </c>
      <c r="O230" t="s">
        <v>275</v>
      </c>
      <c r="P230" t="s">
        <v>275</v>
      </c>
      <c r="Q230" t="s">
        <v>275</v>
      </c>
      <c r="R230" t="s">
        <v>275</v>
      </c>
      <c r="S230" t="s">
        <v>275</v>
      </c>
      <c r="T230" t="s">
        <v>1</v>
      </c>
      <c r="U230" t="s">
        <v>275</v>
      </c>
      <c r="V230" t="s">
        <v>275</v>
      </c>
    </row>
    <row r="231" spans="1:22">
      <c r="A231">
        <v>229</v>
      </c>
      <c r="B231" t="s">
        <v>745</v>
      </c>
      <c r="C231" t="s">
        <v>746</v>
      </c>
      <c r="D231" t="str">
        <f>IF(VLOOKUP(C231,'Capabilities Overview'!$A$2:$A$587,1)=C231,"","Not in IOE")</f>
        <v/>
      </c>
      <c r="E231" t="s">
        <v>1</v>
      </c>
      <c r="F231" t="s">
        <v>1</v>
      </c>
      <c r="G231" t="s">
        <v>275</v>
      </c>
      <c r="H231" t="s">
        <v>1</v>
      </c>
      <c r="I231" t="s">
        <v>1</v>
      </c>
      <c r="J231" t="s">
        <v>1</v>
      </c>
      <c r="K231" t="s">
        <v>1</v>
      </c>
      <c r="L231" t="s">
        <v>1</v>
      </c>
      <c r="M231" t="s">
        <v>1</v>
      </c>
      <c r="N231" t="s">
        <v>1</v>
      </c>
      <c r="O231" t="s">
        <v>275</v>
      </c>
      <c r="P231" t="s">
        <v>275</v>
      </c>
      <c r="Q231" t="s">
        <v>275</v>
      </c>
      <c r="R231" t="s">
        <v>275</v>
      </c>
      <c r="S231" t="s">
        <v>275</v>
      </c>
      <c r="T231" t="s">
        <v>1</v>
      </c>
      <c r="U231" t="s">
        <v>275</v>
      </c>
      <c r="V231" t="s">
        <v>275</v>
      </c>
    </row>
    <row r="232" spans="1:22">
      <c r="A232">
        <v>230</v>
      </c>
      <c r="B232" t="s">
        <v>747</v>
      </c>
      <c r="C232" t="s">
        <v>748</v>
      </c>
      <c r="D232" t="str">
        <f>IF(VLOOKUP(C232,'Capabilities Overview'!$A$2:$A$587,1)=C232,"","Not in IOE")</f>
        <v/>
      </c>
      <c r="E232" t="s">
        <v>1</v>
      </c>
      <c r="F232" t="s">
        <v>1</v>
      </c>
      <c r="G232" t="s">
        <v>275</v>
      </c>
      <c r="H232" t="s">
        <v>275</v>
      </c>
      <c r="I232" t="s">
        <v>1</v>
      </c>
      <c r="J232" t="s">
        <v>1</v>
      </c>
      <c r="K232" t="s">
        <v>275</v>
      </c>
      <c r="L232" t="s">
        <v>275</v>
      </c>
      <c r="M232" t="s">
        <v>275</v>
      </c>
      <c r="N232" t="s">
        <v>275</v>
      </c>
      <c r="O232" t="s">
        <v>275</v>
      </c>
      <c r="P232" t="s">
        <v>275</v>
      </c>
      <c r="Q232" t="s">
        <v>275</v>
      </c>
      <c r="R232" t="s">
        <v>275</v>
      </c>
      <c r="S232" t="s">
        <v>275</v>
      </c>
      <c r="T232" t="s">
        <v>275</v>
      </c>
      <c r="U232" t="s">
        <v>275</v>
      </c>
      <c r="V232" t="s">
        <v>275</v>
      </c>
    </row>
    <row r="233" spans="1:22">
      <c r="A233">
        <v>231</v>
      </c>
      <c r="B233" t="s">
        <v>749</v>
      </c>
      <c r="C233" t="s">
        <v>750</v>
      </c>
      <c r="D233" t="str">
        <f>IF(VLOOKUP(C233,'Capabilities Overview'!$A$2:$A$587,1)=C233,"","Not in IOE")</f>
        <v/>
      </c>
      <c r="E233" t="s">
        <v>1</v>
      </c>
      <c r="F233" t="s">
        <v>1</v>
      </c>
      <c r="G233" t="s">
        <v>275</v>
      </c>
      <c r="H233" t="s">
        <v>275</v>
      </c>
      <c r="I233" t="s">
        <v>1</v>
      </c>
      <c r="J233" t="s">
        <v>1</v>
      </c>
      <c r="K233" t="s">
        <v>275</v>
      </c>
      <c r="L233" t="s">
        <v>275</v>
      </c>
      <c r="M233" t="s">
        <v>275</v>
      </c>
      <c r="N233" t="s">
        <v>275</v>
      </c>
      <c r="O233" t="s">
        <v>275</v>
      </c>
      <c r="P233" t="s">
        <v>275</v>
      </c>
      <c r="Q233" t="s">
        <v>275</v>
      </c>
      <c r="R233" t="s">
        <v>275</v>
      </c>
      <c r="S233" t="s">
        <v>275</v>
      </c>
      <c r="T233" t="s">
        <v>275</v>
      </c>
      <c r="U233" t="s">
        <v>275</v>
      </c>
      <c r="V233" t="s">
        <v>275</v>
      </c>
    </row>
    <row r="234" spans="1:22">
      <c r="A234">
        <v>232</v>
      </c>
      <c r="B234" t="s">
        <v>751</v>
      </c>
      <c r="C234" t="s">
        <v>752</v>
      </c>
      <c r="D234" t="str">
        <f>IF(VLOOKUP(C234,'Capabilities Overview'!$A$2:$A$587,1)=C234,"","Not in IOE")</f>
        <v/>
      </c>
      <c r="E234" t="s">
        <v>1</v>
      </c>
      <c r="F234" t="s">
        <v>1</v>
      </c>
      <c r="G234" t="s">
        <v>275</v>
      </c>
      <c r="H234" t="s">
        <v>41</v>
      </c>
      <c r="I234" t="s">
        <v>1</v>
      </c>
      <c r="J234" t="s">
        <v>1</v>
      </c>
      <c r="K234" t="s">
        <v>275</v>
      </c>
      <c r="L234" t="s">
        <v>275</v>
      </c>
      <c r="M234" t="s">
        <v>275</v>
      </c>
      <c r="N234" t="s">
        <v>275</v>
      </c>
      <c r="O234" t="s">
        <v>275</v>
      </c>
      <c r="P234" t="s">
        <v>275</v>
      </c>
      <c r="Q234" t="s">
        <v>275</v>
      </c>
      <c r="R234" t="s">
        <v>275</v>
      </c>
      <c r="S234" t="s">
        <v>275</v>
      </c>
      <c r="T234" t="s">
        <v>275</v>
      </c>
      <c r="U234" t="s">
        <v>275</v>
      </c>
      <c r="V234" t="s">
        <v>275</v>
      </c>
    </row>
    <row r="235" spans="1:22">
      <c r="A235">
        <v>233</v>
      </c>
      <c r="B235" t="s">
        <v>753</v>
      </c>
      <c r="C235" t="s">
        <v>754</v>
      </c>
      <c r="D235" t="str">
        <f>IF(VLOOKUP(C235,'Capabilities Overview'!$A$2:$A$587,1)=C235,"","Not in IOE")</f>
        <v/>
      </c>
      <c r="E235" t="s">
        <v>1</v>
      </c>
      <c r="F235" t="s">
        <v>1</v>
      </c>
      <c r="G235" t="s">
        <v>275</v>
      </c>
      <c r="H235" t="s">
        <v>275</v>
      </c>
      <c r="I235" t="s">
        <v>1</v>
      </c>
      <c r="J235" t="s">
        <v>1</v>
      </c>
      <c r="K235" t="s">
        <v>275</v>
      </c>
      <c r="L235" t="s">
        <v>275</v>
      </c>
      <c r="M235" t="s">
        <v>275</v>
      </c>
      <c r="N235" t="s">
        <v>275</v>
      </c>
      <c r="O235" t="s">
        <v>275</v>
      </c>
      <c r="P235" t="s">
        <v>275</v>
      </c>
      <c r="Q235" t="s">
        <v>275</v>
      </c>
      <c r="R235" t="s">
        <v>275</v>
      </c>
      <c r="S235" t="s">
        <v>275</v>
      </c>
      <c r="T235" t="s">
        <v>275</v>
      </c>
      <c r="U235" t="s">
        <v>275</v>
      </c>
      <c r="V235" t="s">
        <v>275</v>
      </c>
    </row>
    <row r="236" spans="1:22">
      <c r="A236">
        <v>234</v>
      </c>
      <c r="B236" t="s">
        <v>755</v>
      </c>
      <c r="C236" t="s">
        <v>756</v>
      </c>
      <c r="D236" t="str">
        <f>IF(VLOOKUP(C236,'Capabilities Overview'!$A$2:$A$587,1)=C236,"","Not in IOE")</f>
        <v/>
      </c>
      <c r="E236" t="s">
        <v>1</v>
      </c>
      <c r="F236" t="s">
        <v>1</v>
      </c>
      <c r="G236" t="s">
        <v>275</v>
      </c>
      <c r="H236" t="s">
        <v>41</v>
      </c>
      <c r="I236" t="s">
        <v>1</v>
      </c>
      <c r="J236" t="s">
        <v>1</v>
      </c>
      <c r="K236" t="s">
        <v>275</v>
      </c>
      <c r="L236" t="s">
        <v>275</v>
      </c>
      <c r="M236" t="s">
        <v>275</v>
      </c>
      <c r="N236" t="s">
        <v>275</v>
      </c>
      <c r="O236" t="s">
        <v>275</v>
      </c>
      <c r="P236" t="s">
        <v>275</v>
      </c>
      <c r="Q236" t="s">
        <v>275</v>
      </c>
      <c r="R236" t="s">
        <v>275</v>
      </c>
      <c r="S236" t="s">
        <v>275</v>
      </c>
      <c r="T236" t="s">
        <v>275</v>
      </c>
      <c r="U236" t="s">
        <v>275</v>
      </c>
      <c r="V236" t="s">
        <v>275</v>
      </c>
    </row>
    <row r="237" spans="1:22">
      <c r="A237">
        <v>235</v>
      </c>
      <c r="B237" t="s">
        <v>757</v>
      </c>
      <c r="C237" t="s">
        <v>758</v>
      </c>
      <c r="D237" t="str">
        <f>IF(VLOOKUP(C237,'Capabilities Overview'!$A$2:$A$587,1)=C237,"","Not in IOE")</f>
        <v/>
      </c>
      <c r="E237" t="s">
        <v>1</v>
      </c>
      <c r="F237" t="s">
        <v>1</v>
      </c>
      <c r="G237" t="s">
        <v>275</v>
      </c>
      <c r="H237" t="s">
        <v>275</v>
      </c>
      <c r="I237" t="s">
        <v>1</v>
      </c>
      <c r="J237" t="s">
        <v>1</v>
      </c>
      <c r="K237" t="s">
        <v>275</v>
      </c>
      <c r="L237" t="s">
        <v>275</v>
      </c>
      <c r="M237" t="s">
        <v>275</v>
      </c>
      <c r="N237" t="s">
        <v>275</v>
      </c>
      <c r="O237" t="s">
        <v>275</v>
      </c>
      <c r="P237" t="s">
        <v>275</v>
      </c>
      <c r="Q237" t="s">
        <v>275</v>
      </c>
      <c r="R237" t="s">
        <v>275</v>
      </c>
      <c r="S237" t="s">
        <v>275</v>
      </c>
      <c r="T237" t="s">
        <v>275</v>
      </c>
      <c r="U237" t="s">
        <v>275</v>
      </c>
      <c r="V237" t="s">
        <v>275</v>
      </c>
    </row>
    <row r="238" spans="1:22">
      <c r="A238">
        <v>236</v>
      </c>
      <c r="B238" t="s">
        <v>759</v>
      </c>
      <c r="C238" t="s">
        <v>760</v>
      </c>
      <c r="D238" t="str">
        <f>IF(VLOOKUP(C238,'Capabilities Overview'!$A$2:$A$587,1)=C238,"","Not in IOE")</f>
        <v/>
      </c>
      <c r="E238" t="s">
        <v>1</v>
      </c>
      <c r="F238" t="s">
        <v>1</v>
      </c>
      <c r="G238" t="s">
        <v>275</v>
      </c>
      <c r="H238" t="s">
        <v>41</v>
      </c>
      <c r="I238" t="s">
        <v>1</v>
      </c>
      <c r="J238" t="s">
        <v>1</v>
      </c>
      <c r="K238" t="s">
        <v>275</v>
      </c>
      <c r="L238" t="s">
        <v>275</v>
      </c>
      <c r="M238" t="s">
        <v>275</v>
      </c>
      <c r="N238" t="s">
        <v>275</v>
      </c>
      <c r="O238" t="s">
        <v>275</v>
      </c>
      <c r="P238" t="s">
        <v>275</v>
      </c>
      <c r="Q238" t="s">
        <v>275</v>
      </c>
      <c r="R238" t="s">
        <v>275</v>
      </c>
      <c r="S238" t="s">
        <v>275</v>
      </c>
      <c r="T238" t="s">
        <v>275</v>
      </c>
      <c r="U238" t="s">
        <v>275</v>
      </c>
      <c r="V238" t="s">
        <v>275</v>
      </c>
    </row>
    <row r="239" spans="1:22">
      <c r="A239">
        <v>237</v>
      </c>
      <c r="B239" t="s">
        <v>761</v>
      </c>
      <c r="C239" t="s">
        <v>762</v>
      </c>
      <c r="D239" t="str">
        <f>IF(VLOOKUP(C239,'Capabilities Overview'!$A$2:$A$587,1)=C239,"","Not in IOE")</f>
        <v/>
      </c>
      <c r="E239" t="s">
        <v>1</v>
      </c>
      <c r="F239" t="s">
        <v>1</v>
      </c>
      <c r="G239" t="s">
        <v>275</v>
      </c>
      <c r="H239" t="s">
        <v>41</v>
      </c>
      <c r="I239" t="s">
        <v>1</v>
      </c>
      <c r="J239" t="s">
        <v>1</v>
      </c>
      <c r="K239" t="s">
        <v>275</v>
      </c>
      <c r="L239" t="s">
        <v>275</v>
      </c>
      <c r="M239" t="s">
        <v>275</v>
      </c>
      <c r="N239" t="s">
        <v>275</v>
      </c>
      <c r="O239" t="s">
        <v>275</v>
      </c>
      <c r="P239" t="s">
        <v>275</v>
      </c>
      <c r="Q239" t="s">
        <v>275</v>
      </c>
      <c r="R239" t="s">
        <v>275</v>
      </c>
      <c r="S239" t="s">
        <v>275</v>
      </c>
      <c r="T239" t="s">
        <v>275</v>
      </c>
      <c r="U239" t="s">
        <v>275</v>
      </c>
      <c r="V239" t="s">
        <v>275</v>
      </c>
    </row>
    <row r="240" spans="1:22">
      <c r="A240">
        <v>238</v>
      </c>
      <c r="B240" t="s">
        <v>763</v>
      </c>
      <c r="C240" t="s">
        <v>764</v>
      </c>
      <c r="D240" t="str">
        <f>IF(VLOOKUP(C240,'Capabilities Overview'!$A$2:$A$587,1)=C240,"","Not in IOE")</f>
        <v/>
      </c>
      <c r="E240" t="s">
        <v>1</v>
      </c>
      <c r="F240" t="s">
        <v>1</v>
      </c>
      <c r="G240" t="s">
        <v>275</v>
      </c>
      <c r="H240" t="s">
        <v>275</v>
      </c>
      <c r="I240" t="s">
        <v>1</v>
      </c>
      <c r="J240" t="s">
        <v>1</v>
      </c>
      <c r="K240" t="s">
        <v>275</v>
      </c>
      <c r="L240" t="s">
        <v>275</v>
      </c>
      <c r="M240" t="s">
        <v>275</v>
      </c>
      <c r="N240" t="s">
        <v>275</v>
      </c>
      <c r="O240" t="s">
        <v>275</v>
      </c>
      <c r="P240" t="s">
        <v>275</v>
      </c>
      <c r="Q240" t="s">
        <v>275</v>
      </c>
      <c r="R240" t="s">
        <v>275</v>
      </c>
      <c r="S240" t="s">
        <v>275</v>
      </c>
      <c r="T240" t="s">
        <v>275</v>
      </c>
      <c r="U240" t="s">
        <v>275</v>
      </c>
      <c r="V240" t="s">
        <v>275</v>
      </c>
    </row>
    <row r="241" spans="1:22">
      <c r="A241">
        <v>239</v>
      </c>
      <c r="B241" t="s">
        <v>765</v>
      </c>
      <c r="C241" t="s">
        <v>766</v>
      </c>
      <c r="D241" t="str">
        <f>IF(VLOOKUP(C241,'Capabilities Overview'!$A$2:$A$587,1)=C241,"","Not in IOE")</f>
        <v/>
      </c>
      <c r="E241" t="s">
        <v>1</v>
      </c>
      <c r="F241" t="s">
        <v>1</v>
      </c>
      <c r="G241" t="s">
        <v>275</v>
      </c>
      <c r="H241" t="s">
        <v>41</v>
      </c>
      <c r="I241" t="s">
        <v>1</v>
      </c>
      <c r="J241" t="s">
        <v>1</v>
      </c>
      <c r="K241" t="s">
        <v>275</v>
      </c>
      <c r="L241" t="s">
        <v>275</v>
      </c>
      <c r="M241" t="s">
        <v>275</v>
      </c>
      <c r="N241" t="s">
        <v>275</v>
      </c>
      <c r="O241" t="s">
        <v>275</v>
      </c>
      <c r="P241" t="s">
        <v>275</v>
      </c>
      <c r="Q241" t="s">
        <v>275</v>
      </c>
      <c r="R241" t="s">
        <v>275</v>
      </c>
      <c r="S241" t="s">
        <v>275</v>
      </c>
      <c r="T241" t="s">
        <v>275</v>
      </c>
      <c r="U241" t="s">
        <v>275</v>
      </c>
      <c r="V241" t="s">
        <v>275</v>
      </c>
    </row>
    <row r="242" spans="1:22">
      <c r="A242">
        <v>240</v>
      </c>
      <c r="B242" t="s">
        <v>767</v>
      </c>
      <c r="C242" t="s">
        <v>768</v>
      </c>
      <c r="D242" t="str">
        <f>IF(VLOOKUP(C242,'Capabilities Overview'!$A$2:$A$587,1)=C242,"","Not in IOE")</f>
        <v/>
      </c>
      <c r="E242" t="s">
        <v>1</v>
      </c>
      <c r="F242" t="s">
        <v>1</v>
      </c>
      <c r="G242" t="s">
        <v>275</v>
      </c>
      <c r="H242" t="s">
        <v>41</v>
      </c>
      <c r="I242" t="s">
        <v>1</v>
      </c>
      <c r="J242" t="s">
        <v>1</v>
      </c>
      <c r="K242" t="s">
        <v>275</v>
      </c>
      <c r="L242" t="s">
        <v>275</v>
      </c>
      <c r="M242" t="s">
        <v>275</v>
      </c>
      <c r="N242" t="s">
        <v>275</v>
      </c>
      <c r="O242" t="s">
        <v>275</v>
      </c>
      <c r="P242" t="s">
        <v>275</v>
      </c>
      <c r="Q242" t="s">
        <v>275</v>
      </c>
      <c r="R242" t="s">
        <v>275</v>
      </c>
      <c r="S242" t="s">
        <v>275</v>
      </c>
      <c r="T242" t="s">
        <v>275</v>
      </c>
      <c r="U242" t="s">
        <v>275</v>
      </c>
      <c r="V242" t="s">
        <v>275</v>
      </c>
    </row>
    <row r="243" spans="1:22">
      <c r="A243">
        <v>241</v>
      </c>
      <c r="B243" t="s">
        <v>769</v>
      </c>
      <c r="C243" t="s">
        <v>770</v>
      </c>
      <c r="D243" t="str">
        <f>IF(VLOOKUP(C243,'Capabilities Overview'!$A$2:$A$587,1)=C243,"","Not in IOE")</f>
        <v/>
      </c>
      <c r="E243" t="s">
        <v>1</v>
      </c>
      <c r="F243" t="s">
        <v>1</v>
      </c>
      <c r="G243" t="s">
        <v>275</v>
      </c>
      <c r="H243" t="s">
        <v>41</v>
      </c>
      <c r="I243" t="s">
        <v>1</v>
      </c>
      <c r="J243" t="s">
        <v>1</v>
      </c>
      <c r="K243" t="s">
        <v>275</v>
      </c>
      <c r="L243" t="s">
        <v>275</v>
      </c>
      <c r="M243" t="s">
        <v>275</v>
      </c>
      <c r="N243" t="s">
        <v>275</v>
      </c>
      <c r="O243" t="s">
        <v>275</v>
      </c>
      <c r="P243" t="s">
        <v>275</v>
      </c>
      <c r="Q243" t="s">
        <v>275</v>
      </c>
      <c r="R243" t="s">
        <v>275</v>
      </c>
      <c r="S243" t="s">
        <v>275</v>
      </c>
      <c r="T243" t="s">
        <v>275</v>
      </c>
      <c r="U243" t="s">
        <v>275</v>
      </c>
      <c r="V243" t="s">
        <v>275</v>
      </c>
    </row>
    <row r="244" spans="1:22">
      <c r="A244">
        <v>242</v>
      </c>
      <c r="B244" t="s">
        <v>771</v>
      </c>
      <c r="C244" t="s">
        <v>772</v>
      </c>
      <c r="D244" t="str">
        <f>IF(VLOOKUP(C244,'Capabilities Overview'!$A$2:$A$587,1)=C244,"","Not in IOE")</f>
        <v/>
      </c>
      <c r="E244" t="s">
        <v>1</v>
      </c>
      <c r="F244" t="s">
        <v>275</v>
      </c>
      <c r="G244" t="s">
        <v>275</v>
      </c>
      <c r="H244" t="s">
        <v>275</v>
      </c>
      <c r="I244" t="s">
        <v>275</v>
      </c>
      <c r="J244" t="s">
        <v>275</v>
      </c>
      <c r="K244" t="s">
        <v>275</v>
      </c>
      <c r="L244" t="s">
        <v>1</v>
      </c>
      <c r="M244" t="s">
        <v>1</v>
      </c>
      <c r="N244" t="s">
        <v>1</v>
      </c>
      <c r="O244" t="s">
        <v>275</v>
      </c>
      <c r="P244" t="s">
        <v>275</v>
      </c>
      <c r="Q244" t="s">
        <v>275</v>
      </c>
      <c r="R244" t="s">
        <v>275</v>
      </c>
      <c r="S244" t="s">
        <v>275</v>
      </c>
      <c r="T244" t="s">
        <v>275</v>
      </c>
      <c r="U244" t="s">
        <v>275</v>
      </c>
      <c r="V244" t="s">
        <v>275</v>
      </c>
    </row>
    <row r="245" spans="1:22">
      <c r="A245">
        <v>243</v>
      </c>
      <c r="B245" t="s">
        <v>773</v>
      </c>
      <c r="C245" t="s">
        <v>774</v>
      </c>
      <c r="D245" t="str">
        <f>IF(VLOOKUP(C245,'Capabilities Overview'!$A$2:$A$587,1)=C245,"","Not in IOE")</f>
        <v/>
      </c>
      <c r="E245" t="s">
        <v>1</v>
      </c>
      <c r="F245" t="s">
        <v>1</v>
      </c>
      <c r="G245" t="s">
        <v>275</v>
      </c>
      <c r="H245" t="s">
        <v>1</v>
      </c>
      <c r="I245" t="s">
        <v>1</v>
      </c>
      <c r="J245" t="s">
        <v>1</v>
      </c>
      <c r="K245" t="s">
        <v>1</v>
      </c>
      <c r="L245" t="s">
        <v>275</v>
      </c>
      <c r="M245" t="s">
        <v>275</v>
      </c>
      <c r="N245" t="s">
        <v>275</v>
      </c>
      <c r="O245" t="s">
        <v>275</v>
      </c>
      <c r="P245" t="s">
        <v>275</v>
      </c>
      <c r="Q245" t="s">
        <v>275</v>
      </c>
      <c r="R245" t="s">
        <v>275</v>
      </c>
      <c r="S245" t="s">
        <v>275</v>
      </c>
      <c r="T245" t="s">
        <v>1</v>
      </c>
      <c r="U245" t="s">
        <v>275</v>
      </c>
      <c r="V245" t="s">
        <v>275</v>
      </c>
    </row>
    <row r="246" spans="1:22">
      <c r="A246">
        <v>244</v>
      </c>
      <c r="B246" t="s">
        <v>775</v>
      </c>
      <c r="C246" t="s">
        <v>776</v>
      </c>
      <c r="D246" t="str">
        <f>IF(VLOOKUP(C246,'Capabilities Overview'!$A$2:$A$587,1)=C246,"","Not in IOE")</f>
        <v/>
      </c>
      <c r="E246" t="s">
        <v>1</v>
      </c>
      <c r="F246" t="s">
        <v>1</v>
      </c>
      <c r="G246" t="s">
        <v>275</v>
      </c>
      <c r="H246" t="s">
        <v>1</v>
      </c>
      <c r="I246" t="s">
        <v>1</v>
      </c>
      <c r="J246" t="s">
        <v>1</v>
      </c>
      <c r="K246" t="s">
        <v>1</v>
      </c>
      <c r="L246" t="s">
        <v>275</v>
      </c>
      <c r="M246" t="s">
        <v>275</v>
      </c>
      <c r="N246" t="s">
        <v>275</v>
      </c>
      <c r="O246" t="s">
        <v>275</v>
      </c>
      <c r="P246" t="s">
        <v>275</v>
      </c>
      <c r="Q246" t="s">
        <v>275</v>
      </c>
      <c r="R246" t="s">
        <v>275</v>
      </c>
      <c r="S246" t="s">
        <v>275</v>
      </c>
      <c r="T246" t="s">
        <v>1</v>
      </c>
      <c r="U246" t="s">
        <v>275</v>
      </c>
      <c r="V246" t="s">
        <v>275</v>
      </c>
    </row>
    <row r="247" spans="1:22">
      <c r="A247">
        <v>245</v>
      </c>
      <c r="B247" t="s">
        <v>777</v>
      </c>
      <c r="C247" t="s">
        <v>778</v>
      </c>
      <c r="D247" t="str">
        <f>IF(VLOOKUP(C247,'Capabilities Overview'!$A$2:$A$587,1)=C247,"","Not in IOE")</f>
        <v/>
      </c>
      <c r="E247" t="s">
        <v>1</v>
      </c>
      <c r="F247" t="s">
        <v>1</v>
      </c>
      <c r="G247" t="s">
        <v>275</v>
      </c>
      <c r="H247" t="s">
        <v>1</v>
      </c>
      <c r="I247" t="s">
        <v>1</v>
      </c>
      <c r="J247" t="s">
        <v>1</v>
      </c>
      <c r="K247" t="s">
        <v>1</v>
      </c>
      <c r="L247" t="s">
        <v>275</v>
      </c>
      <c r="M247" t="s">
        <v>275</v>
      </c>
      <c r="N247" t="s">
        <v>275</v>
      </c>
      <c r="O247" t="s">
        <v>275</v>
      </c>
      <c r="P247" t="s">
        <v>275</v>
      </c>
      <c r="Q247" t="s">
        <v>275</v>
      </c>
      <c r="R247" t="s">
        <v>275</v>
      </c>
      <c r="S247" t="s">
        <v>275</v>
      </c>
      <c r="T247" t="s">
        <v>1</v>
      </c>
      <c r="U247" t="s">
        <v>275</v>
      </c>
      <c r="V247" t="s">
        <v>275</v>
      </c>
    </row>
    <row r="248" spans="1:22">
      <c r="A248">
        <v>246</v>
      </c>
      <c r="B248" t="s">
        <v>779</v>
      </c>
      <c r="C248" t="s">
        <v>780</v>
      </c>
      <c r="D248" t="str">
        <f>IF(VLOOKUP(C248,'Capabilities Overview'!$A$2:$A$587,1)=C248,"","Not in IOE")</f>
        <v/>
      </c>
      <c r="E248" t="s">
        <v>1</v>
      </c>
      <c r="F248" t="s">
        <v>1</v>
      </c>
      <c r="G248" t="s">
        <v>275</v>
      </c>
      <c r="H248" t="s">
        <v>1</v>
      </c>
      <c r="I248" t="s">
        <v>1</v>
      </c>
      <c r="J248" t="s">
        <v>1</v>
      </c>
      <c r="K248" t="s">
        <v>1</v>
      </c>
      <c r="L248" t="s">
        <v>275</v>
      </c>
      <c r="M248" t="s">
        <v>275</v>
      </c>
      <c r="N248" t="s">
        <v>275</v>
      </c>
      <c r="O248" t="s">
        <v>275</v>
      </c>
      <c r="P248" t="s">
        <v>275</v>
      </c>
      <c r="Q248" t="s">
        <v>275</v>
      </c>
      <c r="R248" t="s">
        <v>275</v>
      </c>
      <c r="S248" t="s">
        <v>275</v>
      </c>
      <c r="T248" t="s">
        <v>1</v>
      </c>
      <c r="U248" t="s">
        <v>275</v>
      </c>
      <c r="V248" t="s">
        <v>275</v>
      </c>
    </row>
    <row r="249" spans="1:22">
      <c r="A249">
        <v>247</v>
      </c>
      <c r="B249" t="s">
        <v>781</v>
      </c>
      <c r="C249" t="s">
        <v>782</v>
      </c>
      <c r="D249" t="str">
        <f>IF(VLOOKUP(C249,'Capabilities Overview'!$A$2:$A$587,1)=C249,"","Not in IOE")</f>
        <v/>
      </c>
      <c r="E249" t="s">
        <v>1</v>
      </c>
      <c r="F249" t="s">
        <v>1</v>
      </c>
      <c r="G249" t="s">
        <v>1</v>
      </c>
      <c r="H249" t="s">
        <v>275</v>
      </c>
      <c r="I249" t="s">
        <v>1</v>
      </c>
      <c r="J249" t="s">
        <v>1</v>
      </c>
      <c r="K249" t="s">
        <v>275</v>
      </c>
      <c r="L249" t="s">
        <v>275</v>
      </c>
      <c r="M249" t="s">
        <v>275</v>
      </c>
      <c r="N249" t="s">
        <v>275</v>
      </c>
      <c r="O249" t="s">
        <v>275</v>
      </c>
      <c r="P249" t="s">
        <v>275</v>
      </c>
      <c r="Q249" t="s">
        <v>275</v>
      </c>
      <c r="R249" t="s">
        <v>275</v>
      </c>
      <c r="S249" t="s">
        <v>1</v>
      </c>
      <c r="T249" t="s">
        <v>275</v>
      </c>
      <c r="U249" t="s">
        <v>275</v>
      </c>
      <c r="V249" t="s">
        <v>275</v>
      </c>
    </row>
    <row r="250" spans="1:22">
      <c r="A250">
        <v>248</v>
      </c>
      <c r="B250" t="s">
        <v>783</v>
      </c>
      <c r="C250" t="s">
        <v>784</v>
      </c>
      <c r="D250" t="str">
        <f>IF(VLOOKUP(C250,'Capabilities Overview'!$A$2:$A$587,1)=C250,"","Not in IOE")</f>
        <v/>
      </c>
      <c r="E250" t="s">
        <v>1</v>
      </c>
      <c r="F250" t="s">
        <v>1</v>
      </c>
      <c r="G250" t="s">
        <v>1</v>
      </c>
      <c r="H250" t="s">
        <v>275</v>
      </c>
      <c r="I250" t="s">
        <v>1</v>
      </c>
      <c r="J250" t="s">
        <v>1</v>
      </c>
      <c r="K250" t="s">
        <v>275</v>
      </c>
      <c r="L250" t="s">
        <v>275</v>
      </c>
      <c r="M250" t="s">
        <v>275</v>
      </c>
      <c r="N250" t="s">
        <v>275</v>
      </c>
      <c r="O250" t="s">
        <v>275</v>
      </c>
      <c r="P250" t="s">
        <v>275</v>
      </c>
      <c r="Q250" t="s">
        <v>275</v>
      </c>
      <c r="R250" t="s">
        <v>275</v>
      </c>
      <c r="S250" t="s">
        <v>1</v>
      </c>
      <c r="T250" t="s">
        <v>275</v>
      </c>
      <c r="U250" t="s">
        <v>275</v>
      </c>
      <c r="V250" t="s">
        <v>275</v>
      </c>
    </row>
    <row r="251" spans="1:22">
      <c r="A251">
        <v>249</v>
      </c>
      <c r="B251" t="s">
        <v>785</v>
      </c>
      <c r="C251" t="s">
        <v>786</v>
      </c>
      <c r="D251" t="str">
        <f>IF(VLOOKUP(C251,'Capabilities Overview'!$A$2:$A$587,1)=C251,"","Not in IOE")</f>
        <v/>
      </c>
      <c r="E251" t="s">
        <v>1</v>
      </c>
      <c r="F251" t="s">
        <v>1</v>
      </c>
      <c r="G251" t="s">
        <v>1</v>
      </c>
      <c r="H251" t="s">
        <v>275</v>
      </c>
      <c r="I251" t="s">
        <v>1</v>
      </c>
      <c r="J251" t="s">
        <v>1</v>
      </c>
      <c r="K251" t="s">
        <v>275</v>
      </c>
      <c r="L251" t="s">
        <v>275</v>
      </c>
      <c r="M251" t="s">
        <v>275</v>
      </c>
      <c r="N251" t="s">
        <v>275</v>
      </c>
      <c r="O251" t="s">
        <v>275</v>
      </c>
      <c r="P251" t="s">
        <v>275</v>
      </c>
      <c r="Q251" t="s">
        <v>275</v>
      </c>
      <c r="R251" t="s">
        <v>275</v>
      </c>
      <c r="S251" t="s">
        <v>275</v>
      </c>
      <c r="T251" t="s">
        <v>275</v>
      </c>
      <c r="U251" t="s">
        <v>275</v>
      </c>
      <c r="V251" t="s">
        <v>275</v>
      </c>
    </row>
    <row r="252" spans="1:22">
      <c r="A252">
        <v>250</v>
      </c>
      <c r="B252" t="s">
        <v>787</v>
      </c>
      <c r="C252" t="s">
        <v>788</v>
      </c>
      <c r="D252" t="str">
        <f>IF(VLOOKUP(C252,'Capabilities Overview'!$A$2:$A$587,1)=C252,"","Not in IOE")</f>
        <v/>
      </c>
      <c r="E252" t="s">
        <v>1</v>
      </c>
      <c r="F252" t="s">
        <v>1</v>
      </c>
      <c r="G252" t="s">
        <v>275</v>
      </c>
      <c r="H252" t="s">
        <v>1</v>
      </c>
      <c r="I252" t="s">
        <v>1</v>
      </c>
      <c r="J252" t="s">
        <v>1</v>
      </c>
      <c r="K252" t="s">
        <v>1</v>
      </c>
      <c r="L252" t="s">
        <v>1</v>
      </c>
      <c r="M252" t="s">
        <v>1</v>
      </c>
      <c r="N252" t="s">
        <v>1</v>
      </c>
      <c r="O252" t="s">
        <v>275</v>
      </c>
      <c r="P252" t="s">
        <v>275</v>
      </c>
      <c r="Q252" t="s">
        <v>275</v>
      </c>
      <c r="R252" t="s">
        <v>275</v>
      </c>
      <c r="S252" t="s">
        <v>275</v>
      </c>
      <c r="T252" t="s">
        <v>1</v>
      </c>
      <c r="U252" t="s">
        <v>275</v>
      </c>
      <c r="V252" t="s">
        <v>275</v>
      </c>
    </row>
    <row r="253" spans="1:22">
      <c r="A253">
        <v>251</v>
      </c>
      <c r="B253" t="s">
        <v>789</v>
      </c>
      <c r="C253" t="s">
        <v>790</v>
      </c>
      <c r="D253" t="str">
        <f>IF(VLOOKUP(C253,'Capabilities Overview'!$A$2:$A$587,1)=C253,"","Not in IOE")</f>
        <v/>
      </c>
      <c r="E253" t="s">
        <v>1</v>
      </c>
      <c r="F253" t="s">
        <v>1</v>
      </c>
      <c r="G253" t="s">
        <v>275</v>
      </c>
      <c r="H253" t="s">
        <v>275</v>
      </c>
      <c r="I253" t="s">
        <v>1</v>
      </c>
      <c r="J253" t="s">
        <v>1</v>
      </c>
      <c r="K253" t="s">
        <v>275</v>
      </c>
      <c r="L253" t="s">
        <v>275</v>
      </c>
      <c r="M253" t="s">
        <v>275</v>
      </c>
      <c r="N253" t="s">
        <v>275</v>
      </c>
      <c r="O253" t="s">
        <v>275</v>
      </c>
      <c r="P253" t="s">
        <v>275</v>
      </c>
      <c r="Q253" t="s">
        <v>275</v>
      </c>
      <c r="R253" t="s">
        <v>275</v>
      </c>
      <c r="S253" t="s">
        <v>1</v>
      </c>
      <c r="T253" t="s">
        <v>275</v>
      </c>
      <c r="U253" t="s">
        <v>275</v>
      </c>
      <c r="V253" t="s">
        <v>275</v>
      </c>
    </row>
    <row r="254" spans="1:22">
      <c r="A254">
        <v>252</v>
      </c>
      <c r="B254" t="s">
        <v>791</v>
      </c>
      <c r="C254" t="s">
        <v>792</v>
      </c>
      <c r="D254" t="str">
        <f>IF(VLOOKUP(C254,'Capabilities Overview'!$A$2:$A$587,1)=C254,"","Not in IOE")</f>
        <v/>
      </c>
      <c r="E254" t="s">
        <v>1</v>
      </c>
      <c r="F254" t="s">
        <v>1</v>
      </c>
      <c r="G254" t="s">
        <v>1</v>
      </c>
      <c r="H254" t="s">
        <v>275</v>
      </c>
      <c r="I254" t="s">
        <v>1</v>
      </c>
      <c r="J254" t="s">
        <v>1</v>
      </c>
      <c r="K254" t="s">
        <v>275</v>
      </c>
      <c r="L254" t="s">
        <v>275</v>
      </c>
      <c r="M254" t="s">
        <v>275</v>
      </c>
      <c r="N254" t="s">
        <v>275</v>
      </c>
      <c r="O254" t="s">
        <v>275</v>
      </c>
      <c r="P254" t="s">
        <v>275</v>
      </c>
      <c r="Q254" t="s">
        <v>275</v>
      </c>
      <c r="R254" t="s">
        <v>275</v>
      </c>
      <c r="S254" t="s">
        <v>1</v>
      </c>
      <c r="T254" t="s">
        <v>275</v>
      </c>
      <c r="U254" t="s">
        <v>275</v>
      </c>
      <c r="V254" t="s">
        <v>275</v>
      </c>
    </row>
    <row r="255" spans="1:22">
      <c r="A255">
        <v>253</v>
      </c>
      <c r="B255" t="s">
        <v>793</v>
      </c>
      <c r="C255" t="s">
        <v>794</v>
      </c>
      <c r="D255" t="str">
        <f>IF(VLOOKUP(C255,'Capabilities Overview'!$A$2:$A$587,1)=C255,"","Not in IOE")</f>
        <v/>
      </c>
      <c r="E255" t="s">
        <v>1</v>
      </c>
      <c r="F255" t="s">
        <v>1</v>
      </c>
      <c r="G255" t="s">
        <v>1</v>
      </c>
      <c r="H255" t="s">
        <v>275</v>
      </c>
      <c r="I255" t="s">
        <v>1</v>
      </c>
      <c r="J255" t="s">
        <v>1</v>
      </c>
      <c r="K255" t="s">
        <v>275</v>
      </c>
      <c r="L255" t="s">
        <v>275</v>
      </c>
      <c r="M255" t="s">
        <v>275</v>
      </c>
      <c r="N255" t="s">
        <v>275</v>
      </c>
      <c r="O255" t="s">
        <v>275</v>
      </c>
      <c r="P255" t="s">
        <v>275</v>
      </c>
      <c r="Q255" t="s">
        <v>275</v>
      </c>
      <c r="R255" t="s">
        <v>275</v>
      </c>
      <c r="S255" t="s">
        <v>275</v>
      </c>
      <c r="T255" t="s">
        <v>275</v>
      </c>
      <c r="U255" t="s">
        <v>275</v>
      </c>
      <c r="V255" t="s">
        <v>275</v>
      </c>
    </row>
    <row r="256" spans="1:22">
      <c r="A256">
        <v>254</v>
      </c>
      <c r="B256" t="s">
        <v>795</v>
      </c>
      <c r="C256" t="s">
        <v>796</v>
      </c>
      <c r="D256" t="str">
        <f>IF(VLOOKUP(C256,'Capabilities Overview'!$A$2:$A$587,1)=C256,"","Not in IOE")</f>
        <v/>
      </c>
      <c r="E256" t="s">
        <v>1</v>
      </c>
      <c r="F256" t="s">
        <v>1</v>
      </c>
      <c r="G256" t="s">
        <v>1</v>
      </c>
      <c r="H256" t="s">
        <v>275</v>
      </c>
      <c r="I256" t="s">
        <v>1</v>
      </c>
      <c r="J256" t="s">
        <v>1</v>
      </c>
      <c r="K256" t="s">
        <v>275</v>
      </c>
      <c r="L256" t="s">
        <v>275</v>
      </c>
      <c r="M256" t="s">
        <v>275</v>
      </c>
      <c r="N256" t="s">
        <v>275</v>
      </c>
      <c r="O256" t="s">
        <v>275</v>
      </c>
      <c r="P256" t="s">
        <v>275</v>
      </c>
      <c r="Q256" t="s">
        <v>275</v>
      </c>
      <c r="R256" t="s">
        <v>275</v>
      </c>
      <c r="S256" t="s">
        <v>1</v>
      </c>
      <c r="T256" t="s">
        <v>275</v>
      </c>
      <c r="U256" t="s">
        <v>275</v>
      </c>
      <c r="V256" t="s">
        <v>275</v>
      </c>
    </row>
    <row r="257" spans="1:22">
      <c r="A257">
        <v>255</v>
      </c>
      <c r="B257" t="s">
        <v>797</v>
      </c>
      <c r="C257" t="s">
        <v>798</v>
      </c>
      <c r="D257" t="str">
        <f>IF(VLOOKUP(C257,'Capabilities Overview'!$A$2:$A$587,1)=C257,"","Not in IOE")</f>
        <v/>
      </c>
      <c r="E257" t="s">
        <v>1</v>
      </c>
      <c r="F257" t="s">
        <v>1</v>
      </c>
      <c r="G257" t="s">
        <v>1</v>
      </c>
      <c r="H257" t="s">
        <v>275</v>
      </c>
      <c r="I257" t="s">
        <v>1</v>
      </c>
      <c r="J257" t="s">
        <v>1</v>
      </c>
      <c r="K257" t="s">
        <v>275</v>
      </c>
      <c r="L257" t="s">
        <v>275</v>
      </c>
      <c r="M257" t="s">
        <v>275</v>
      </c>
      <c r="N257" t="s">
        <v>275</v>
      </c>
      <c r="O257" t="s">
        <v>275</v>
      </c>
      <c r="P257" t="s">
        <v>275</v>
      </c>
      <c r="Q257" t="s">
        <v>275</v>
      </c>
      <c r="R257" t="s">
        <v>275</v>
      </c>
      <c r="S257" t="s">
        <v>275</v>
      </c>
      <c r="T257" t="s">
        <v>275</v>
      </c>
      <c r="U257" t="s">
        <v>275</v>
      </c>
      <c r="V257" t="s">
        <v>275</v>
      </c>
    </row>
    <row r="258" spans="1:22">
      <c r="A258">
        <v>256</v>
      </c>
      <c r="B258" t="s">
        <v>799</v>
      </c>
      <c r="C258" t="s">
        <v>800</v>
      </c>
      <c r="D258" t="str">
        <f>IF(VLOOKUP(C258,'Capabilities Overview'!$A$2:$A$587,1)=C258,"","Not in IOE")</f>
        <v/>
      </c>
      <c r="E258" t="s">
        <v>1</v>
      </c>
      <c r="F258" t="s">
        <v>1</v>
      </c>
      <c r="G258" t="s">
        <v>1</v>
      </c>
      <c r="H258" t="s">
        <v>275</v>
      </c>
      <c r="I258" t="s">
        <v>1</v>
      </c>
      <c r="J258" t="s">
        <v>1</v>
      </c>
      <c r="K258" t="s">
        <v>275</v>
      </c>
      <c r="L258" t="s">
        <v>275</v>
      </c>
      <c r="M258" t="s">
        <v>275</v>
      </c>
      <c r="N258" t="s">
        <v>275</v>
      </c>
      <c r="O258" t="s">
        <v>275</v>
      </c>
      <c r="P258" t="s">
        <v>275</v>
      </c>
      <c r="Q258" t="s">
        <v>275</v>
      </c>
      <c r="R258" t="s">
        <v>275</v>
      </c>
      <c r="S258" t="s">
        <v>1</v>
      </c>
      <c r="T258" t="s">
        <v>275</v>
      </c>
      <c r="U258" t="s">
        <v>275</v>
      </c>
      <c r="V258" t="s">
        <v>275</v>
      </c>
    </row>
    <row r="259" spans="1:22">
      <c r="A259">
        <v>257</v>
      </c>
      <c r="B259" t="s">
        <v>801</v>
      </c>
      <c r="C259" t="s">
        <v>802</v>
      </c>
      <c r="D259" t="str">
        <f>IF(VLOOKUP(C259,'Capabilities Overview'!$A$2:$A$587,1)=C259,"","Not in IOE")</f>
        <v/>
      </c>
      <c r="E259" t="s">
        <v>1</v>
      </c>
      <c r="F259" t="s">
        <v>1</v>
      </c>
      <c r="G259" t="s">
        <v>1</v>
      </c>
      <c r="H259" t="s">
        <v>275</v>
      </c>
      <c r="I259" t="s">
        <v>1</v>
      </c>
      <c r="J259" t="s">
        <v>1</v>
      </c>
      <c r="K259" t="s">
        <v>275</v>
      </c>
      <c r="L259" t="s">
        <v>275</v>
      </c>
      <c r="M259" t="s">
        <v>275</v>
      </c>
      <c r="N259" t="s">
        <v>275</v>
      </c>
      <c r="O259" t="s">
        <v>275</v>
      </c>
      <c r="P259" t="s">
        <v>275</v>
      </c>
      <c r="Q259" t="s">
        <v>275</v>
      </c>
      <c r="R259" t="s">
        <v>275</v>
      </c>
      <c r="S259" t="s">
        <v>275</v>
      </c>
      <c r="T259" t="s">
        <v>275</v>
      </c>
      <c r="U259" t="s">
        <v>275</v>
      </c>
      <c r="V259" t="s">
        <v>275</v>
      </c>
    </row>
    <row r="260" spans="1:22">
      <c r="A260">
        <v>258</v>
      </c>
      <c r="B260" t="s">
        <v>140</v>
      </c>
      <c r="C260" t="s">
        <v>141</v>
      </c>
      <c r="D260" t="str">
        <f>IF(VLOOKUP(C260,'Capabilities Overview'!$A$2:$A$587,1)=C260,"","Not in IOE")</f>
        <v/>
      </c>
      <c r="E260" t="s">
        <v>1</v>
      </c>
      <c r="F260" t="s">
        <v>1</v>
      </c>
      <c r="G260" t="s">
        <v>275</v>
      </c>
      <c r="H260" t="s">
        <v>1</v>
      </c>
      <c r="I260" t="s">
        <v>1</v>
      </c>
      <c r="J260" t="s">
        <v>1</v>
      </c>
      <c r="K260" t="s">
        <v>1</v>
      </c>
      <c r="L260" t="s">
        <v>1</v>
      </c>
      <c r="M260" t="s">
        <v>1</v>
      </c>
      <c r="N260" t="s">
        <v>1</v>
      </c>
      <c r="O260" t="s">
        <v>275</v>
      </c>
      <c r="P260" t="s">
        <v>1</v>
      </c>
      <c r="Q260" t="s">
        <v>275</v>
      </c>
      <c r="R260" t="s">
        <v>275</v>
      </c>
      <c r="S260" t="s">
        <v>275</v>
      </c>
      <c r="T260" t="s">
        <v>1</v>
      </c>
      <c r="U260" t="s">
        <v>275</v>
      </c>
      <c r="V260" t="s">
        <v>275</v>
      </c>
    </row>
    <row r="261" spans="1:22">
      <c r="A261">
        <v>259</v>
      </c>
      <c r="B261" t="s">
        <v>142</v>
      </c>
      <c r="C261" t="s">
        <v>143</v>
      </c>
      <c r="D261" t="str">
        <f>IF(VLOOKUP(C261,'Capabilities Overview'!$A$2:$A$587,1)=C261,"","Not in IOE")</f>
        <v/>
      </c>
      <c r="E261" t="s">
        <v>1</v>
      </c>
      <c r="F261" t="s">
        <v>1</v>
      </c>
      <c r="G261" t="s">
        <v>275</v>
      </c>
      <c r="H261" t="s">
        <v>1</v>
      </c>
      <c r="I261" t="s">
        <v>1</v>
      </c>
      <c r="J261" t="s">
        <v>1</v>
      </c>
      <c r="K261" t="s">
        <v>1</v>
      </c>
      <c r="L261" t="s">
        <v>1</v>
      </c>
      <c r="M261" t="s">
        <v>1</v>
      </c>
      <c r="N261" t="s">
        <v>1</v>
      </c>
      <c r="O261" t="s">
        <v>275</v>
      </c>
      <c r="P261" t="s">
        <v>1</v>
      </c>
      <c r="Q261" t="s">
        <v>275</v>
      </c>
      <c r="R261" t="s">
        <v>275</v>
      </c>
      <c r="S261" t="s">
        <v>275</v>
      </c>
      <c r="T261" t="s">
        <v>1</v>
      </c>
      <c r="U261" t="s">
        <v>275</v>
      </c>
      <c r="V261" t="s">
        <v>275</v>
      </c>
    </row>
    <row r="262" spans="1:22">
      <c r="A262">
        <v>260</v>
      </c>
      <c r="B262" t="s">
        <v>144</v>
      </c>
      <c r="C262" t="s">
        <v>145</v>
      </c>
      <c r="D262" t="str">
        <f>IF(VLOOKUP(C262,'Capabilities Overview'!$A$2:$A$587,1)=C262,"","Not in IOE")</f>
        <v/>
      </c>
      <c r="E262" t="s">
        <v>1</v>
      </c>
      <c r="F262" t="s">
        <v>1</v>
      </c>
      <c r="G262" t="s">
        <v>275</v>
      </c>
      <c r="H262" t="s">
        <v>1</v>
      </c>
      <c r="I262" t="s">
        <v>1</v>
      </c>
      <c r="J262" t="s">
        <v>1</v>
      </c>
      <c r="K262" t="s">
        <v>1</v>
      </c>
      <c r="L262" t="s">
        <v>1</v>
      </c>
      <c r="M262" t="s">
        <v>1</v>
      </c>
      <c r="N262" t="s">
        <v>1</v>
      </c>
      <c r="O262" t="s">
        <v>275</v>
      </c>
      <c r="P262" t="s">
        <v>1</v>
      </c>
      <c r="Q262" t="s">
        <v>275</v>
      </c>
      <c r="R262" t="s">
        <v>275</v>
      </c>
      <c r="S262" t="s">
        <v>275</v>
      </c>
      <c r="T262" t="s">
        <v>1</v>
      </c>
      <c r="U262" t="s">
        <v>275</v>
      </c>
      <c r="V262" t="s">
        <v>275</v>
      </c>
    </row>
    <row r="263" spans="1:22">
      <c r="A263">
        <v>261</v>
      </c>
      <c r="B263" t="s">
        <v>146</v>
      </c>
      <c r="C263" t="s">
        <v>147</v>
      </c>
      <c r="D263" t="str">
        <f>IF(VLOOKUP(C263,'Capabilities Overview'!$A$2:$A$587,1)=C263,"","Not in IOE")</f>
        <v/>
      </c>
      <c r="E263" t="s">
        <v>1</v>
      </c>
      <c r="F263" t="s">
        <v>1</v>
      </c>
      <c r="G263" t="s">
        <v>275</v>
      </c>
      <c r="H263" t="s">
        <v>1</v>
      </c>
      <c r="I263" t="s">
        <v>1</v>
      </c>
      <c r="J263" t="s">
        <v>1</v>
      </c>
      <c r="K263" t="s">
        <v>1</v>
      </c>
      <c r="L263" t="s">
        <v>1</v>
      </c>
      <c r="M263" t="s">
        <v>1</v>
      </c>
      <c r="N263" t="s">
        <v>1</v>
      </c>
      <c r="O263" t="s">
        <v>275</v>
      </c>
      <c r="P263" t="s">
        <v>1</v>
      </c>
      <c r="Q263" t="s">
        <v>275</v>
      </c>
      <c r="R263" t="s">
        <v>275</v>
      </c>
      <c r="S263" t="s">
        <v>275</v>
      </c>
      <c r="T263" t="s">
        <v>1</v>
      </c>
      <c r="U263" t="s">
        <v>275</v>
      </c>
      <c r="V263" t="s">
        <v>275</v>
      </c>
    </row>
    <row r="264" spans="1:22">
      <c r="A264">
        <v>262</v>
      </c>
      <c r="B264" t="s">
        <v>803</v>
      </c>
      <c r="C264" t="s">
        <v>804</v>
      </c>
      <c r="D264" t="str">
        <f>IF(VLOOKUP(C264,'Capabilities Overview'!$A$2:$A$587,1)=C264,"","Not in IOE")</f>
        <v/>
      </c>
      <c r="E264" t="s">
        <v>1</v>
      </c>
      <c r="F264" t="s">
        <v>1</v>
      </c>
      <c r="G264" t="s">
        <v>275</v>
      </c>
      <c r="H264" t="s">
        <v>275</v>
      </c>
      <c r="I264" t="s">
        <v>1</v>
      </c>
      <c r="J264" t="s">
        <v>1</v>
      </c>
      <c r="K264" t="s">
        <v>275</v>
      </c>
      <c r="L264" t="s">
        <v>275</v>
      </c>
      <c r="M264" t="s">
        <v>275</v>
      </c>
      <c r="N264" t="s">
        <v>275</v>
      </c>
      <c r="O264" t="s">
        <v>275</v>
      </c>
      <c r="P264" t="s">
        <v>275</v>
      </c>
      <c r="Q264" t="s">
        <v>275</v>
      </c>
      <c r="R264" t="s">
        <v>275</v>
      </c>
      <c r="S264" t="s">
        <v>275</v>
      </c>
      <c r="T264" t="s">
        <v>275</v>
      </c>
      <c r="U264" t="s">
        <v>275</v>
      </c>
      <c r="V264" t="s">
        <v>275</v>
      </c>
    </row>
    <row r="265" spans="1:22">
      <c r="A265">
        <v>263</v>
      </c>
      <c r="B265" t="s">
        <v>805</v>
      </c>
      <c r="C265" t="s">
        <v>806</v>
      </c>
      <c r="D265" t="str">
        <f>IF(VLOOKUP(C265,'Capabilities Overview'!$A$2:$A$587,1)=C265,"","Not in IOE")</f>
        <v/>
      </c>
      <c r="E265" t="s">
        <v>1</v>
      </c>
      <c r="F265" t="s">
        <v>1</v>
      </c>
      <c r="G265" t="s">
        <v>275</v>
      </c>
      <c r="H265" t="s">
        <v>275</v>
      </c>
      <c r="I265" t="s">
        <v>1</v>
      </c>
      <c r="J265" t="s">
        <v>1</v>
      </c>
      <c r="K265" t="s">
        <v>275</v>
      </c>
      <c r="L265" t="s">
        <v>275</v>
      </c>
      <c r="M265" t="s">
        <v>275</v>
      </c>
      <c r="N265" t="s">
        <v>275</v>
      </c>
      <c r="O265" t="s">
        <v>275</v>
      </c>
      <c r="P265" t="s">
        <v>275</v>
      </c>
      <c r="Q265" t="s">
        <v>275</v>
      </c>
      <c r="R265" t="s">
        <v>275</v>
      </c>
      <c r="S265" t="s">
        <v>275</v>
      </c>
      <c r="T265" t="s">
        <v>275</v>
      </c>
      <c r="U265" t="s">
        <v>275</v>
      </c>
      <c r="V265" t="s">
        <v>275</v>
      </c>
    </row>
    <row r="266" spans="1:22">
      <c r="A266">
        <v>264</v>
      </c>
      <c r="B266" t="s">
        <v>807</v>
      </c>
      <c r="C266" t="s">
        <v>808</v>
      </c>
      <c r="D266" t="str">
        <f>IF(VLOOKUP(C266,'Capabilities Overview'!$A$2:$A$587,1)=C266,"","Not in IOE")</f>
        <v/>
      </c>
      <c r="E266" t="s">
        <v>1</v>
      </c>
      <c r="F266" t="s">
        <v>1</v>
      </c>
      <c r="G266" t="s">
        <v>1</v>
      </c>
      <c r="H266" t="s">
        <v>275</v>
      </c>
      <c r="I266" t="s">
        <v>1</v>
      </c>
      <c r="J266" t="s">
        <v>1</v>
      </c>
      <c r="K266" t="s">
        <v>275</v>
      </c>
      <c r="L266" t="s">
        <v>275</v>
      </c>
      <c r="M266" t="s">
        <v>275</v>
      </c>
      <c r="N266" t="s">
        <v>275</v>
      </c>
      <c r="O266" t="s">
        <v>275</v>
      </c>
      <c r="P266" t="s">
        <v>275</v>
      </c>
      <c r="Q266" t="s">
        <v>275</v>
      </c>
      <c r="R266" t="s">
        <v>275</v>
      </c>
      <c r="S266" t="s">
        <v>275</v>
      </c>
      <c r="T266" t="s">
        <v>275</v>
      </c>
      <c r="U266" t="s">
        <v>275</v>
      </c>
      <c r="V266" t="s">
        <v>275</v>
      </c>
    </row>
    <row r="267" spans="1:22">
      <c r="A267">
        <v>265</v>
      </c>
      <c r="B267" t="s">
        <v>809</v>
      </c>
      <c r="C267" t="s">
        <v>810</v>
      </c>
      <c r="D267" t="str">
        <f>IF(VLOOKUP(C267,'Capabilities Overview'!$A$2:$A$587,1)=C267,"","Not in IOE")</f>
        <v/>
      </c>
      <c r="E267" t="s">
        <v>1</v>
      </c>
      <c r="F267" t="s">
        <v>1</v>
      </c>
      <c r="G267" t="s">
        <v>275</v>
      </c>
      <c r="H267" t="s">
        <v>275</v>
      </c>
      <c r="I267" t="s">
        <v>1</v>
      </c>
      <c r="J267" t="s">
        <v>1</v>
      </c>
      <c r="K267" t="s">
        <v>275</v>
      </c>
      <c r="L267" t="s">
        <v>275</v>
      </c>
      <c r="M267" t="s">
        <v>275</v>
      </c>
      <c r="N267" t="s">
        <v>275</v>
      </c>
      <c r="O267" t="s">
        <v>275</v>
      </c>
      <c r="P267" t="s">
        <v>275</v>
      </c>
      <c r="Q267" t="s">
        <v>275</v>
      </c>
      <c r="R267" t="s">
        <v>275</v>
      </c>
      <c r="S267" t="s">
        <v>275</v>
      </c>
      <c r="T267" t="s">
        <v>275</v>
      </c>
      <c r="U267" t="s">
        <v>275</v>
      </c>
      <c r="V267" t="s">
        <v>275</v>
      </c>
    </row>
    <row r="268" spans="1:22">
      <c r="A268">
        <v>266</v>
      </c>
      <c r="B268" t="s">
        <v>811</v>
      </c>
      <c r="C268" t="s">
        <v>812</v>
      </c>
      <c r="D268" t="str">
        <f>IF(VLOOKUP(C268,'Capabilities Overview'!$A$2:$A$587,1)=C268,"","Not in IOE")</f>
        <v/>
      </c>
      <c r="E268" t="s">
        <v>1</v>
      </c>
      <c r="F268" t="s">
        <v>1</v>
      </c>
      <c r="G268" t="s">
        <v>275</v>
      </c>
      <c r="H268" t="s">
        <v>275</v>
      </c>
      <c r="I268" t="s">
        <v>1</v>
      </c>
      <c r="J268" t="s">
        <v>1</v>
      </c>
      <c r="K268" t="s">
        <v>275</v>
      </c>
      <c r="L268" t="s">
        <v>275</v>
      </c>
      <c r="M268" t="s">
        <v>275</v>
      </c>
      <c r="N268" t="s">
        <v>275</v>
      </c>
      <c r="O268" t="s">
        <v>275</v>
      </c>
      <c r="P268" t="s">
        <v>275</v>
      </c>
      <c r="Q268" t="s">
        <v>275</v>
      </c>
      <c r="R268" t="s">
        <v>275</v>
      </c>
      <c r="S268" t="s">
        <v>275</v>
      </c>
      <c r="T268" t="s">
        <v>275</v>
      </c>
      <c r="U268" t="s">
        <v>275</v>
      </c>
      <c r="V268" t="s">
        <v>275</v>
      </c>
    </row>
    <row r="269" spans="1:22">
      <c r="A269">
        <v>267</v>
      </c>
      <c r="B269" t="s">
        <v>813</v>
      </c>
      <c r="C269" t="s">
        <v>814</v>
      </c>
      <c r="D269" t="str">
        <f>IF(VLOOKUP(C269,'Capabilities Overview'!$A$2:$A$587,1)=C269,"","Not in IOE")</f>
        <v/>
      </c>
      <c r="E269" t="s">
        <v>1</v>
      </c>
      <c r="F269" t="s">
        <v>1</v>
      </c>
      <c r="G269" t="s">
        <v>1</v>
      </c>
      <c r="H269" t="s">
        <v>275</v>
      </c>
      <c r="I269" t="s">
        <v>1</v>
      </c>
      <c r="J269" t="s">
        <v>1</v>
      </c>
      <c r="K269" t="s">
        <v>275</v>
      </c>
      <c r="L269" t="s">
        <v>275</v>
      </c>
      <c r="M269" t="s">
        <v>275</v>
      </c>
      <c r="N269" t="s">
        <v>275</v>
      </c>
      <c r="O269" t="s">
        <v>275</v>
      </c>
      <c r="P269" t="s">
        <v>275</v>
      </c>
      <c r="Q269" t="s">
        <v>275</v>
      </c>
      <c r="R269" t="s">
        <v>275</v>
      </c>
      <c r="S269" t="s">
        <v>275</v>
      </c>
      <c r="T269" t="s">
        <v>275</v>
      </c>
      <c r="U269" t="s">
        <v>275</v>
      </c>
      <c r="V269" t="s">
        <v>275</v>
      </c>
    </row>
    <row r="270" spans="1:22">
      <c r="A270">
        <v>268</v>
      </c>
      <c r="B270" t="s">
        <v>815</v>
      </c>
      <c r="C270" t="s">
        <v>816</v>
      </c>
      <c r="D270" t="str">
        <f>IF(VLOOKUP(C270,'Capabilities Overview'!$A$2:$A$587,1)=C270,"","Not in IOE")</f>
        <v/>
      </c>
      <c r="E270" t="s">
        <v>1</v>
      </c>
      <c r="F270" t="s">
        <v>1</v>
      </c>
      <c r="G270" t="s">
        <v>1</v>
      </c>
      <c r="H270" t="s">
        <v>275</v>
      </c>
      <c r="I270" t="s">
        <v>275</v>
      </c>
      <c r="J270" t="s">
        <v>275</v>
      </c>
      <c r="K270" t="s">
        <v>275</v>
      </c>
      <c r="L270" t="s">
        <v>275</v>
      </c>
      <c r="M270" t="s">
        <v>275</v>
      </c>
      <c r="N270" t="s">
        <v>275</v>
      </c>
      <c r="O270" t="s">
        <v>275</v>
      </c>
      <c r="P270" t="s">
        <v>275</v>
      </c>
      <c r="Q270" t="s">
        <v>275</v>
      </c>
      <c r="R270" t="s">
        <v>275</v>
      </c>
      <c r="S270" t="s">
        <v>275</v>
      </c>
      <c r="T270" t="s">
        <v>275</v>
      </c>
      <c r="U270" t="s">
        <v>275</v>
      </c>
      <c r="V270" t="s">
        <v>275</v>
      </c>
    </row>
    <row r="271" spans="1:22">
      <c r="A271">
        <v>269</v>
      </c>
      <c r="B271" t="s">
        <v>817</v>
      </c>
      <c r="C271" t="s">
        <v>818</v>
      </c>
      <c r="D271" t="str">
        <f>IF(VLOOKUP(C271,'Capabilities Overview'!$A$2:$A$587,1)=C271,"","Not in IOE")</f>
        <v/>
      </c>
      <c r="E271" t="s">
        <v>1</v>
      </c>
      <c r="F271" t="s">
        <v>1</v>
      </c>
      <c r="G271" t="s">
        <v>275</v>
      </c>
      <c r="H271" t="s">
        <v>275</v>
      </c>
      <c r="I271" t="s">
        <v>1</v>
      </c>
      <c r="J271" t="s">
        <v>1</v>
      </c>
      <c r="K271" t="s">
        <v>275</v>
      </c>
      <c r="L271" t="s">
        <v>275</v>
      </c>
      <c r="M271" t="s">
        <v>275</v>
      </c>
      <c r="N271" t="s">
        <v>275</v>
      </c>
      <c r="O271" t="s">
        <v>275</v>
      </c>
      <c r="P271" t="s">
        <v>275</v>
      </c>
      <c r="Q271" t="s">
        <v>275</v>
      </c>
      <c r="R271" t="s">
        <v>275</v>
      </c>
      <c r="S271" t="s">
        <v>275</v>
      </c>
      <c r="T271" t="s">
        <v>275</v>
      </c>
      <c r="U271" t="s">
        <v>275</v>
      </c>
      <c r="V271" t="s">
        <v>275</v>
      </c>
    </row>
    <row r="272" spans="1:22">
      <c r="A272">
        <v>270</v>
      </c>
      <c r="B272" t="s">
        <v>819</v>
      </c>
      <c r="C272" t="s">
        <v>820</v>
      </c>
      <c r="D272" t="str">
        <f>IF(VLOOKUP(C272,'Capabilities Overview'!$A$2:$A$587,1)=C272,"","Not in IOE")</f>
        <v/>
      </c>
      <c r="E272" t="s">
        <v>1</v>
      </c>
      <c r="F272" t="s">
        <v>1</v>
      </c>
      <c r="G272" t="s">
        <v>275</v>
      </c>
      <c r="H272" t="s">
        <v>275</v>
      </c>
      <c r="I272" t="s">
        <v>275</v>
      </c>
      <c r="J272" t="s">
        <v>275</v>
      </c>
      <c r="K272" t="s">
        <v>275</v>
      </c>
      <c r="L272" t="s">
        <v>275</v>
      </c>
      <c r="M272" t="s">
        <v>275</v>
      </c>
      <c r="N272" t="s">
        <v>275</v>
      </c>
      <c r="O272" t="s">
        <v>275</v>
      </c>
      <c r="P272" t="s">
        <v>275</v>
      </c>
      <c r="Q272" t="s">
        <v>275</v>
      </c>
      <c r="R272" t="s">
        <v>275</v>
      </c>
      <c r="S272" t="s">
        <v>275</v>
      </c>
      <c r="T272" t="s">
        <v>275</v>
      </c>
      <c r="U272" t="s">
        <v>275</v>
      </c>
      <c r="V272" t="s">
        <v>275</v>
      </c>
    </row>
    <row r="273" spans="1:22">
      <c r="A273">
        <v>271</v>
      </c>
      <c r="B273" t="s">
        <v>821</v>
      </c>
      <c r="C273" t="s">
        <v>822</v>
      </c>
      <c r="D273" t="str">
        <f>IF(VLOOKUP(C273,'Capabilities Overview'!$A$2:$A$587,1)=C273,"","Not in IOE")</f>
        <v/>
      </c>
      <c r="E273" t="s">
        <v>1</v>
      </c>
      <c r="F273" t="s">
        <v>275</v>
      </c>
      <c r="G273" t="s">
        <v>275</v>
      </c>
      <c r="H273" t="s">
        <v>275</v>
      </c>
      <c r="I273" t="s">
        <v>275</v>
      </c>
      <c r="J273" t="s">
        <v>275</v>
      </c>
      <c r="K273" t="s">
        <v>275</v>
      </c>
      <c r="L273" t="s">
        <v>275</v>
      </c>
      <c r="M273" t="s">
        <v>275</v>
      </c>
      <c r="N273" t="s">
        <v>275</v>
      </c>
      <c r="O273" t="s">
        <v>275</v>
      </c>
      <c r="P273" t="s">
        <v>275</v>
      </c>
      <c r="Q273" t="s">
        <v>275</v>
      </c>
      <c r="R273" t="s">
        <v>275</v>
      </c>
      <c r="S273" t="s">
        <v>275</v>
      </c>
      <c r="T273" t="s">
        <v>275</v>
      </c>
      <c r="U273" t="s">
        <v>275</v>
      </c>
      <c r="V273" t="s">
        <v>275</v>
      </c>
    </row>
    <row r="274" spans="1:22">
      <c r="A274">
        <v>272</v>
      </c>
      <c r="B274" t="s">
        <v>823</v>
      </c>
      <c r="C274" t="s">
        <v>824</v>
      </c>
      <c r="D274" t="str">
        <f>IF(VLOOKUP(C274,'Capabilities Overview'!$A$2:$A$587,1)=C274,"","Not in IOE")</f>
        <v/>
      </c>
      <c r="E274" t="s">
        <v>1</v>
      </c>
      <c r="F274" t="s">
        <v>1</v>
      </c>
      <c r="G274" t="s">
        <v>275</v>
      </c>
      <c r="H274" t="s">
        <v>275</v>
      </c>
      <c r="I274" t="s">
        <v>1</v>
      </c>
      <c r="J274" t="s">
        <v>1</v>
      </c>
      <c r="K274" t="s">
        <v>275</v>
      </c>
      <c r="L274" t="s">
        <v>275</v>
      </c>
      <c r="M274" t="s">
        <v>275</v>
      </c>
      <c r="N274" t="s">
        <v>275</v>
      </c>
      <c r="O274" t="s">
        <v>275</v>
      </c>
      <c r="P274" t="s">
        <v>275</v>
      </c>
      <c r="Q274" t="s">
        <v>275</v>
      </c>
      <c r="R274" t="s">
        <v>1</v>
      </c>
      <c r="S274" t="s">
        <v>275</v>
      </c>
      <c r="T274" t="s">
        <v>275</v>
      </c>
      <c r="U274" t="s">
        <v>275</v>
      </c>
      <c r="V274" t="s">
        <v>275</v>
      </c>
    </row>
    <row r="275" spans="1:22">
      <c r="A275">
        <v>273</v>
      </c>
      <c r="B275" t="s">
        <v>825</v>
      </c>
      <c r="C275" t="s">
        <v>826</v>
      </c>
      <c r="D275" t="str">
        <f>IF(VLOOKUP(C275,'Capabilities Overview'!$A$2:$A$587,1)=C275,"","Not in IOE")</f>
        <v/>
      </c>
      <c r="E275" t="s">
        <v>1</v>
      </c>
      <c r="F275" t="s">
        <v>1</v>
      </c>
      <c r="G275" t="s">
        <v>275</v>
      </c>
      <c r="H275" t="s">
        <v>275</v>
      </c>
      <c r="I275" t="s">
        <v>275</v>
      </c>
      <c r="J275" t="s">
        <v>275</v>
      </c>
      <c r="K275" t="s">
        <v>275</v>
      </c>
      <c r="L275" t="s">
        <v>275</v>
      </c>
      <c r="M275" t="s">
        <v>275</v>
      </c>
      <c r="N275" t="s">
        <v>275</v>
      </c>
      <c r="O275" t="s">
        <v>275</v>
      </c>
      <c r="P275" t="s">
        <v>275</v>
      </c>
      <c r="Q275" t="s">
        <v>275</v>
      </c>
      <c r="R275" t="s">
        <v>275</v>
      </c>
      <c r="S275" t="s">
        <v>275</v>
      </c>
      <c r="T275" t="s">
        <v>275</v>
      </c>
      <c r="U275" t="s">
        <v>275</v>
      </c>
      <c r="V275" t="s">
        <v>275</v>
      </c>
    </row>
    <row r="276" spans="1:22">
      <c r="A276">
        <v>274</v>
      </c>
      <c r="B276" t="s">
        <v>827</v>
      </c>
      <c r="C276" t="s">
        <v>828</v>
      </c>
      <c r="D276" t="str">
        <f>IF(VLOOKUP(C276,'Capabilities Overview'!$A$2:$A$587,1)=C276,"","Not in IOE")</f>
        <v/>
      </c>
      <c r="E276" t="s">
        <v>1</v>
      </c>
      <c r="F276" t="s">
        <v>1</v>
      </c>
      <c r="G276" t="s">
        <v>275</v>
      </c>
      <c r="H276" t="s">
        <v>1</v>
      </c>
      <c r="I276" t="s">
        <v>1</v>
      </c>
      <c r="J276" t="s">
        <v>1</v>
      </c>
      <c r="K276" t="s">
        <v>1</v>
      </c>
      <c r="L276" t="s">
        <v>275</v>
      </c>
      <c r="M276" t="s">
        <v>275</v>
      </c>
      <c r="N276" t="s">
        <v>275</v>
      </c>
      <c r="O276" t="s">
        <v>275</v>
      </c>
      <c r="P276" t="s">
        <v>275</v>
      </c>
      <c r="Q276" t="s">
        <v>275</v>
      </c>
      <c r="R276" t="s">
        <v>275</v>
      </c>
      <c r="S276" t="s">
        <v>275</v>
      </c>
      <c r="T276" t="s">
        <v>1</v>
      </c>
      <c r="U276" t="s">
        <v>275</v>
      </c>
      <c r="V276" t="s">
        <v>275</v>
      </c>
    </row>
    <row r="277" spans="1:22">
      <c r="A277">
        <v>275</v>
      </c>
      <c r="B277" t="s">
        <v>829</v>
      </c>
      <c r="C277" t="s">
        <v>830</v>
      </c>
      <c r="D277" t="str">
        <f>IF(VLOOKUP(C277,'Capabilities Overview'!$A$2:$A$587,1)=C277,"","Not in IOE")</f>
        <v/>
      </c>
      <c r="E277" t="s">
        <v>1</v>
      </c>
      <c r="F277" t="s">
        <v>275</v>
      </c>
      <c r="G277" t="s">
        <v>275</v>
      </c>
      <c r="H277" t="s">
        <v>275</v>
      </c>
      <c r="I277" t="s">
        <v>1</v>
      </c>
      <c r="J277" t="s">
        <v>1</v>
      </c>
      <c r="K277" t="s">
        <v>275</v>
      </c>
      <c r="L277" t="s">
        <v>275</v>
      </c>
      <c r="M277" t="s">
        <v>275</v>
      </c>
      <c r="N277" t="s">
        <v>275</v>
      </c>
      <c r="O277" t="s">
        <v>275</v>
      </c>
      <c r="P277" t="s">
        <v>275</v>
      </c>
      <c r="Q277" t="s">
        <v>275</v>
      </c>
      <c r="R277" t="s">
        <v>275</v>
      </c>
      <c r="S277" t="s">
        <v>275</v>
      </c>
      <c r="T277" t="s">
        <v>275</v>
      </c>
      <c r="U277" t="s">
        <v>275</v>
      </c>
      <c r="V277" t="s">
        <v>275</v>
      </c>
    </row>
    <row r="278" spans="1:22">
      <c r="A278">
        <v>276</v>
      </c>
      <c r="B278" t="s">
        <v>831</v>
      </c>
      <c r="C278" t="s">
        <v>832</v>
      </c>
      <c r="D278" t="str">
        <f>IF(VLOOKUP(C278,'Capabilities Overview'!$A$2:$A$587,1)=C278,"","Not in IOE")</f>
        <v/>
      </c>
      <c r="E278" t="s">
        <v>1</v>
      </c>
      <c r="F278" t="s">
        <v>1</v>
      </c>
      <c r="G278" t="s">
        <v>275</v>
      </c>
      <c r="H278" t="s">
        <v>275</v>
      </c>
      <c r="I278" t="s">
        <v>1</v>
      </c>
      <c r="J278" t="s">
        <v>1</v>
      </c>
      <c r="K278" t="s">
        <v>275</v>
      </c>
      <c r="L278" t="s">
        <v>275</v>
      </c>
      <c r="M278" t="s">
        <v>275</v>
      </c>
      <c r="N278" t="s">
        <v>275</v>
      </c>
      <c r="O278" t="s">
        <v>275</v>
      </c>
      <c r="P278" t="s">
        <v>275</v>
      </c>
      <c r="Q278" t="s">
        <v>275</v>
      </c>
      <c r="R278" t="s">
        <v>275</v>
      </c>
      <c r="S278" t="s">
        <v>275</v>
      </c>
      <c r="T278" t="s">
        <v>275</v>
      </c>
      <c r="U278" t="s">
        <v>275</v>
      </c>
      <c r="V278" t="s">
        <v>275</v>
      </c>
    </row>
    <row r="279" spans="1:22">
      <c r="A279">
        <v>277</v>
      </c>
      <c r="B279" t="s">
        <v>833</v>
      </c>
      <c r="C279" t="s">
        <v>834</v>
      </c>
      <c r="D279" t="str">
        <f>IF(VLOOKUP(C279,'Capabilities Overview'!$A$2:$A$587,1)=C279,"","Not in IOE")</f>
        <v/>
      </c>
      <c r="E279" t="s">
        <v>1</v>
      </c>
      <c r="F279" t="s">
        <v>1</v>
      </c>
      <c r="G279" t="s">
        <v>275</v>
      </c>
      <c r="H279" t="s">
        <v>1</v>
      </c>
      <c r="I279" t="s">
        <v>1</v>
      </c>
      <c r="J279" t="s">
        <v>1</v>
      </c>
      <c r="K279" t="s">
        <v>1</v>
      </c>
      <c r="L279" t="s">
        <v>275</v>
      </c>
      <c r="M279" t="s">
        <v>275</v>
      </c>
      <c r="N279" t="s">
        <v>275</v>
      </c>
      <c r="O279" t="s">
        <v>275</v>
      </c>
      <c r="P279" t="s">
        <v>275</v>
      </c>
      <c r="Q279" t="s">
        <v>275</v>
      </c>
      <c r="R279" t="s">
        <v>275</v>
      </c>
      <c r="S279" t="s">
        <v>275</v>
      </c>
      <c r="T279" t="s">
        <v>1</v>
      </c>
      <c r="U279" t="s">
        <v>275</v>
      </c>
      <c r="V279" t="s">
        <v>275</v>
      </c>
    </row>
    <row r="280" spans="1:22">
      <c r="A280">
        <v>278</v>
      </c>
      <c r="B280" t="s">
        <v>835</v>
      </c>
      <c r="C280" t="s">
        <v>836</v>
      </c>
      <c r="D280" t="str">
        <f>IF(VLOOKUP(C280,'Capabilities Overview'!$A$2:$A$587,1)=C280,"","Not in IOE")</f>
        <v/>
      </c>
      <c r="E280" t="s">
        <v>1</v>
      </c>
      <c r="F280" t="s">
        <v>1</v>
      </c>
      <c r="G280" t="s">
        <v>1</v>
      </c>
      <c r="H280" t="s">
        <v>275</v>
      </c>
      <c r="I280" t="s">
        <v>1</v>
      </c>
      <c r="J280" t="s">
        <v>1</v>
      </c>
      <c r="K280" t="s">
        <v>275</v>
      </c>
      <c r="L280" t="s">
        <v>275</v>
      </c>
      <c r="M280" t="s">
        <v>275</v>
      </c>
      <c r="N280" t="s">
        <v>275</v>
      </c>
      <c r="O280" t="s">
        <v>275</v>
      </c>
      <c r="P280" t="s">
        <v>275</v>
      </c>
      <c r="Q280" t="s">
        <v>275</v>
      </c>
      <c r="R280" t="s">
        <v>1</v>
      </c>
      <c r="S280" t="s">
        <v>275</v>
      </c>
      <c r="T280" t="s">
        <v>275</v>
      </c>
      <c r="U280" t="s">
        <v>275</v>
      </c>
      <c r="V280" t="s">
        <v>275</v>
      </c>
    </row>
    <row r="281" spans="1:22">
      <c r="A281">
        <v>279</v>
      </c>
      <c r="B281" t="s">
        <v>837</v>
      </c>
      <c r="C281" t="s">
        <v>838</v>
      </c>
      <c r="D281" t="str">
        <f>IF(VLOOKUP(C281,'Capabilities Overview'!$A$2:$A$587,1)=C281,"","Not in IOE")</f>
        <v/>
      </c>
      <c r="E281" t="s">
        <v>1</v>
      </c>
      <c r="F281" t="s">
        <v>1</v>
      </c>
      <c r="G281" t="s">
        <v>1</v>
      </c>
      <c r="H281" t="s">
        <v>1</v>
      </c>
      <c r="I281" t="s">
        <v>1</v>
      </c>
      <c r="J281" t="s">
        <v>1</v>
      </c>
      <c r="K281" t="s">
        <v>1</v>
      </c>
      <c r="L281" t="s">
        <v>275</v>
      </c>
      <c r="M281" t="s">
        <v>275</v>
      </c>
      <c r="N281" t="s">
        <v>275</v>
      </c>
      <c r="O281" t="s">
        <v>275</v>
      </c>
      <c r="P281" t="s">
        <v>275</v>
      </c>
      <c r="Q281" t="s">
        <v>275</v>
      </c>
      <c r="R281" t="s">
        <v>1</v>
      </c>
      <c r="S281" t="s">
        <v>275</v>
      </c>
      <c r="T281" t="s">
        <v>1</v>
      </c>
      <c r="U281" t="s">
        <v>275</v>
      </c>
      <c r="V281" t="s">
        <v>275</v>
      </c>
    </row>
    <row r="282" spans="1:22">
      <c r="A282">
        <v>280</v>
      </c>
      <c r="B282" t="s">
        <v>839</v>
      </c>
      <c r="C282" t="s">
        <v>840</v>
      </c>
      <c r="D282" t="str">
        <f>IF(VLOOKUP(C282,'Capabilities Overview'!$A$2:$A$587,1)=C282,"","Not in IOE")</f>
        <v/>
      </c>
      <c r="E282" t="s">
        <v>1</v>
      </c>
      <c r="F282" t="s">
        <v>1</v>
      </c>
      <c r="G282" t="s">
        <v>275</v>
      </c>
      <c r="H282" t="s">
        <v>1</v>
      </c>
      <c r="I282" t="s">
        <v>1</v>
      </c>
      <c r="J282" t="s">
        <v>1</v>
      </c>
      <c r="K282" t="s">
        <v>1</v>
      </c>
      <c r="L282" t="s">
        <v>275</v>
      </c>
      <c r="M282" t="s">
        <v>275</v>
      </c>
      <c r="N282" t="s">
        <v>275</v>
      </c>
      <c r="O282" t="s">
        <v>275</v>
      </c>
      <c r="P282" t="s">
        <v>275</v>
      </c>
      <c r="Q282" t="s">
        <v>275</v>
      </c>
      <c r="R282" t="s">
        <v>275</v>
      </c>
      <c r="S282" t="s">
        <v>275</v>
      </c>
      <c r="T282" t="s">
        <v>1</v>
      </c>
      <c r="U282" t="s">
        <v>275</v>
      </c>
      <c r="V282" t="s">
        <v>275</v>
      </c>
    </row>
    <row r="283" spans="1:22">
      <c r="A283">
        <v>281</v>
      </c>
      <c r="B283" t="s">
        <v>841</v>
      </c>
      <c r="C283" t="s">
        <v>842</v>
      </c>
      <c r="D283" t="str">
        <f>IF(VLOOKUP(C283,'Capabilities Overview'!$A$2:$A$587,1)=C283,"","Not in IOE")</f>
        <v/>
      </c>
      <c r="E283" t="s">
        <v>1</v>
      </c>
      <c r="F283" t="s">
        <v>1</v>
      </c>
      <c r="G283" t="s">
        <v>275</v>
      </c>
      <c r="H283" t="s">
        <v>1</v>
      </c>
      <c r="I283" t="s">
        <v>1</v>
      </c>
      <c r="J283" t="s">
        <v>1</v>
      </c>
      <c r="K283" t="s">
        <v>1</v>
      </c>
      <c r="L283" t="s">
        <v>275</v>
      </c>
      <c r="M283" t="s">
        <v>275</v>
      </c>
      <c r="N283" t="s">
        <v>275</v>
      </c>
      <c r="O283" t="s">
        <v>275</v>
      </c>
      <c r="P283" t="s">
        <v>275</v>
      </c>
      <c r="Q283" t="s">
        <v>275</v>
      </c>
      <c r="R283" t="s">
        <v>275</v>
      </c>
      <c r="S283" t="s">
        <v>275</v>
      </c>
      <c r="T283" t="s">
        <v>1</v>
      </c>
      <c r="U283" t="s">
        <v>275</v>
      </c>
      <c r="V283" t="s">
        <v>275</v>
      </c>
    </row>
    <row r="284" spans="1:22">
      <c r="A284">
        <v>282</v>
      </c>
      <c r="B284" t="s">
        <v>843</v>
      </c>
      <c r="C284" t="s">
        <v>844</v>
      </c>
      <c r="D284" t="str">
        <f>IF(VLOOKUP(C284,'Capabilities Overview'!$A$2:$A$587,1)=C284,"","Not in IOE")</f>
        <v/>
      </c>
      <c r="E284" t="s">
        <v>1</v>
      </c>
      <c r="F284" t="s">
        <v>1</v>
      </c>
      <c r="G284" t="s">
        <v>275</v>
      </c>
      <c r="H284" t="s">
        <v>275</v>
      </c>
      <c r="I284" t="s">
        <v>275</v>
      </c>
      <c r="J284" t="s">
        <v>275</v>
      </c>
      <c r="K284" t="s">
        <v>275</v>
      </c>
      <c r="L284" t="s">
        <v>275</v>
      </c>
      <c r="M284" t="s">
        <v>275</v>
      </c>
      <c r="N284" t="s">
        <v>275</v>
      </c>
      <c r="O284" t="s">
        <v>275</v>
      </c>
      <c r="P284" t="s">
        <v>275</v>
      </c>
      <c r="Q284" t="s">
        <v>275</v>
      </c>
      <c r="R284" t="s">
        <v>275</v>
      </c>
      <c r="S284" t="s">
        <v>275</v>
      </c>
      <c r="T284" t="s">
        <v>275</v>
      </c>
      <c r="U284" t="s">
        <v>275</v>
      </c>
      <c r="V284" t="s">
        <v>275</v>
      </c>
    </row>
    <row r="285" spans="1:22">
      <c r="A285">
        <v>283</v>
      </c>
      <c r="B285" t="s">
        <v>845</v>
      </c>
      <c r="C285" t="s">
        <v>846</v>
      </c>
      <c r="D285" t="str">
        <f>IF(VLOOKUP(C285,'Capabilities Overview'!$A$2:$A$587,1)=C285,"","Not in IOE")</f>
        <v/>
      </c>
      <c r="E285" t="s">
        <v>1</v>
      </c>
      <c r="F285" t="s">
        <v>1</v>
      </c>
      <c r="G285" t="s">
        <v>1</v>
      </c>
      <c r="H285" t="s">
        <v>1</v>
      </c>
      <c r="I285" t="s">
        <v>1</v>
      </c>
      <c r="J285" t="s">
        <v>1</v>
      </c>
      <c r="K285" t="s">
        <v>1</v>
      </c>
      <c r="L285" t="s">
        <v>1</v>
      </c>
      <c r="M285" t="s">
        <v>1</v>
      </c>
      <c r="N285" t="s">
        <v>1</v>
      </c>
      <c r="O285" t="s">
        <v>1</v>
      </c>
      <c r="P285" t="s">
        <v>275</v>
      </c>
      <c r="Q285" t="s">
        <v>275</v>
      </c>
      <c r="R285" t="s">
        <v>1</v>
      </c>
      <c r="S285" t="s">
        <v>275</v>
      </c>
      <c r="T285" t="s">
        <v>1</v>
      </c>
      <c r="U285" t="s">
        <v>275</v>
      </c>
      <c r="V285" t="s">
        <v>275</v>
      </c>
    </row>
    <row r="286" spans="1:22">
      <c r="A286">
        <v>284</v>
      </c>
      <c r="B286" t="s">
        <v>847</v>
      </c>
      <c r="C286" t="s">
        <v>848</v>
      </c>
      <c r="D286" t="str">
        <f>IF(VLOOKUP(C286,'Capabilities Overview'!$A$2:$A$587,1)=C286,"","Not in IOE")</f>
        <v/>
      </c>
      <c r="E286" t="s">
        <v>1</v>
      </c>
      <c r="F286" t="s">
        <v>1</v>
      </c>
      <c r="G286" t="s">
        <v>1</v>
      </c>
      <c r="H286" t="s">
        <v>1</v>
      </c>
      <c r="I286" t="s">
        <v>1</v>
      </c>
      <c r="J286" t="s">
        <v>1</v>
      </c>
      <c r="K286" t="s">
        <v>1</v>
      </c>
      <c r="L286" t="s">
        <v>275</v>
      </c>
      <c r="M286" t="s">
        <v>275</v>
      </c>
      <c r="N286" t="s">
        <v>275</v>
      </c>
      <c r="O286" t="s">
        <v>275</v>
      </c>
      <c r="P286" t="s">
        <v>275</v>
      </c>
      <c r="Q286" t="s">
        <v>275</v>
      </c>
      <c r="R286" t="s">
        <v>1</v>
      </c>
      <c r="S286" t="s">
        <v>275</v>
      </c>
      <c r="T286" t="s">
        <v>1</v>
      </c>
      <c r="U286" t="s">
        <v>275</v>
      </c>
      <c r="V286" t="s">
        <v>275</v>
      </c>
    </row>
    <row r="287" spans="1:22">
      <c r="A287">
        <v>285</v>
      </c>
      <c r="B287" t="s">
        <v>849</v>
      </c>
      <c r="C287" t="s">
        <v>850</v>
      </c>
      <c r="D287" t="str">
        <f>IF(VLOOKUP(C287,'Capabilities Overview'!$A$2:$A$587,1)=C287,"","Not in IOE")</f>
        <v/>
      </c>
      <c r="E287" t="s">
        <v>1</v>
      </c>
      <c r="F287" t="s">
        <v>1</v>
      </c>
      <c r="G287" t="s">
        <v>275</v>
      </c>
      <c r="H287" t="s">
        <v>1</v>
      </c>
      <c r="I287" t="s">
        <v>1</v>
      </c>
      <c r="J287" t="s">
        <v>1</v>
      </c>
      <c r="K287" t="s">
        <v>1</v>
      </c>
      <c r="L287" t="s">
        <v>275</v>
      </c>
      <c r="M287" t="s">
        <v>275</v>
      </c>
      <c r="N287" t="s">
        <v>275</v>
      </c>
      <c r="O287" t="s">
        <v>275</v>
      </c>
      <c r="P287" t="s">
        <v>275</v>
      </c>
      <c r="Q287" t="s">
        <v>275</v>
      </c>
      <c r="R287" t="s">
        <v>275</v>
      </c>
      <c r="S287" t="s">
        <v>275</v>
      </c>
      <c r="T287" t="s">
        <v>1</v>
      </c>
      <c r="U287" t="s">
        <v>275</v>
      </c>
      <c r="V287" t="s">
        <v>275</v>
      </c>
    </row>
    <row r="288" spans="1:22">
      <c r="A288">
        <v>286</v>
      </c>
      <c r="B288" t="s">
        <v>851</v>
      </c>
      <c r="C288" t="s">
        <v>852</v>
      </c>
      <c r="D288" t="str">
        <f>IF(VLOOKUP(C288,'Capabilities Overview'!$A$2:$A$587,1)=C288,"","Not in IOE")</f>
        <v/>
      </c>
      <c r="E288" t="s">
        <v>1</v>
      </c>
      <c r="F288" t="s">
        <v>1</v>
      </c>
      <c r="G288" t="s">
        <v>275</v>
      </c>
      <c r="H288" t="s">
        <v>1</v>
      </c>
      <c r="I288" t="s">
        <v>1</v>
      </c>
      <c r="J288" t="s">
        <v>1</v>
      </c>
      <c r="K288" t="s">
        <v>1</v>
      </c>
      <c r="L288" t="s">
        <v>275</v>
      </c>
      <c r="M288" t="s">
        <v>275</v>
      </c>
      <c r="N288" t="s">
        <v>275</v>
      </c>
      <c r="O288" t="s">
        <v>275</v>
      </c>
      <c r="P288" t="s">
        <v>275</v>
      </c>
      <c r="Q288" t="s">
        <v>275</v>
      </c>
      <c r="R288" t="s">
        <v>275</v>
      </c>
      <c r="S288" t="s">
        <v>275</v>
      </c>
      <c r="T288" t="s">
        <v>1</v>
      </c>
      <c r="U288" t="s">
        <v>275</v>
      </c>
      <c r="V288" t="s">
        <v>275</v>
      </c>
    </row>
    <row r="289" spans="1:22">
      <c r="A289">
        <v>287</v>
      </c>
      <c r="B289" t="s">
        <v>853</v>
      </c>
      <c r="C289" t="s">
        <v>854</v>
      </c>
      <c r="D289" t="str">
        <f>IF(VLOOKUP(C289,'Capabilities Overview'!$A$2:$A$587,1)=C289,"","Not in IOE")</f>
        <v/>
      </c>
      <c r="E289" t="s">
        <v>1</v>
      </c>
      <c r="F289" t="s">
        <v>1</v>
      </c>
      <c r="G289" t="s">
        <v>275</v>
      </c>
      <c r="H289" t="s">
        <v>1</v>
      </c>
      <c r="I289" t="s">
        <v>1</v>
      </c>
      <c r="J289" t="s">
        <v>1</v>
      </c>
      <c r="K289" t="s">
        <v>1</v>
      </c>
      <c r="L289" t="s">
        <v>275</v>
      </c>
      <c r="M289" t="s">
        <v>275</v>
      </c>
      <c r="N289" t="s">
        <v>275</v>
      </c>
      <c r="O289" t="s">
        <v>275</v>
      </c>
      <c r="P289" t="s">
        <v>275</v>
      </c>
      <c r="Q289" t="s">
        <v>275</v>
      </c>
      <c r="R289" t="s">
        <v>275</v>
      </c>
      <c r="S289" t="s">
        <v>275</v>
      </c>
      <c r="T289" t="s">
        <v>1</v>
      </c>
      <c r="U289" t="s">
        <v>275</v>
      </c>
      <c r="V289" t="s">
        <v>275</v>
      </c>
    </row>
    <row r="290" spans="1:22">
      <c r="A290">
        <v>288</v>
      </c>
      <c r="B290" t="s">
        <v>855</v>
      </c>
      <c r="C290" t="s">
        <v>856</v>
      </c>
      <c r="D290" t="str">
        <f>IF(VLOOKUP(C290,'Capabilities Overview'!$A$2:$A$587,1)=C290,"","Not in IOE")</f>
        <v/>
      </c>
      <c r="E290" t="s">
        <v>1</v>
      </c>
      <c r="F290" t="s">
        <v>1</v>
      </c>
      <c r="G290" t="s">
        <v>275</v>
      </c>
      <c r="H290" t="s">
        <v>1</v>
      </c>
      <c r="I290" t="s">
        <v>1</v>
      </c>
      <c r="J290" t="s">
        <v>1</v>
      </c>
      <c r="K290" t="s">
        <v>1</v>
      </c>
      <c r="L290" t="s">
        <v>275</v>
      </c>
      <c r="M290" t="s">
        <v>275</v>
      </c>
      <c r="N290" t="s">
        <v>275</v>
      </c>
      <c r="O290" t="s">
        <v>275</v>
      </c>
      <c r="P290" t="s">
        <v>275</v>
      </c>
      <c r="Q290" t="s">
        <v>275</v>
      </c>
      <c r="R290" t="s">
        <v>275</v>
      </c>
      <c r="S290" t="s">
        <v>275</v>
      </c>
      <c r="T290" t="s">
        <v>1</v>
      </c>
      <c r="U290" t="s">
        <v>275</v>
      </c>
      <c r="V290" t="s">
        <v>275</v>
      </c>
    </row>
    <row r="291" spans="1:22">
      <c r="A291">
        <v>289</v>
      </c>
      <c r="B291" t="s">
        <v>857</v>
      </c>
      <c r="C291" t="s">
        <v>858</v>
      </c>
      <c r="D291" t="str">
        <f>IF(VLOOKUP(C291,'Capabilities Overview'!$A$2:$A$587,1)=C291,"","Not in IOE")</f>
        <v/>
      </c>
      <c r="E291" t="s">
        <v>1</v>
      </c>
      <c r="F291" t="s">
        <v>1</v>
      </c>
      <c r="G291" t="s">
        <v>275</v>
      </c>
      <c r="H291" t="s">
        <v>1</v>
      </c>
      <c r="I291" t="s">
        <v>1</v>
      </c>
      <c r="J291" t="s">
        <v>1</v>
      </c>
      <c r="K291" t="s">
        <v>1</v>
      </c>
      <c r="L291" t="s">
        <v>275</v>
      </c>
      <c r="M291" t="s">
        <v>275</v>
      </c>
      <c r="N291" t="s">
        <v>275</v>
      </c>
      <c r="O291" t="s">
        <v>275</v>
      </c>
      <c r="P291" t="s">
        <v>275</v>
      </c>
      <c r="Q291" t="s">
        <v>275</v>
      </c>
      <c r="R291" t="s">
        <v>275</v>
      </c>
      <c r="S291" t="s">
        <v>275</v>
      </c>
      <c r="T291" t="s">
        <v>1</v>
      </c>
      <c r="U291" t="s">
        <v>275</v>
      </c>
      <c r="V291" t="s">
        <v>275</v>
      </c>
    </row>
    <row r="292" spans="1:22">
      <c r="A292">
        <v>290</v>
      </c>
      <c r="B292" t="s">
        <v>859</v>
      </c>
      <c r="C292" t="s">
        <v>860</v>
      </c>
      <c r="D292" t="str">
        <f>IF(VLOOKUP(C292,'Capabilities Overview'!$A$2:$A$587,1)=C292,"","Not in IOE")</f>
        <v/>
      </c>
      <c r="E292" t="s">
        <v>1</v>
      </c>
      <c r="F292" t="s">
        <v>1</v>
      </c>
      <c r="G292" t="s">
        <v>275</v>
      </c>
      <c r="H292" t="s">
        <v>1</v>
      </c>
      <c r="I292" t="s">
        <v>1</v>
      </c>
      <c r="J292" t="s">
        <v>1</v>
      </c>
      <c r="K292" t="s">
        <v>1</v>
      </c>
      <c r="L292" t="s">
        <v>275</v>
      </c>
      <c r="M292" t="s">
        <v>275</v>
      </c>
      <c r="N292" t="s">
        <v>275</v>
      </c>
      <c r="O292" t="s">
        <v>275</v>
      </c>
      <c r="P292" t="s">
        <v>275</v>
      </c>
      <c r="Q292" t="s">
        <v>275</v>
      </c>
      <c r="R292" t="s">
        <v>275</v>
      </c>
      <c r="S292" t="s">
        <v>275</v>
      </c>
      <c r="T292" t="s">
        <v>1</v>
      </c>
      <c r="U292" t="s">
        <v>275</v>
      </c>
      <c r="V292" t="s">
        <v>275</v>
      </c>
    </row>
    <row r="293" spans="1:22">
      <c r="A293">
        <v>291</v>
      </c>
      <c r="B293" t="s">
        <v>861</v>
      </c>
      <c r="C293" t="s">
        <v>862</v>
      </c>
      <c r="D293" t="str">
        <f>IF(VLOOKUP(C293,'Capabilities Overview'!$A$2:$A$587,1)=C293,"","Not in IOE")</f>
        <v/>
      </c>
      <c r="E293" t="s">
        <v>1</v>
      </c>
      <c r="F293" t="s">
        <v>1</v>
      </c>
      <c r="G293" t="s">
        <v>275</v>
      </c>
      <c r="H293" t="s">
        <v>1</v>
      </c>
      <c r="I293" t="s">
        <v>1</v>
      </c>
      <c r="J293" t="s">
        <v>1</v>
      </c>
      <c r="K293" t="s">
        <v>1</v>
      </c>
      <c r="L293" t="s">
        <v>275</v>
      </c>
      <c r="M293" t="s">
        <v>275</v>
      </c>
      <c r="N293" t="s">
        <v>275</v>
      </c>
      <c r="O293" t="s">
        <v>275</v>
      </c>
      <c r="P293" t="s">
        <v>275</v>
      </c>
      <c r="Q293" t="s">
        <v>275</v>
      </c>
      <c r="R293" t="s">
        <v>275</v>
      </c>
      <c r="S293" t="s">
        <v>275</v>
      </c>
      <c r="T293" t="s">
        <v>1</v>
      </c>
      <c r="U293" t="s">
        <v>275</v>
      </c>
      <c r="V293" t="s">
        <v>275</v>
      </c>
    </row>
    <row r="294" spans="1:22">
      <c r="A294">
        <v>292</v>
      </c>
      <c r="B294" t="s">
        <v>863</v>
      </c>
      <c r="C294" t="s">
        <v>864</v>
      </c>
      <c r="D294" t="str">
        <f>IF(VLOOKUP(C294,'Capabilities Overview'!$A$2:$A$587,1)=C294,"","Not in IOE")</f>
        <v/>
      </c>
      <c r="E294" t="s">
        <v>1</v>
      </c>
      <c r="F294" t="s">
        <v>1</v>
      </c>
      <c r="G294" t="s">
        <v>275</v>
      </c>
      <c r="H294" t="s">
        <v>1</v>
      </c>
      <c r="I294" t="s">
        <v>1</v>
      </c>
      <c r="J294" t="s">
        <v>1</v>
      </c>
      <c r="K294" t="s">
        <v>1</v>
      </c>
      <c r="L294" t="s">
        <v>275</v>
      </c>
      <c r="M294" t="s">
        <v>275</v>
      </c>
      <c r="N294" t="s">
        <v>275</v>
      </c>
      <c r="O294" t="s">
        <v>275</v>
      </c>
      <c r="P294" t="s">
        <v>275</v>
      </c>
      <c r="Q294" t="s">
        <v>275</v>
      </c>
      <c r="R294" t="s">
        <v>275</v>
      </c>
      <c r="S294" t="s">
        <v>275</v>
      </c>
      <c r="T294" t="s">
        <v>1</v>
      </c>
      <c r="U294" t="s">
        <v>275</v>
      </c>
      <c r="V294" t="s">
        <v>275</v>
      </c>
    </row>
    <row r="295" spans="1:22">
      <c r="A295">
        <v>293</v>
      </c>
      <c r="B295" t="s">
        <v>865</v>
      </c>
      <c r="C295" t="s">
        <v>866</v>
      </c>
      <c r="D295" t="str">
        <f>IF(VLOOKUP(C295,'Capabilities Overview'!$A$2:$A$587,1)=C295,"","Not in IOE")</f>
        <v/>
      </c>
      <c r="E295" t="s">
        <v>275</v>
      </c>
      <c r="F295" t="s">
        <v>275</v>
      </c>
      <c r="G295" t="s">
        <v>275</v>
      </c>
      <c r="H295" t="s">
        <v>275</v>
      </c>
      <c r="I295" t="s">
        <v>275</v>
      </c>
      <c r="J295" t="s">
        <v>275</v>
      </c>
      <c r="K295" t="s">
        <v>275</v>
      </c>
      <c r="L295" t="s">
        <v>275</v>
      </c>
      <c r="M295" t="s">
        <v>275</v>
      </c>
      <c r="N295" t="s">
        <v>275</v>
      </c>
      <c r="O295" t="s">
        <v>275</v>
      </c>
      <c r="P295" t="s">
        <v>275</v>
      </c>
      <c r="Q295" t="s">
        <v>275</v>
      </c>
      <c r="R295" t="s">
        <v>275</v>
      </c>
      <c r="S295" t="s">
        <v>275</v>
      </c>
      <c r="T295" t="s">
        <v>275</v>
      </c>
      <c r="U295" t="s">
        <v>275</v>
      </c>
      <c r="V295" t="s">
        <v>275</v>
      </c>
    </row>
    <row r="296" spans="1:22">
      <c r="A296">
        <v>294</v>
      </c>
      <c r="B296" t="s">
        <v>867</v>
      </c>
      <c r="C296" t="s">
        <v>868</v>
      </c>
      <c r="D296" t="str">
        <f>IF(VLOOKUP(C296,'Capabilities Overview'!$A$2:$A$587,1)=C296,"","Not in IOE")</f>
        <v/>
      </c>
      <c r="E296" t="s">
        <v>275</v>
      </c>
      <c r="F296" t="s">
        <v>275</v>
      </c>
      <c r="G296" t="s">
        <v>275</v>
      </c>
      <c r="H296" t="s">
        <v>275</v>
      </c>
      <c r="I296" t="s">
        <v>275</v>
      </c>
      <c r="J296" t="s">
        <v>275</v>
      </c>
      <c r="K296" t="s">
        <v>275</v>
      </c>
      <c r="L296" t="s">
        <v>275</v>
      </c>
      <c r="M296" t="s">
        <v>275</v>
      </c>
      <c r="N296" t="s">
        <v>275</v>
      </c>
      <c r="O296" t="s">
        <v>275</v>
      </c>
      <c r="P296" t="s">
        <v>275</v>
      </c>
      <c r="Q296" t="s">
        <v>275</v>
      </c>
      <c r="R296" t="s">
        <v>275</v>
      </c>
      <c r="S296" t="s">
        <v>275</v>
      </c>
      <c r="T296" t="s">
        <v>275</v>
      </c>
      <c r="U296" t="s">
        <v>275</v>
      </c>
      <c r="V296" t="s">
        <v>275</v>
      </c>
    </row>
    <row r="297" spans="1:22">
      <c r="A297">
        <v>295</v>
      </c>
      <c r="B297" t="s">
        <v>869</v>
      </c>
      <c r="C297" t="s">
        <v>870</v>
      </c>
      <c r="D297" t="str">
        <f>IF(VLOOKUP(C297,'Capabilities Overview'!$A$2:$A$587,1)=C297,"","Not in IOE")</f>
        <v/>
      </c>
      <c r="E297" t="s">
        <v>275</v>
      </c>
      <c r="F297" t="s">
        <v>275</v>
      </c>
      <c r="G297" t="s">
        <v>275</v>
      </c>
      <c r="H297" t="s">
        <v>275</v>
      </c>
      <c r="I297" t="s">
        <v>275</v>
      </c>
      <c r="J297" t="s">
        <v>275</v>
      </c>
      <c r="K297" t="s">
        <v>275</v>
      </c>
      <c r="L297" t="s">
        <v>275</v>
      </c>
      <c r="M297" t="s">
        <v>275</v>
      </c>
      <c r="N297" t="s">
        <v>275</v>
      </c>
      <c r="O297" t="s">
        <v>275</v>
      </c>
      <c r="P297" t="s">
        <v>275</v>
      </c>
      <c r="Q297" t="s">
        <v>275</v>
      </c>
      <c r="R297" t="s">
        <v>275</v>
      </c>
      <c r="S297" t="s">
        <v>275</v>
      </c>
      <c r="T297" t="s">
        <v>275</v>
      </c>
      <c r="U297" t="s">
        <v>275</v>
      </c>
      <c r="V297" t="s">
        <v>275</v>
      </c>
    </row>
    <row r="298" spans="1:22">
      <c r="A298">
        <v>296</v>
      </c>
      <c r="B298" t="s">
        <v>148</v>
      </c>
      <c r="C298" t="s">
        <v>149</v>
      </c>
      <c r="D298" t="str">
        <f>IF(VLOOKUP(C298,'Capabilities Overview'!$A$2:$A$587,1)=C298,"","Not in IOE")</f>
        <v/>
      </c>
      <c r="E298" t="s">
        <v>275</v>
      </c>
      <c r="F298" t="s">
        <v>275</v>
      </c>
      <c r="G298" t="s">
        <v>275</v>
      </c>
      <c r="H298" t="s">
        <v>275</v>
      </c>
      <c r="I298" t="s">
        <v>275</v>
      </c>
      <c r="J298" t="s">
        <v>275</v>
      </c>
      <c r="K298" t="s">
        <v>275</v>
      </c>
      <c r="L298" t="s">
        <v>275</v>
      </c>
      <c r="M298" t="s">
        <v>275</v>
      </c>
      <c r="N298" t="s">
        <v>275</v>
      </c>
      <c r="O298" t="s">
        <v>275</v>
      </c>
      <c r="P298" t="s">
        <v>275</v>
      </c>
      <c r="Q298" t="s">
        <v>275</v>
      </c>
      <c r="R298" t="s">
        <v>275</v>
      </c>
      <c r="S298" t="s">
        <v>275</v>
      </c>
      <c r="T298" t="s">
        <v>275</v>
      </c>
      <c r="U298" t="s">
        <v>275</v>
      </c>
      <c r="V298" t="s">
        <v>275</v>
      </c>
    </row>
    <row r="299" spans="1:22">
      <c r="A299">
        <v>297</v>
      </c>
      <c r="B299" t="s">
        <v>871</v>
      </c>
      <c r="C299" t="s">
        <v>872</v>
      </c>
      <c r="D299" t="str">
        <f>IF(VLOOKUP(C299,'Capabilities Overview'!$A$2:$A$587,1)=C299,"","Not in IOE")</f>
        <v/>
      </c>
      <c r="E299" t="s">
        <v>1</v>
      </c>
      <c r="F299" t="s">
        <v>275</v>
      </c>
      <c r="G299" t="s">
        <v>275</v>
      </c>
      <c r="H299" t="s">
        <v>275</v>
      </c>
      <c r="I299" t="s">
        <v>275</v>
      </c>
      <c r="J299" t="s">
        <v>275</v>
      </c>
      <c r="K299" t="s">
        <v>275</v>
      </c>
      <c r="L299" t="s">
        <v>275</v>
      </c>
      <c r="M299" t="s">
        <v>275</v>
      </c>
      <c r="N299" t="s">
        <v>275</v>
      </c>
      <c r="O299" t="s">
        <v>275</v>
      </c>
      <c r="P299" t="s">
        <v>275</v>
      </c>
      <c r="Q299" t="s">
        <v>275</v>
      </c>
      <c r="R299" t="s">
        <v>275</v>
      </c>
      <c r="S299" t="s">
        <v>275</v>
      </c>
      <c r="T299" t="s">
        <v>275</v>
      </c>
      <c r="U299" t="s">
        <v>275</v>
      </c>
      <c r="V299" t="s">
        <v>275</v>
      </c>
    </row>
    <row r="300" spans="1:22">
      <c r="A300">
        <v>298</v>
      </c>
      <c r="B300" t="s">
        <v>873</v>
      </c>
      <c r="C300" t="s">
        <v>874</v>
      </c>
      <c r="D300" t="str">
        <f>IF(VLOOKUP(C300,'Capabilities Overview'!$A$2:$A$587,1)=C300,"","Not in IOE")</f>
        <v/>
      </c>
      <c r="E300" t="s">
        <v>1</v>
      </c>
      <c r="F300" t="s">
        <v>1</v>
      </c>
      <c r="G300" t="s">
        <v>275</v>
      </c>
      <c r="H300" t="s">
        <v>275</v>
      </c>
      <c r="I300" t="s">
        <v>1</v>
      </c>
      <c r="J300" t="s">
        <v>1</v>
      </c>
      <c r="K300" t="s">
        <v>275</v>
      </c>
      <c r="L300" t="s">
        <v>275</v>
      </c>
      <c r="M300" t="s">
        <v>275</v>
      </c>
      <c r="N300" t="s">
        <v>275</v>
      </c>
      <c r="O300" t="s">
        <v>275</v>
      </c>
      <c r="P300" t="s">
        <v>275</v>
      </c>
      <c r="Q300" t="s">
        <v>275</v>
      </c>
      <c r="R300" t="s">
        <v>275</v>
      </c>
      <c r="S300" t="s">
        <v>275</v>
      </c>
      <c r="T300" t="s">
        <v>275</v>
      </c>
      <c r="U300" t="s">
        <v>275</v>
      </c>
      <c r="V300" t="s">
        <v>275</v>
      </c>
    </row>
    <row r="301" spans="1:22">
      <c r="A301">
        <v>299</v>
      </c>
      <c r="B301" t="s">
        <v>875</v>
      </c>
      <c r="C301" t="s">
        <v>876</v>
      </c>
      <c r="D301" t="str">
        <f>IF(VLOOKUP(C301,'Capabilities Overview'!$A$2:$A$587,1)=C301,"","Not in IOE")</f>
        <v/>
      </c>
      <c r="E301" t="s">
        <v>1</v>
      </c>
      <c r="F301" t="s">
        <v>1</v>
      </c>
      <c r="G301" t="s">
        <v>275</v>
      </c>
      <c r="H301" t="s">
        <v>1</v>
      </c>
      <c r="I301" t="s">
        <v>1</v>
      </c>
      <c r="J301" t="s">
        <v>1</v>
      </c>
      <c r="K301" t="s">
        <v>1</v>
      </c>
      <c r="L301" t="s">
        <v>1</v>
      </c>
      <c r="M301" t="s">
        <v>1</v>
      </c>
      <c r="N301" t="s">
        <v>1</v>
      </c>
      <c r="O301" t="s">
        <v>1</v>
      </c>
      <c r="P301" t="s">
        <v>275</v>
      </c>
      <c r="Q301" t="s">
        <v>275</v>
      </c>
      <c r="R301" t="s">
        <v>275</v>
      </c>
      <c r="S301" t="s">
        <v>275</v>
      </c>
      <c r="T301" t="s">
        <v>1</v>
      </c>
      <c r="U301" t="s">
        <v>275</v>
      </c>
      <c r="V301" t="s">
        <v>275</v>
      </c>
    </row>
    <row r="302" spans="1:22">
      <c r="A302">
        <v>300</v>
      </c>
      <c r="B302" t="s">
        <v>1747</v>
      </c>
      <c r="C302" t="s">
        <v>1748</v>
      </c>
      <c r="D302" t="str">
        <f>IF(VLOOKUP(C302,'Capabilities Overview'!$A$2:$A$587,1)=C302,"","Not in IOE")</f>
        <v>Not in IOE</v>
      </c>
      <c r="E302" t="s">
        <v>275</v>
      </c>
      <c r="F302" t="s">
        <v>275</v>
      </c>
      <c r="G302" t="s">
        <v>275</v>
      </c>
      <c r="H302" t="s">
        <v>275</v>
      </c>
      <c r="I302" t="s">
        <v>275</v>
      </c>
      <c r="J302" t="s">
        <v>275</v>
      </c>
      <c r="K302" t="s">
        <v>275</v>
      </c>
      <c r="L302" t="s">
        <v>275</v>
      </c>
      <c r="M302" t="s">
        <v>275</v>
      </c>
      <c r="N302" t="s">
        <v>275</v>
      </c>
      <c r="O302" t="s">
        <v>1</v>
      </c>
      <c r="P302" t="s">
        <v>1</v>
      </c>
      <c r="Q302" t="s">
        <v>275</v>
      </c>
      <c r="R302" t="s">
        <v>275</v>
      </c>
      <c r="S302" t="s">
        <v>275</v>
      </c>
      <c r="T302" t="s">
        <v>275</v>
      </c>
      <c r="U302" t="s">
        <v>275</v>
      </c>
      <c r="V302" t="s">
        <v>275</v>
      </c>
    </row>
    <row r="303" spans="1:22">
      <c r="A303">
        <v>301</v>
      </c>
      <c r="B303" t="s">
        <v>893</v>
      </c>
      <c r="C303" t="s">
        <v>894</v>
      </c>
      <c r="D303" t="str">
        <f>IF(VLOOKUP(C303,'Capabilities Overview'!$A$2:$A$587,1)=C303,"","Not in IOE")</f>
        <v/>
      </c>
      <c r="E303" t="s">
        <v>275</v>
      </c>
      <c r="F303" t="s">
        <v>1</v>
      </c>
      <c r="G303" t="s">
        <v>275</v>
      </c>
      <c r="H303" t="s">
        <v>1</v>
      </c>
      <c r="I303" t="s">
        <v>1</v>
      </c>
      <c r="J303" t="s">
        <v>1</v>
      </c>
      <c r="K303" t="s">
        <v>1</v>
      </c>
      <c r="L303" t="s">
        <v>1</v>
      </c>
      <c r="M303" t="s">
        <v>1</v>
      </c>
      <c r="N303" t="s">
        <v>1</v>
      </c>
      <c r="O303" t="s">
        <v>275</v>
      </c>
      <c r="P303" t="s">
        <v>275</v>
      </c>
      <c r="Q303" t="s">
        <v>275</v>
      </c>
      <c r="R303" t="s">
        <v>275</v>
      </c>
      <c r="S303" t="s">
        <v>275</v>
      </c>
      <c r="T303" t="s">
        <v>1</v>
      </c>
      <c r="U303" t="s">
        <v>275</v>
      </c>
      <c r="V303" t="s">
        <v>275</v>
      </c>
    </row>
    <row r="304" spans="1:22">
      <c r="A304">
        <v>302</v>
      </c>
      <c r="B304" t="s">
        <v>895</v>
      </c>
      <c r="C304" t="s">
        <v>896</v>
      </c>
      <c r="D304" t="str">
        <f>IF(VLOOKUP(C304,'Capabilities Overview'!$A$2:$A$587,1)=C304,"","Not in IOE")</f>
        <v/>
      </c>
      <c r="E304" t="s">
        <v>275</v>
      </c>
      <c r="F304" t="s">
        <v>1</v>
      </c>
      <c r="G304" t="s">
        <v>275</v>
      </c>
      <c r="H304" t="s">
        <v>1</v>
      </c>
      <c r="I304" t="s">
        <v>1</v>
      </c>
      <c r="J304" t="s">
        <v>1</v>
      </c>
      <c r="K304" t="s">
        <v>1</v>
      </c>
      <c r="L304" t="s">
        <v>275</v>
      </c>
      <c r="M304" t="s">
        <v>275</v>
      </c>
      <c r="N304" t="s">
        <v>275</v>
      </c>
      <c r="O304" t="s">
        <v>275</v>
      </c>
      <c r="P304" t="s">
        <v>275</v>
      </c>
      <c r="Q304" t="s">
        <v>275</v>
      </c>
      <c r="R304" t="s">
        <v>275</v>
      </c>
      <c r="S304" t="s">
        <v>275</v>
      </c>
      <c r="T304" t="s">
        <v>1</v>
      </c>
      <c r="U304" t="s">
        <v>275</v>
      </c>
      <c r="V304" t="s">
        <v>275</v>
      </c>
    </row>
    <row r="305" spans="1:22">
      <c r="A305">
        <v>303</v>
      </c>
      <c r="B305" t="s">
        <v>897</v>
      </c>
      <c r="C305" t="s">
        <v>898</v>
      </c>
      <c r="D305" t="str">
        <f>IF(VLOOKUP(C305,'Capabilities Overview'!$A$2:$A$587,1)=C305,"","Not in IOE")</f>
        <v/>
      </c>
      <c r="E305" t="s">
        <v>1</v>
      </c>
      <c r="F305" t="s">
        <v>1</v>
      </c>
      <c r="G305" t="s">
        <v>275</v>
      </c>
      <c r="H305" t="s">
        <v>1</v>
      </c>
      <c r="I305" t="s">
        <v>1</v>
      </c>
      <c r="J305" t="s">
        <v>1</v>
      </c>
      <c r="K305" t="s">
        <v>1</v>
      </c>
      <c r="L305" t="s">
        <v>275</v>
      </c>
      <c r="M305" t="s">
        <v>275</v>
      </c>
      <c r="N305" t="s">
        <v>275</v>
      </c>
      <c r="O305" t="s">
        <v>275</v>
      </c>
      <c r="P305" t="s">
        <v>275</v>
      </c>
      <c r="Q305" t="s">
        <v>275</v>
      </c>
      <c r="R305" t="s">
        <v>275</v>
      </c>
      <c r="S305" t="s">
        <v>275</v>
      </c>
      <c r="T305" t="s">
        <v>1</v>
      </c>
      <c r="U305" t="s">
        <v>275</v>
      </c>
      <c r="V305" t="s">
        <v>275</v>
      </c>
    </row>
    <row r="306" spans="1:22">
      <c r="A306">
        <v>304</v>
      </c>
      <c r="B306" t="s">
        <v>899</v>
      </c>
      <c r="C306" t="s">
        <v>900</v>
      </c>
      <c r="D306" t="str">
        <f>IF(VLOOKUP(C306,'Capabilities Overview'!$A$2:$A$587,1)=C306,"","Not in IOE")</f>
        <v/>
      </c>
      <c r="E306" t="s">
        <v>1</v>
      </c>
      <c r="F306" t="s">
        <v>1</v>
      </c>
      <c r="G306" t="s">
        <v>275</v>
      </c>
      <c r="H306" t="s">
        <v>41</v>
      </c>
      <c r="I306" t="s">
        <v>1</v>
      </c>
      <c r="J306" t="s">
        <v>1</v>
      </c>
      <c r="K306" t="s">
        <v>275</v>
      </c>
      <c r="L306" t="s">
        <v>275</v>
      </c>
      <c r="M306" t="s">
        <v>275</v>
      </c>
      <c r="N306" t="s">
        <v>275</v>
      </c>
      <c r="O306" t="s">
        <v>275</v>
      </c>
      <c r="P306" t="s">
        <v>275</v>
      </c>
      <c r="Q306" t="s">
        <v>275</v>
      </c>
      <c r="R306" t="s">
        <v>275</v>
      </c>
      <c r="S306" t="s">
        <v>275</v>
      </c>
      <c r="T306" t="s">
        <v>275</v>
      </c>
      <c r="U306" t="s">
        <v>275</v>
      </c>
      <c r="V306" t="s">
        <v>275</v>
      </c>
    </row>
    <row r="307" spans="1:22">
      <c r="A307">
        <v>305</v>
      </c>
      <c r="B307" t="s">
        <v>901</v>
      </c>
      <c r="C307" t="s">
        <v>902</v>
      </c>
      <c r="D307" t="str">
        <f>IF(VLOOKUP(C307,'Capabilities Overview'!$A$2:$A$587,1)=C307,"","Not in IOE")</f>
        <v/>
      </c>
      <c r="E307" t="s">
        <v>1</v>
      </c>
      <c r="F307" t="s">
        <v>1</v>
      </c>
      <c r="G307" t="s">
        <v>275</v>
      </c>
      <c r="H307" t="s">
        <v>41</v>
      </c>
      <c r="I307" t="s">
        <v>1</v>
      </c>
      <c r="J307" t="s">
        <v>1</v>
      </c>
      <c r="K307" t="s">
        <v>275</v>
      </c>
      <c r="L307" t="s">
        <v>275</v>
      </c>
      <c r="M307" t="s">
        <v>275</v>
      </c>
      <c r="N307" t="s">
        <v>275</v>
      </c>
      <c r="O307" t="s">
        <v>275</v>
      </c>
      <c r="P307" t="s">
        <v>275</v>
      </c>
      <c r="Q307" t="s">
        <v>275</v>
      </c>
      <c r="R307" t="s">
        <v>275</v>
      </c>
      <c r="S307" t="s">
        <v>275</v>
      </c>
      <c r="T307" t="s">
        <v>275</v>
      </c>
      <c r="U307" t="s">
        <v>275</v>
      </c>
      <c r="V307" t="s">
        <v>275</v>
      </c>
    </row>
    <row r="308" spans="1:22">
      <c r="A308">
        <v>306</v>
      </c>
      <c r="B308" t="s">
        <v>903</v>
      </c>
      <c r="C308" t="s">
        <v>904</v>
      </c>
      <c r="D308" t="str">
        <f>IF(VLOOKUP(C308,'Capabilities Overview'!$A$2:$A$587,1)=C308,"","Not in IOE")</f>
        <v/>
      </c>
      <c r="E308" t="s">
        <v>1</v>
      </c>
      <c r="F308" t="s">
        <v>1</v>
      </c>
      <c r="G308" t="s">
        <v>275</v>
      </c>
      <c r="H308" t="s">
        <v>41</v>
      </c>
      <c r="I308" t="s">
        <v>1</v>
      </c>
      <c r="J308" t="s">
        <v>1</v>
      </c>
      <c r="K308" t="s">
        <v>275</v>
      </c>
      <c r="L308" t="s">
        <v>275</v>
      </c>
      <c r="M308" t="s">
        <v>275</v>
      </c>
      <c r="N308" t="s">
        <v>275</v>
      </c>
      <c r="O308" t="s">
        <v>275</v>
      </c>
      <c r="P308" t="s">
        <v>275</v>
      </c>
      <c r="Q308" t="s">
        <v>275</v>
      </c>
      <c r="R308" t="s">
        <v>275</v>
      </c>
      <c r="S308" t="s">
        <v>275</v>
      </c>
      <c r="T308" t="s">
        <v>275</v>
      </c>
      <c r="U308" t="s">
        <v>275</v>
      </c>
      <c r="V308" t="s">
        <v>275</v>
      </c>
    </row>
    <row r="309" spans="1:22">
      <c r="A309">
        <v>307</v>
      </c>
      <c r="B309" t="s">
        <v>905</v>
      </c>
      <c r="C309" t="s">
        <v>906</v>
      </c>
      <c r="D309" t="str">
        <f>IF(VLOOKUP(C309,'Capabilities Overview'!$A$2:$A$587,1)=C309,"","Not in IOE")</f>
        <v/>
      </c>
      <c r="E309" t="s">
        <v>275</v>
      </c>
      <c r="F309" t="s">
        <v>1</v>
      </c>
      <c r="G309" t="s">
        <v>275</v>
      </c>
      <c r="H309" t="s">
        <v>275</v>
      </c>
      <c r="I309" t="s">
        <v>1</v>
      </c>
      <c r="J309" t="s">
        <v>1</v>
      </c>
      <c r="K309" t="s">
        <v>275</v>
      </c>
      <c r="L309" t="s">
        <v>275</v>
      </c>
      <c r="M309" t="s">
        <v>275</v>
      </c>
      <c r="N309" t="s">
        <v>275</v>
      </c>
      <c r="O309" t="s">
        <v>275</v>
      </c>
      <c r="P309" t="s">
        <v>275</v>
      </c>
      <c r="Q309" t="s">
        <v>275</v>
      </c>
      <c r="R309" t="s">
        <v>275</v>
      </c>
      <c r="S309" t="s">
        <v>275</v>
      </c>
      <c r="T309" t="s">
        <v>275</v>
      </c>
      <c r="U309" t="s">
        <v>275</v>
      </c>
      <c r="V309" t="s">
        <v>275</v>
      </c>
    </row>
    <row r="310" spans="1:22">
      <c r="A310">
        <v>308</v>
      </c>
      <c r="B310" t="s">
        <v>907</v>
      </c>
      <c r="C310" t="s">
        <v>908</v>
      </c>
      <c r="D310" t="str">
        <f>IF(VLOOKUP(C310,'Capabilities Overview'!$A$2:$A$587,1)=C310,"","Not in IOE")</f>
        <v/>
      </c>
      <c r="E310" t="s">
        <v>1</v>
      </c>
      <c r="F310" t="s">
        <v>1</v>
      </c>
      <c r="G310" t="s">
        <v>275</v>
      </c>
      <c r="H310" t="s">
        <v>41</v>
      </c>
      <c r="I310" t="s">
        <v>1</v>
      </c>
      <c r="J310" t="s">
        <v>1</v>
      </c>
      <c r="K310" t="s">
        <v>275</v>
      </c>
      <c r="L310" t="s">
        <v>275</v>
      </c>
      <c r="M310" t="s">
        <v>275</v>
      </c>
      <c r="N310" t="s">
        <v>275</v>
      </c>
      <c r="O310" t="s">
        <v>275</v>
      </c>
      <c r="P310" t="s">
        <v>275</v>
      </c>
      <c r="Q310" t="s">
        <v>275</v>
      </c>
      <c r="R310" t="s">
        <v>275</v>
      </c>
      <c r="S310" t="s">
        <v>275</v>
      </c>
      <c r="T310" t="s">
        <v>275</v>
      </c>
      <c r="U310" t="s">
        <v>275</v>
      </c>
      <c r="V310" t="s">
        <v>275</v>
      </c>
    </row>
    <row r="311" spans="1:22">
      <c r="A311">
        <v>309</v>
      </c>
      <c r="B311" t="s">
        <v>909</v>
      </c>
      <c r="C311" t="s">
        <v>910</v>
      </c>
      <c r="D311" t="str">
        <f>IF(VLOOKUP(C311,'Capabilities Overview'!$A$2:$A$587,1)=C311,"","Not in IOE")</f>
        <v/>
      </c>
      <c r="E311" t="s">
        <v>275</v>
      </c>
      <c r="F311" t="s">
        <v>275</v>
      </c>
      <c r="G311" t="s">
        <v>275</v>
      </c>
      <c r="H311" t="s">
        <v>275</v>
      </c>
      <c r="I311" t="s">
        <v>10</v>
      </c>
      <c r="J311" t="s">
        <v>275</v>
      </c>
      <c r="K311" t="s">
        <v>275</v>
      </c>
      <c r="L311" t="s">
        <v>1</v>
      </c>
      <c r="M311" t="s">
        <v>1</v>
      </c>
      <c r="N311" t="s">
        <v>1</v>
      </c>
      <c r="O311" t="s">
        <v>275</v>
      </c>
      <c r="P311" t="s">
        <v>275</v>
      </c>
      <c r="Q311" t="s">
        <v>275</v>
      </c>
      <c r="R311" t="s">
        <v>275</v>
      </c>
      <c r="S311" t="s">
        <v>275</v>
      </c>
      <c r="T311" t="s">
        <v>275</v>
      </c>
      <c r="U311" t="s">
        <v>275</v>
      </c>
      <c r="V311" t="s">
        <v>275</v>
      </c>
    </row>
    <row r="312" spans="1:22">
      <c r="A312">
        <v>310</v>
      </c>
      <c r="B312" t="s">
        <v>911</v>
      </c>
      <c r="C312" t="s">
        <v>912</v>
      </c>
      <c r="D312" t="str">
        <f>IF(VLOOKUP(C312,'Capabilities Overview'!$A$2:$A$587,1)=C312,"","Not in IOE")</f>
        <v/>
      </c>
      <c r="E312" t="s">
        <v>275</v>
      </c>
      <c r="F312" t="s">
        <v>1</v>
      </c>
      <c r="G312" t="s">
        <v>275</v>
      </c>
      <c r="H312" t="s">
        <v>1</v>
      </c>
      <c r="I312" t="s">
        <v>1</v>
      </c>
      <c r="J312" t="s">
        <v>1</v>
      </c>
      <c r="K312" t="s">
        <v>1</v>
      </c>
      <c r="L312" t="s">
        <v>1</v>
      </c>
      <c r="M312" t="s">
        <v>1</v>
      </c>
      <c r="N312" t="s">
        <v>1</v>
      </c>
      <c r="O312" t="s">
        <v>1</v>
      </c>
      <c r="P312" t="s">
        <v>275</v>
      </c>
      <c r="Q312" t="s">
        <v>275</v>
      </c>
      <c r="R312" t="s">
        <v>275</v>
      </c>
      <c r="S312" t="s">
        <v>275</v>
      </c>
      <c r="T312" t="s">
        <v>1</v>
      </c>
      <c r="U312" t="s">
        <v>275</v>
      </c>
      <c r="V312" t="s">
        <v>275</v>
      </c>
    </row>
    <row r="313" spans="1:22">
      <c r="A313">
        <v>311</v>
      </c>
      <c r="B313" t="s">
        <v>893</v>
      </c>
      <c r="C313" t="s">
        <v>913</v>
      </c>
      <c r="D313" t="str">
        <f>IF(VLOOKUP(C313,'Capabilities Overview'!$A$2:$A$587,1)=C313,"","Not in IOE")</f>
        <v/>
      </c>
      <c r="E313" t="s">
        <v>1</v>
      </c>
      <c r="F313" t="s">
        <v>1</v>
      </c>
      <c r="G313" t="s">
        <v>275</v>
      </c>
      <c r="H313" t="s">
        <v>1</v>
      </c>
      <c r="I313" t="s">
        <v>1</v>
      </c>
      <c r="J313" t="s">
        <v>1</v>
      </c>
      <c r="K313" t="s">
        <v>1</v>
      </c>
      <c r="L313" t="s">
        <v>1</v>
      </c>
      <c r="M313" t="s">
        <v>1</v>
      </c>
      <c r="N313" t="s">
        <v>1</v>
      </c>
      <c r="O313" t="s">
        <v>275</v>
      </c>
      <c r="P313" t="s">
        <v>275</v>
      </c>
      <c r="Q313" t="s">
        <v>275</v>
      </c>
      <c r="R313" t="s">
        <v>275</v>
      </c>
      <c r="S313" t="s">
        <v>275</v>
      </c>
      <c r="T313" t="s">
        <v>1</v>
      </c>
      <c r="U313" t="s">
        <v>275</v>
      </c>
      <c r="V313" t="s">
        <v>275</v>
      </c>
    </row>
    <row r="314" spans="1:22">
      <c r="A314">
        <v>312</v>
      </c>
      <c r="B314" t="s">
        <v>895</v>
      </c>
      <c r="C314" t="s">
        <v>914</v>
      </c>
      <c r="D314" t="str">
        <f>IF(VLOOKUP(C314,'Capabilities Overview'!$A$2:$A$587,1)=C314,"","Not in IOE")</f>
        <v/>
      </c>
      <c r="E314" t="s">
        <v>1</v>
      </c>
      <c r="F314" t="s">
        <v>1</v>
      </c>
      <c r="G314" t="s">
        <v>275</v>
      </c>
      <c r="H314" t="s">
        <v>1</v>
      </c>
      <c r="I314" t="s">
        <v>1</v>
      </c>
      <c r="J314" t="s">
        <v>1</v>
      </c>
      <c r="K314" t="s">
        <v>1</v>
      </c>
      <c r="L314" t="s">
        <v>275</v>
      </c>
      <c r="M314" t="s">
        <v>275</v>
      </c>
      <c r="N314" t="s">
        <v>275</v>
      </c>
      <c r="O314" t="s">
        <v>275</v>
      </c>
      <c r="P314" t="s">
        <v>275</v>
      </c>
      <c r="Q314" t="s">
        <v>275</v>
      </c>
      <c r="R314" t="s">
        <v>275</v>
      </c>
      <c r="S314" t="s">
        <v>275</v>
      </c>
      <c r="T314" t="s">
        <v>1</v>
      </c>
      <c r="U314" t="s">
        <v>275</v>
      </c>
      <c r="V314" t="s">
        <v>275</v>
      </c>
    </row>
    <row r="315" spans="1:22">
      <c r="A315">
        <v>313</v>
      </c>
      <c r="B315" t="s">
        <v>909</v>
      </c>
      <c r="C315" t="s">
        <v>915</v>
      </c>
      <c r="D315" t="str">
        <f>IF(VLOOKUP(C315,'Capabilities Overview'!$A$2:$A$587,1)=C315,"","Not in IOE")</f>
        <v/>
      </c>
      <c r="E315" t="s">
        <v>1</v>
      </c>
      <c r="F315" t="s">
        <v>275</v>
      </c>
      <c r="G315" t="s">
        <v>275</v>
      </c>
      <c r="H315" t="s">
        <v>275</v>
      </c>
      <c r="I315" t="s">
        <v>10</v>
      </c>
      <c r="J315" t="s">
        <v>275</v>
      </c>
      <c r="K315" t="s">
        <v>275</v>
      </c>
      <c r="L315" t="s">
        <v>1</v>
      </c>
      <c r="M315" t="s">
        <v>1</v>
      </c>
      <c r="N315" t="s">
        <v>275</v>
      </c>
      <c r="O315" t="s">
        <v>275</v>
      </c>
      <c r="P315" t="s">
        <v>275</v>
      </c>
      <c r="Q315" t="s">
        <v>275</v>
      </c>
      <c r="R315" t="s">
        <v>275</v>
      </c>
      <c r="S315" t="s">
        <v>275</v>
      </c>
      <c r="T315" t="s">
        <v>275</v>
      </c>
      <c r="U315" t="s">
        <v>275</v>
      </c>
      <c r="V315" t="s">
        <v>275</v>
      </c>
    </row>
    <row r="316" spans="1:22">
      <c r="A316">
        <v>314</v>
      </c>
      <c r="B316" t="s">
        <v>911</v>
      </c>
      <c r="C316" t="s">
        <v>916</v>
      </c>
      <c r="D316" t="str">
        <f>IF(VLOOKUP(C316,'Capabilities Overview'!$A$2:$A$587,1)=C316,"","Not in IOE")</f>
        <v/>
      </c>
      <c r="E316" t="s">
        <v>1</v>
      </c>
      <c r="F316" t="s">
        <v>1</v>
      </c>
      <c r="G316" t="s">
        <v>275</v>
      </c>
      <c r="H316" t="s">
        <v>1</v>
      </c>
      <c r="I316" t="s">
        <v>1</v>
      </c>
      <c r="J316" t="s">
        <v>1</v>
      </c>
      <c r="K316" t="s">
        <v>1</v>
      </c>
      <c r="L316" t="s">
        <v>1</v>
      </c>
      <c r="M316" t="s">
        <v>1</v>
      </c>
      <c r="N316" t="s">
        <v>1</v>
      </c>
      <c r="O316" t="s">
        <v>1</v>
      </c>
      <c r="P316" t="s">
        <v>275</v>
      </c>
      <c r="Q316" t="s">
        <v>275</v>
      </c>
      <c r="R316" t="s">
        <v>275</v>
      </c>
      <c r="S316" t="s">
        <v>275</v>
      </c>
      <c r="T316" t="s">
        <v>1</v>
      </c>
      <c r="U316" t="s">
        <v>275</v>
      </c>
      <c r="V316" t="s">
        <v>275</v>
      </c>
    </row>
    <row r="317" spans="1:22">
      <c r="A317">
        <v>315</v>
      </c>
      <c r="B317" t="s">
        <v>947</v>
      </c>
      <c r="C317" t="s">
        <v>948</v>
      </c>
      <c r="D317" t="str">
        <f>IF(VLOOKUP(C317,'Capabilities Overview'!$A$2:$A$587,1)=C317,"","Not in IOE")</f>
        <v/>
      </c>
      <c r="E317" t="s">
        <v>1</v>
      </c>
      <c r="F317" t="s">
        <v>275</v>
      </c>
      <c r="G317" t="s">
        <v>275</v>
      </c>
      <c r="H317" t="s">
        <v>275</v>
      </c>
      <c r="I317" t="s">
        <v>1</v>
      </c>
      <c r="J317" t="s">
        <v>1</v>
      </c>
      <c r="K317" t="s">
        <v>275</v>
      </c>
      <c r="L317" t="s">
        <v>275</v>
      </c>
      <c r="M317" t="s">
        <v>275</v>
      </c>
      <c r="N317" t="s">
        <v>275</v>
      </c>
      <c r="O317" t="s">
        <v>275</v>
      </c>
      <c r="P317" t="s">
        <v>275</v>
      </c>
      <c r="Q317" t="s">
        <v>275</v>
      </c>
      <c r="R317" t="s">
        <v>275</v>
      </c>
      <c r="S317" t="s">
        <v>275</v>
      </c>
      <c r="T317" t="s">
        <v>275</v>
      </c>
      <c r="U317" t="s">
        <v>275</v>
      </c>
      <c r="V317" t="s">
        <v>275</v>
      </c>
    </row>
    <row r="318" spans="1:22">
      <c r="A318">
        <v>316</v>
      </c>
      <c r="B318" t="s">
        <v>949</v>
      </c>
      <c r="C318" t="s">
        <v>950</v>
      </c>
      <c r="D318" t="str">
        <f>IF(VLOOKUP(C318,'Capabilities Overview'!$A$2:$A$587,1)=C318,"","Not in IOE")</f>
        <v/>
      </c>
      <c r="E318" t="s">
        <v>1</v>
      </c>
      <c r="F318" t="s">
        <v>275</v>
      </c>
      <c r="G318" t="s">
        <v>275</v>
      </c>
      <c r="H318" t="s">
        <v>1</v>
      </c>
      <c r="I318" t="s">
        <v>1</v>
      </c>
      <c r="J318" t="s">
        <v>1</v>
      </c>
      <c r="K318" t="s">
        <v>1</v>
      </c>
      <c r="L318" t="s">
        <v>1</v>
      </c>
      <c r="M318" t="s">
        <v>1</v>
      </c>
      <c r="N318" t="s">
        <v>1</v>
      </c>
      <c r="O318" t="s">
        <v>1</v>
      </c>
      <c r="P318" t="s">
        <v>275</v>
      </c>
      <c r="Q318" t="s">
        <v>275</v>
      </c>
      <c r="R318" t="s">
        <v>275</v>
      </c>
      <c r="S318" t="s">
        <v>275</v>
      </c>
      <c r="T318" t="s">
        <v>1</v>
      </c>
      <c r="U318" t="s">
        <v>275</v>
      </c>
      <c r="V318" t="s">
        <v>275</v>
      </c>
    </row>
    <row r="319" spans="1:22">
      <c r="A319">
        <v>317</v>
      </c>
      <c r="B319" t="s">
        <v>951</v>
      </c>
      <c r="C319" t="s">
        <v>952</v>
      </c>
      <c r="D319" t="str">
        <f>IF(VLOOKUP(C319,'Capabilities Overview'!$A$2:$A$587,1)=C319,"","Not in IOE")</f>
        <v/>
      </c>
      <c r="E319" t="s">
        <v>1</v>
      </c>
      <c r="F319" t="s">
        <v>275</v>
      </c>
      <c r="G319" t="s">
        <v>275</v>
      </c>
      <c r="H319" t="s">
        <v>1</v>
      </c>
      <c r="I319" t="s">
        <v>1</v>
      </c>
      <c r="J319" t="s">
        <v>1</v>
      </c>
      <c r="K319" t="s">
        <v>1</v>
      </c>
      <c r="L319" t="s">
        <v>275</v>
      </c>
      <c r="M319" t="s">
        <v>275</v>
      </c>
      <c r="N319" t="s">
        <v>275</v>
      </c>
      <c r="O319" t="s">
        <v>275</v>
      </c>
      <c r="P319" t="s">
        <v>275</v>
      </c>
      <c r="Q319" t="s">
        <v>275</v>
      </c>
      <c r="R319" t="s">
        <v>275</v>
      </c>
      <c r="S319" t="s">
        <v>275</v>
      </c>
      <c r="T319" t="s">
        <v>1</v>
      </c>
      <c r="U319" t="s">
        <v>275</v>
      </c>
      <c r="V319" t="s">
        <v>275</v>
      </c>
    </row>
    <row r="320" spans="1:22">
      <c r="A320">
        <v>318</v>
      </c>
      <c r="B320" t="s">
        <v>965</v>
      </c>
      <c r="C320" t="s">
        <v>966</v>
      </c>
      <c r="D320" t="str">
        <f>IF(VLOOKUP(C320,'Capabilities Overview'!$A$2:$A$587,1)=C320,"","Not in IOE")</f>
        <v/>
      </c>
      <c r="E320" t="s">
        <v>1</v>
      </c>
      <c r="F320" t="s">
        <v>1</v>
      </c>
      <c r="G320" t="s">
        <v>1</v>
      </c>
      <c r="H320" t="s">
        <v>1</v>
      </c>
      <c r="I320" t="s">
        <v>1</v>
      </c>
      <c r="J320" t="s">
        <v>1</v>
      </c>
      <c r="K320" t="s">
        <v>1</v>
      </c>
      <c r="L320" t="s">
        <v>275</v>
      </c>
      <c r="M320" t="s">
        <v>275</v>
      </c>
      <c r="N320" t="s">
        <v>275</v>
      </c>
      <c r="O320" t="s">
        <v>275</v>
      </c>
      <c r="P320" t="s">
        <v>275</v>
      </c>
      <c r="Q320" t="s">
        <v>275</v>
      </c>
      <c r="R320" t="s">
        <v>275</v>
      </c>
      <c r="S320" t="s">
        <v>275</v>
      </c>
      <c r="T320" t="s">
        <v>1</v>
      </c>
      <c r="U320" t="s">
        <v>275</v>
      </c>
      <c r="V320" t="s">
        <v>275</v>
      </c>
    </row>
    <row r="321" spans="1:22">
      <c r="A321">
        <v>319</v>
      </c>
      <c r="B321" t="s">
        <v>967</v>
      </c>
      <c r="C321" t="s">
        <v>968</v>
      </c>
      <c r="D321" t="str">
        <f>IF(VLOOKUP(C321,'Capabilities Overview'!$A$2:$A$587,1)=C321,"","Not in IOE")</f>
        <v/>
      </c>
      <c r="E321" t="s">
        <v>1</v>
      </c>
      <c r="F321" t="s">
        <v>41</v>
      </c>
      <c r="G321" t="s">
        <v>41</v>
      </c>
      <c r="H321" t="s">
        <v>41</v>
      </c>
      <c r="I321" t="s">
        <v>1</v>
      </c>
      <c r="J321" t="s">
        <v>1</v>
      </c>
      <c r="K321" t="s">
        <v>41</v>
      </c>
      <c r="L321" t="s">
        <v>275</v>
      </c>
      <c r="M321" t="s">
        <v>275</v>
      </c>
      <c r="N321" t="s">
        <v>275</v>
      </c>
      <c r="O321" t="s">
        <v>275</v>
      </c>
      <c r="P321" t="s">
        <v>275</v>
      </c>
      <c r="Q321" t="s">
        <v>275</v>
      </c>
      <c r="R321" t="s">
        <v>275</v>
      </c>
      <c r="S321" t="s">
        <v>275</v>
      </c>
      <c r="T321" t="s">
        <v>41</v>
      </c>
      <c r="U321" t="s">
        <v>275</v>
      </c>
      <c r="V321" t="s">
        <v>275</v>
      </c>
    </row>
    <row r="322" spans="1:22">
      <c r="A322">
        <v>320</v>
      </c>
      <c r="B322" t="s">
        <v>969</v>
      </c>
      <c r="C322" t="s">
        <v>970</v>
      </c>
      <c r="D322" t="str">
        <f>IF(VLOOKUP(C322,'Capabilities Overview'!$A$2:$A$587,1)=C322,"","Not in IOE")</f>
        <v/>
      </c>
      <c r="E322" t="s">
        <v>1</v>
      </c>
      <c r="F322" t="s">
        <v>1</v>
      </c>
      <c r="G322" t="s">
        <v>1</v>
      </c>
      <c r="H322" t="s">
        <v>1</v>
      </c>
      <c r="I322" t="s">
        <v>1</v>
      </c>
      <c r="J322" t="s">
        <v>1</v>
      </c>
      <c r="K322" t="s">
        <v>1</v>
      </c>
      <c r="L322" t="s">
        <v>1</v>
      </c>
      <c r="M322" t="s">
        <v>1</v>
      </c>
      <c r="N322" t="s">
        <v>1</v>
      </c>
      <c r="O322" t="s">
        <v>275</v>
      </c>
      <c r="P322" t="s">
        <v>275</v>
      </c>
      <c r="Q322" t="s">
        <v>275</v>
      </c>
      <c r="R322" t="s">
        <v>275</v>
      </c>
      <c r="S322" t="s">
        <v>275</v>
      </c>
      <c r="T322" t="s">
        <v>1</v>
      </c>
      <c r="U322" t="s">
        <v>275</v>
      </c>
      <c r="V322" t="s">
        <v>275</v>
      </c>
    </row>
    <row r="323" spans="1:22">
      <c r="A323">
        <v>321</v>
      </c>
      <c r="B323" t="s">
        <v>971</v>
      </c>
      <c r="C323" t="s">
        <v>972</v>
      </c>
      <c r="D323" t="str">
        <f>IF(VLOOKUP(C323,'Capabilities Overview'!$A$2:$A$587,1)=C323,"","Not in IOE")</f>
        <v/>
      </c>
      <c r="E323" t="s">
        <v>1</v>
      </c>
      <c r="F323" t="s">
        <v>1</v>
      </c>
      <c r="G323" t="s">
        <v>275</v>
      </c>
      <c r="H323" t="s">
        <v>1</v>
      </c>
      <c r="I323" t="s">
        <v>1</v>
      </c>
      <c r="J323" t="s">
        <v>1</v>
      </c>
      <c r="K323" t="s">
        <v>1</v>
      </c>
      <c r="L323" t="s">
        <v>1</v>
      </c>
      <c r="M323" t="s">
        <v>1</v>
      </c>
      <c r="N323" t="s">
        <v>275</v>
      </c>
      <c r="O323" t="s">
        <v>275</v>
      </c>
      <c r="P323" t="s">
        <v>275</v>
      </c>
      <c r="Q323" t="s">
        <v>275</v>
      </c>
      <c r="R323" t="s">
        <v>275</v>
      </c>
      <c r="S323" t="s">
        <v>275</v>
      </c>
      <c r="T323" t="s">
        <v>1</v>
      </c>
      <c r="U323" t="s">
        <v>275</v>
      </c>
      <c r="V323" t="s">
        <v>275</v>
      </c>
    </row>
    <row r="324" spans="1:22">
      <c r="A324">
        <v>322</v>
      </c>
      <c r="B324" t="s">
        <v>973</v>
      </c>
      <c r="C324" t="s">
        <v>974</v>
      </c>
      <c r="D324" t="str">
        <f>IF(VLOOKUP(C324,'Capabilities Overview'!$A$2:$A$587,1)=C324,"","Not in IOE")</f>
        <v/>
      </c>
      <c r="E324" t="s">
        <v>1</v>
      </c>
      <c r="F324" t="s">
        <v>1</v>
      </c>
      <c r="G324" t="s">
        <v>275</v>
      </c>
      <c r="H324" t="s">
        <v>1</v>
      </c>
      <c r="I324" t="s">
        <v>1</v>
      </c>
      <c r="J324" t="s">
        <v>1</v>
      </c>
      <c r="K324" t="s">
        <v>1</v>
      </c>
      <c r="L324" t="s">
        <v>275</v>
      </c>
      <c r="M324" t="s">
        <v>275</v>
      </c>
      <c r="N324" t="s">
        <v>275</v>
      </c>
      <c r="O324" t="s">
        <v>275</v>
      </c>
      <c r="P324" t="s">
        <v>275</v>
      </c>
      <c r="Q324" t="s">
        <v>275</v>
      </c>
      <c r="R324" t="s">
        <v>275</v>
      </c>
      <c r="S324" t="s">
        <v>275</v>
      </c>
      <c r="T324" t="s">
        <v>1</v>
      </c>
      <c r="U324" t="s">
        <v>275</v>
      </c>
      <c r="V324" t="s">
        <v>275</v>
      </c>
    </row>
    <row r="325" spans="1:22">
      <c r="A325">
        <v>323</v>
      </c>
      <c r="B325" t="s">
        <v>975</v>
      </c>
      <c r="C325" t="s">
        <v>976</v>
      </c>
      <c r="D325" t="str">
        <f>IF(VLOOKUP(C325,'Capabilities Overview'!$A$2:$A$587,1)=C325,"","Not in IOE")</f>
        <v/>
      </c>
      <c r="E325" t="s">
        <v>1</v>
      </c>
      <c r="F325" t="s">
        <v>1</v>
      </c>
      <c r="G325" t="s">
        <v>275</v>
      </c>
      <c r="H325" t="s">
        <v>1</v>
      </c>
      <c r="I325" t="s">
        <v>1</v>
      </c>
      <c r="J325" t="s">
        <v>1</v>
      </c>
      <c r="K325" t="s">
        <v>1</v>
      </c>
      <c r="L325" t="s">
        <v>275</v>
      </c>
      <c r="M325" t="s">
        <v>275</v>
      </c>
      <c r="N325" t="s">
        <v>275</v>
      </c>
      <c r="O325" t="s">
        <v>275</v>
      </c>
      <c r="P325" t="s">
        <v>275</v>
      </c>
      <c r="Q325" t="s">
        <v>275</v>
      </c>
      <c r="R325" t="s">
        <v>275</v>
      </c>
      <c r="S325" t="s">
        <v>275</v>
      </c>
      <c r="T325" t="s">
        <v>1</v>
      </c>
      <c r="U325" t="s">
        <v>275</v>
      </c>
      <c r="V325" t="s">
        <v>275</v>
      </c>
    </row>
    <row r="326" spans="1:22">
      <c r="A326">
        <v>324</v>
      </c>
      <c r="B326" t="s">
        <v>977</v>
      </c>
      <c r="C326" t="s">
        <v>978</v>
      </c>
      <c r="D326" t="str">
        <f>IF(VLOOKUP(C326,'Capabilities Overview'!$A$2:$A$587,1)=C326,"","Not in IOE")</f>
        <v/>
      </c>
      <c r="E326" t="s">
        <v>1</v>
      </c>
      <c r="F326" t="s">
        <v>1</v>
      </c>
      <c r="G326" t="s">
        <v>275</v>
      </c>
      <c r="H326" t="s">
        <v>1</v>
      </c>
      <c r="I326" t="s">
        <v>1</v>
      </c>
      <c r="J326" t="s">
        <v>1</v>
      </c>
      <c r="K326" t="s">
        <v>1</v>
      </c>
      <c r="L326" t="s">
        <v>275</v>
      </c>
      <c r="M326" t="s">
        <v>275</v>
      </c>
      <c r="N326" t="s">
        <v>275</v>
      </c>
      <c r="O326" t="s">
        <v>275</v>
      </c>
      <c r="P326" t="s">
        <v>275</v>
      </c>
      <c r="Q326" t="s">
        <v>275</v>
      </c>
      <c r="R326" t="s">
        <v>275</v>
      </c>
      <c r="S326" t="s">
        <v>275</v>
      </c>
      <c r="T326" t="s">
        <v>1</v>
      </c>
      <c r="U326" t="s">
        <v>275</v>
      </c>
      <c r="V326" t="s">
        <v>275</v>
      </c>
    </row>
    <row r="327" spans="1:22">
      <c r="A327">
        <v>325</v>
      </c>
      <c r="B327" t="s">
        <v>979</v>
      </c>
      <c r="C327" t="s">
        <v>980</v>
      </c>
      <c r="D327" t="str">
        <f>IF(VLOOKUP(C327,'Capabilities Overview'!$A$2:$A$587,1)=C327,"","Not in IOE")</f>
        <v/>
      </c>
      <c r="E327" t="s">
        <v>1</v>
      </c>
      <c r="F327" t="s">
        <v>1</v>
      </c>
      <c r="G327" t="s">
        <v>275</v>
      </c>
      <c r="H327" t="s">
        <v>1</v>
      </c>
      <c r="I327" t="s">
        <v>1</v>
      </c>
      <c r="J327" t="s">
        <v>1</v>
      </c>
      <c r="K327" t="s">
        <v>1</v>
      </c>
      <c r="L327" t="s">
        <v>1</v>
      </c>
      <c r="M327" t="s">
        <v>1</v>
      </c>
      <c r="N327" t="s">
        <v>275</v>
      </c>
      <c r="O327" t="s">
        <v>275</v>
      </c>
      <c r="P327" t="s">
        <v>275</v>
      </c>
      <c r="Q327" t="s">
        <v>275</v>
      </c>
      <c r="R327" t="s">
        <v>275</v>
      </c>
      <c r="S327" t="s">
        <v>275</v>
      </c>
      <c r="T327" t="s">
        <v>1</v>
      </c>
      <c r="U327" t="s">
        <v>275</v>
      </c>
      <c r="V327" t="s">
        <v>275</v>
      </c>
    </row>
    <row r="328" spans="1:22">
      <c r="A328">
        <v>326</v>
      </c>
      <c r="B328" t="s">
        <v>997</v>
      </c>
      <c r="C328" t="s">
        <v>998</v>
      </c>
      <c r="D328" t="str">
        <f>IF(VLOOKUP(C328,'Capabilities Overview'!$A$2:$A$587,1)=C328,"","Not in IOE")</f>
        <v/>
      </c>
      <c r="E328" t="s">
        <v>1</v>
      </c>
      <c r="F328" t="s">
        <v>1</v>
      </c>
      <c r="G328" t="s">
        <v>275</v>
      </c>
      <c r="H328" t="s">
        <v>1</v>
      </c>
      <c r="I328" t="s">
        <v>1</v>
      </c>
      <c r="J328" t="s">
        <v>1</v>
      </c>
      <c r="K328" t="s">
        <v>1</v>
      </c>
      <c r="L328" t="s">
        <v>1</v>
      </c>
      <c r="M328" t="s">
        <v>1</v>
      </c>
      <c r="N328" t="s">
        <v>275</v>
      </c>
      <c r="O328" t="s">
        <v>275</v>
      </c>
      <c r="P328" t="s">
        <v>275</v>
      </c>
      <c r="Q328" t="s">
        <v>275</v>
      </c>
      <c r="R328" t="s">
        <v>275</v>
      </c>
      <c r="S328" t="s">
        <v>275</v>
      </c>
      <c r="T328" t="s">
        <v>1</v>
      </c>
      <c r="U328" t="s">
        <v>275</v>
      </c>
      <c r="V328" t="s">
        <v>275</v>
      </c>
    </row>
    <row r="329" spans="1:22">
      <c r="A329">
        <v>327</v>
      </c>
      <c r="B329" t="s">
        <v>955</v>
      </c>
      <c r="C329" t="s">
        <v>999</v>
      </c>
      <c r="D329" t="str">
        <f>IF(VLOOKUP(C329,'Capabilities Overview'!$A$2:$A$587,1)=C329,"","Not in IOE")</f>
        <v/>
      </c>
      <c r="E329" t="s">
        <v>1</v>
      </c>
      <c r="F329" t="s">
        <v>1</v>
      </c>
      <c r="G329" t="s">
        <v>275</v>
      </c>
      <c r="H329" t="s">
        <v>1</v>
      </c>
      <c r="I329" t="s">
        <v>1</v>
      </c>
      <c r="J329" t="s">
        <v>1</v>
      </c>
      <c r="K329" t="s">
        <v>1</v>
      </c>
      <c r="L329" t="s">
        <v>275</v>
      </c>
      <c r="M329" t="s">
        <v>275</v>
      </c>
      <c r="N329" t="s">
        <v>275</v>
      </c>
      <c r="O329" t="s">
        <v>275</v>
      </c>
      <c r="P329" t="s">
        <v>275</v>
      </c>
      <c r="Q329" t="s">
        <v>275</v>
      </c>
      <c r="R329" t="s">
        <v>275</v>
      </c>
      <c r="S329" t="s">
        <v>275</v>
      </c>
      <c r="T329" t="s">
        <v>1</v>
      </c>
      <c r="U329" t="s">
        <v>275</v>
      </c>
      <c r="V329" t="s">
        <v>275</v>
      </c>
    </row>
    <row r="330" spans="1:22">
      <c r="A330">
        <v>328</v>
      </c>
      <c r="B330" t="s">
        <v>957</v>
      </c>
      <c r="C330" t="s">
        <v>1000</v>
      </c>
      <c r="D330" t="str">
        <f>IF(VLOOKUP(C330,'Capabilities Overview'!$A$2:$A$587,1)=C330,"","Not in IOE")</f>
        <v/>
      </c>
      <c r="E330" t="s">
        <v>1</v>
      </c>
      <c r="F330" t="s">
        <v>1</v>
      </c>
      <c r="G330" t="s">
        <v>275</v>
      </c>
      <c r="H330" t="s">
        <v>1</v>
      </c>
      <c r="I330" t="s">
        <v>1</v>
      </c>
      <c r="J330" t="s">
        <v>1</v>
      </c>
      <c r="K330" t="s">
        <v>1</v>
      </c>
      <c r="L330" t="s">
        <v>275</v>
      </c>
      <c r="M330" t="s">
        <v>275</v>
      </c>
      <c r="N330" t="s">
        <v>275</v>
      </c>
      <c r="O330" t="s">
        <v>275</v>
      </c>
      <c r="P330" t="s">
        <v>275</v>
      </c>
      <c r="Q330" t="s">
        <v>275</v>
      </c>
      <c r="R330" t="s">
        <v>275</v>
      </c>
      <c r="S330" t="s">
        <v>275</v>
      </c>
      <c r="T330" t="s">
        <v>1</v>
      </c>
      <c r="U330" t="s">
        <v>275</v>
      </c>
      <c r="V330" t="s">
        <v>275</v>
      </c>
    </row>
    <row r="331" spans="1:22">
      <c r="A331">
        <v>329</v>
      </c>
      <c r="B331" t="s">
        <v>959</v>
      </c>
      <c r="C331" t="s">
        <v>1001</v>
      </c>
      <c r="D331" t="str">
        <f>IF(VLOOKUP(C331,'Capabilities Overview'!$A$2:$A$587,1)=C331,"","Not in IOE")</f>
        <v/>
      </c>
      <c r="E331" t="s">
        <v>1</v>
      </c>
      <c r="F331" t="s">
        <v>1</v>
      </c>
      <c r="G331" t="s">
        <v>275</v>
      </c>
      <c r="H331" t="s">
        <v>1</v>
      </c>
      <c r="I331" t="s">
        <v>1</v>
      </c>
      <c r="J331" t="s">
        <v>1</v>
      </c>
      <c r="K331" t="s">
        <v>1</v>
      </c>
      <c r="L331" t="s">
        <v>275</v>
      </c>
      <c r="M331" t="s">
        <v>275</v>
      </c>
      <c r="N331" t="s">
        <v>275</v>
      </c>
      <c r="O331" t="s">
        <v>275</v>
      </c>
      <c r="P331" t="s">
        <v>275</v>
      </c>
      <c r="Q331" t="s">
        <v>275</v>
      </c>
      <c r="R331" t="s">
        <v>275</v>
      </c>
      <c r="S331" t="s">
        <v>275</v>
      </c>
      <c r="T331" t="s">
        <v>1</v>
      </c>
      <c r="U331" t="s">
        <v>275</v>
      </c>
      <c r="V331" t="s">
        <v>275</v>
      </c>
    </row>
    <row r="332" spans="1:22">
      <c r="A332">
        <v>330</v>
      </c>
      <c r="B332" t="s">
        <v>1002</v>
      </c>
      <c r="C332" t="s">
        <v>1003</v>
      </c>
      <c r="D332" t="str">
        <f>IF(VLOOKUP(C332,'Capabilities Overview'!$A$2:$A$587,1)=C332,"","Not in IOE")</f>
        <v/>
      </c>
      <c r="E332" t="s">
        <v>275</v>
      </c>
      <c r="F332" t="s">
        <v>1</v>
      </c>
      <c r="G332" t="s">
        <v>275</v>
      </c>
      <c r="H332" t="s">
        <v>1</v>
      </c>
      <c r="I332" t="s">
        <v>1</v>
      </c>
      <c r="J332" t="s">
        <v>1</v>
      </c>
      <c r="K332" t="s">
        <v>1</v>
      </c>
      <c r="L332" t="s">
        <v>275</v>
      </c>
      <c r="M332" t="s">
        <v>275</v>
      </c>
      <c r="N332" t="s">
        <v>275</v>
      </c>
      <c r="O332" t="s">
        <v>275</v>
      </c>
      <c r="P332" t="s">
        <v>275</v>
      </c>
      <c r="Q332" t="s">
        <v>275</v>
      </c>
      <c r="R332" t="s">
        <v>275</v>
      </c>
      <c r="S332" t="s">
        <v>275</v>
      </c>
      <c r="T332" t="s">
        <v>1</v>
      </c>
      <c r="U332" t="s">
        <v>275</v>
      </c>
      <c r="V332" t="s">
        <v>275</v>
      </c>
    </row>
    <row r="333" spans="1:22">
      <c r="A333">
        <v>331</v>
      </c>
      <c r="B333" t="s">
        <v>997</v>
      </c>
      <c r="C333" t="s">
        <v>1004</v>
      </c>
      <c r="D333" t="str">
        <f>IF(VLOOKUP(C333,'Capabilities Overview'!$A$2:$A$587,1)=C333,"","Not in IOE")</f>
        <v/>
      </c>
      <c r="E333" t="s">
        <v>275</v>
      </c>
      <c r="F333" t="s">
        <v>275</v>
      </c>
      <c r="G333" t="s">
        <v>275</v>
      </c>
      <c r="H333" t="s">
        <v>1</v>
      </c>
      <c r="I333" t="s">
        <v>1</v>
      </c>
      <c r="J333" t="s">
        <v>1</v>
      </c>
      <c r="K333" t="s">
        <v>1</v>
      </c>
      <c r="L333" t="s">
        <v>1</v>
      </c>
      <c r="M333" t="s">
        <v>1</v>
      </c>
      <c r="N333" t="s">
        <v>1</v>
      </c>
      <c r="O333" t="s">
        <v>275</v>
      </c>
      <c r="P333" t="s">
        <v>275</v>
      </c>
      <c r="Q333" t="s">
        <v>275</v>
      </c>
      <c r="R333" t="s">
        <v>275</v>
      </c>
      <c r="S333" t="s">
        <v>275</v>
      </c>
      <c r="T333" t="s">
        <v>1</v>
      </c>
      <c r="U333" t="s">
        <v>275</v>
      </c>
      <c r="V333" t="s">
        <v>275</v>
      </c>
    </row>
    <row r="334" spans="1:22">
      <c r="A334">
        <v>332</v>
      </c>
      <c r="B334" t="s">
        <v>955</v>
      </c>
      <c r="C334" t="s">
        <v>1005</v>
      </c>
      <c r="D334" t="str">
        <f>IF(VLOOKUP(C334,'Capabilities Overview'!$A$2:$A$587,1)=C334,"","Not in IOE")</f>
        <v/>
      </c>
      <c r="E334" t="s">
        <v>275</v>
      </c>
      <c r="F334" t="s">
        <v>1</v>
      </c>
      <c r="G334" t="s">
        <v>275</v>
      </c>
      <c r="H334" t="s">
        <v>1</v>
      </c>
      <c r="I334" t="s">
        <v>1</v>
      </c>
      <c r="J334" t="s">
        <v>1</v>
      </c>
      <c r="K334" t="s">
        <v>1</v>
      </c>
      <c r="L334" t="s">
        <v>275</v>
      </c>
      <c r="M334" t="s">
        <v>275</v>
      </c>
      <c r="N334" t="s">
        <v>275</v>
      </c>
      <c r="O334" t="s">
        <v>275</v>
      </c>
      <c r="P334" t="s">
        <v>275</v>
      </c>
      <c r="Q334" t="s">
        <v>275</v>
      </c>
      <c r="R334" t="s">
        <v>275</v>
      </c>
      <c r="S334" t="s">
        <v>275</v>
      </c>
      <c r="T334" t="s">
        <v>1</v>
      </c>
      <c r="U334" t="s">
        <v>275</v>
      </c>
      <c r="V334" t="s">
        <v>275</v>
      </c>
    </row>
    <row r="335" spans="1:22">
      <c r="A335">
        <v>333</v>
      </c>
      <c r="B335" t="s">
        <v>957</v>
      </c>
      <c r="C335" t="s">
        <v>1006</v>
      </c>
      <c r="D335" t="str">
        <f>IF(VLOOKUP(C335,'Capabilities Overview'!$A$2:$A$587,1)=C335,"","Not in IOE")</f>
        <v/>
      </c>
      <c r="E335" t="s">
        <v>275</v>
      </c>
      <c r="F335" t="s">
        <v>1</v>
      </c>
      <c r="G335" t="s">
        <v>275</v>
      </c>
      <c r="H335" t="s">
        <v>1</v>
      </c>
      <c r="I335" t="s">
        <v>1</v>
      </c>
      <c r="J335" t="s">
        <v>1</v>
      </c>
      <c r="K335" t="s">
        <v>1</v>
      </c>
      <c r="L335" t="s">
        <v>275</v>
      </c>
      <c r="M335" t="s">
        <v>275</v>
      </c>
      <c r="N335" t="s">
        <v>275</v>
      </c>
      <c r="O335" t="s">
        <v>275</v>
      </c>
      <c r="P335" t="s">
        <v>275</v>
      </c>
      <c r="Q335" t="s">
        <v>275</v>
      </c>
      <c r="R335" t="s">
        <v>275</v>
      </c>
      <c r="S335" t="s">
        <v>275</v>
      </c>
      <c r="T335" t="s">
        <v>1</v>
      </c>
      <c r="U335" t="s">
        <v>275</v>
      </c>
      <c r="V335" t="s">
        <v>275</v>
      </c>
    </row>
    <row r="336" spans="1:22">
      <c r="A336">
        <v>334</v>
      </c>
      <c r="B336" t="s">
        <v>959</v>
      </c>
      <c r="C336" t="s">
        <v>1007</v>
      </c>
      <c r="D336" t="str">
        <f>IF(VLOOKUP(C336,'Capabilities Overview'!$A$2:$A$587,1)=C336,"","Not in IOE")</f>
        <v/>
      </c>
      <c r="E336" t="s">
        <v>275</v>
      </c>
      <c r="F336" t="s">
        <v>1</v>
      </c>
      <c r="G336" t="s">
        <v>275</v>
      </c>
      <c r="H336" t="s">
        <v>1</v>
      </c>
      <c r="I336" t="s">
        <v>1</v>
      </c>
      <c r="J336" t="s">
        <v>1</v>
      </c>
      <c r="K336" t="s">
        <v>1</v>
      </c>
      <c r="L336" t="s">
        <v>275</v>
      </c>
      <c r="M336" t="s">
        <v>275</v>
      </c>
      <c r="N336" t="s">
        <v>275</v>
      </c>
      <c r="O336" t="s">
        <v>275</v>
      </c>
      <c r="P336" t="s">
        <v>275</v>
      </c>
      <c r="Q336" t="s">
        <v>275</v>
      </c>
      <c r="R336" t="s">
        <v>275</v>
      </c>
      <c r="S336" t="s">
        <v>275</v>
      </c>
      <c r="T336" t="s">
        <v>1</v>
      </c>
      <c r="U336" t="s">
        <v>275</v>
      </c>
      <c r="V336" t="s">
        <v>275</v>
      </c>
    </row>
    <row r="337" spans="1:22">
      <c r="A337">
        <v>335</v>
      </c>
      <c r="B337" t="s">
        <v>1018</v>
      </c>
      <c r="C337" t="s">
        <v>1019</v>
      </c>
      <c r="D337" t="str">
        <f>IF(VLOOKUP(C337,'Capabilities Overview'!$A$2:$A$587,1)=C337,"","Not in IOE")</f>
        <v/>
      </c>
      <c r="E337" t="s">
        <v>1</v>
      </c>
      <c r="F337" t="s">
        <v>1</v>
      </c>
      <c r="G337" t="s">
        <v>275</v>
      </c>
      <c r="H337" t="s">
        <v>1</v>
      </c>
      <c r="I337" t="s">
        <v>1</v>
      </c>
      <c r="J337" t="s">
        <v>1</v>
      </c>
      <c r="K337" t="s">
        <v>1</v>
      </c>
      <c r="L337" t="s">
        <v>275</v>
      </c>
      <c r="M337" t="s">
        <v>275</v>
      </c>
      <c r="N337" t="s">
        <v>275</v>
      </c>
      <c r="O337" t="s">
        <v>275</v>
      </c>
      <c r="P337" t="s">
        <v>275</v>
      </c>
      <c r="Q337" t="s">
        <v>275</v>
      </c>
      <c r="R337" t="s">
        <v>275</v>
      </c>
      <c r="S337" t="s">
        <v>275</v>
      </c>
      <c r="T337" t="s">
        <v>1</v>
      </c>
      <c r="U337" t="s">
        <v>275</v>
      </c>
      <c r="V337" t="s">
        <v>275</v>
      </c>
    </row>
    <row r="338" spans="1:22">
      <c r="A338">
        <v>336</v>
      </c>
      <c r="B338" t="s">
        <v>1020</v>
      </c>
      <c r="C338" t="s">
        <v>1021</v>
      </c>
      <c r="D338" t="str">
        <f>IF(VLOOKUP(C338,'Capabilities Overview'!$A$2:$A$587,1)=C338,"","Not in IOE")</f>
        <v/>
      </c>
      <c r="E338" t="s">
        <v>1</v>
      </c>
      <c r="F338" t="s">
        <v>1</v>
      </c>
      <c r="G338" t="s">
        <v>275</v>
      </c>
      <c r="H338" t="s">
        <v>1</v>
      </c>
      <c r="I338" t="s">
        <v>1</v>
      </c>
      <c r="J338" t="s">
        <v>1</v>
      </c>
      <c r="K338" t="s">
        <v>1</v>
      </c>
      <c r="L338" t="s">
        <v>1</v>
      </c>
      <c r="M338" t="s">
        <v>1</v>
      </c>
      <c r="N338" t="s">
        <v>275</v>
      </c>
      <c r="O338" t="s">
        <v>275</v>
      </c>
      <c r="P338" t="s">
        <v>275</v>
      </c>
      <c r="Q338" t="s">
        <v>275</v>
      </c>
      <c r="R338" t="s">
        <v>275</v>
      </c>
      <c r="S338" t="s">
        <v>275</v>
      </c>
      <c r="T338" t="s">
        <v>1</v>
      </c>
      <c r="U338" t="s">
        <v>275</v>
      </c>
      <c r="V338" t="s">
        <v>275</v>
      </c>
    </row>
    <row r="339" spans="1:22">
      <c r="A339">
        <v>337</v>
      </c>
      <c r="B339" t="s">
        <v>1022</v>
      </c>
      <c r="C339" t="s">
        <v>1023</v>
      </c>
      <c r="D339" t="str">
        <f>IF(VLOOKUP(C339,'Capabilities Overview'!$A$2:$A$587,1)=C339,"","Not in IOE")</f>
        <v/>
      </c>
      <c r="E339" t="s">
        <v>1</v>
      </c>
      <c r="F339" t="s">
        <v>1</v>
      </c>
      <c r="G339" t="s">
        <v>275</v>
      </c>
      <c r="H339" t="s">
        <v>1</v>
      </c>
      <c r="I339" t="s">
        <v>1</v>
      </c>
      <c r="J339" t="s">
        <v>1</v>
      </c>
      <c r="K339" t="s">
        <v>1</v>
      </c>
      <c r="L339" t="s">
        <v>275</v>
      </c>
      <c r="M339" t="s">
        <v>275</v>
      </c>
      <c r="N339" t="s">
        <v>275</v>
      </c>
      <c r="O339" t="s">
        <v>275</v>
      </c>
      <c r="P339" t="s">
        <v>275</v>
      </c>
      <c r="Q339" t="s">
        <v>275</v>
      </c>
      <c r="R339" t="s">
        <v>275</v>
      </c>
      <c r="S339" t="s">
        <v>275</v>
      </c>
      <c r="T339" t="s">
        <v>1</v>
      </c>
      <c r="U339" t="s">
        <v>275</v>
      </c>
      <c r="V339" t="s">
        <v>275</v>
      </c>
    </row>
    <row r="340" spans="1:22">
      <c r="A340">
        <v>338</v>
      </c>
      <c r="B340" t="s">
        <v>1024</v>
      </c>
      <c r="C340" t="s">
        <v>1025</v>
      </c>
      <c r="D340" t="str">
        <f>IF(VLOOKUP(C340,'Capabilities Overview'!$A$2:$A$587,1)=C340,"","Not in IOE")</f>
        <v/>
      </c>
      <c r="E340" t="s">
        <v>1</v>
      </c>
      <c r="F340" t="s">
        <v>1</v>
      </c>
      <c r="G340" t="s">
        <v>275</v>
      </c>
      <c r="H340" t="s">
        <v>1</v>
      </c>
      <c r="I340" t="s">
        <v>1</v>
      </c>
      <c r="J340" t="s">
        <v>1</v>
      </c>
      <c r="K340" t="s">
        <v>1</v>
      </c>
      <c r="L340" t="s">
        <v>275</v>
      </c>
      <c r="M340" t="s">
        <v>275</v>
      </c>
      <c r="N340" t="s">
        <v>275</v>
      </c>
      <c r="O340" t="s">
        <v>275</v>
      </c>
      <c r="P340" t="s">
        <v>275</v>
      </c>
      <c r="Q340" t="s">
        <v>275</v>
      </c>
      <c r="R340" t="s">
        <v>275</v>
      </c>
      <c r="S340" t="s">
        <v>275</v>
      </c>
      <c r="T340" t="s">
        <v>1</v>
      </c>
      <c r="U340" t="s">
        <v>275</v>
      </c>
      <c r="V340" t="s">
        <v>275</v>
      </c>
    </row>
    <row r="341" spans="1:22">
      <c r="A341">
        <v>339</v>
      </c>
      <c r="B341" t="s">
        <v>1026</v>
      </c>
      <c r="C341" t="s">
        <v>1027</v>
      </c>
      <c r="D341" t="str">
        <f>IF(VLOOKUP(C341,'Capabilities Overview'!$A$2:$A$587,1)=C341,"","Not in IOE")</f>
        <v/>
      </c>
      <c r="E341" t="s">
        <v>1</v>
      </c>
      <c r="F341" t="s">
        <v>1</v>
      </c>
      <c r="G341" t="s">
        <v>275</v>
      </c>
      <c r="H341" t="s">
        <v>1</v>
      </c>
      <c r="I341" t="s">
        <v>1</v>
      </c>
      <c r="J341" t="s">
        <v>1</v>
      </c>
      <c r="K341" t="s">
        <v>1</v>
      </c>
      <c r="L341" t="s">
        <v>1</v>
      </c>
      <c r="M341" t="s">
        <v>1</v>
      </c>
      <c r="N341" t="s">
        <v>1</v>
      </c>
      <c r="O341" t="s">
        <v>275</v>
      </c>
      <c r="P341" t="s">
        <v>275</v>
      </c>
      <c r="Q341" t="s">
        <v>275</v>
      </c>
      <c r="R341" t="s">
        <v>275</v>
      </c>
      <c r="S341" t="s">
        <v>275</v>
      </c>
      <c r="T341" t="s">
        <v>1</v>
      </c>
      <c r="U341" t="s">
        <v>275</v>
      </c>
      <c r="V341" t="s">
        <v>275</v>
      </c>
    </row>
    <row r="342" spans="1:22">
      <c r="A342">
        <v>340</v>
      </c>
      <c r="B342" t="s">
        <v>1028</v>
      </c>
      <c r="C342" t="s">
        <v>1029</v>
      </c>
      <c r="D342" t="str">
        <f>IF(VLOOKUP(C342,'Capabilities Overview'!$A$2:$A$587,1)=C342,"","Not in IOE")</f>
        <v/>
      </c>
      <c r="E342" t="s">
        <v>275</v>
      </c>
      <c r="F342" t="s">
        <v>1</v>
      </c>
      <c r="G342" t="s">
        <v>275</v>
      </c>
      <c r="H342" t="s">
        <v>1</v>
      </c>
      <c r="I342" t="s">
        <v>1</v>
      </c>
      <c r="J342" t="s">
        <v>1</v>
      </c>
      <c r="K342" t="s">
        <v>1</v>
      </c>
      <c r="L342" t="s">
        <v>275</v>
      </c>
      <c r="M342" t="s">
        <v>275</v>
      </c>
      <c r="N342" t="s">
        <v>275</v>
      </c>
      <c r="O342" t="s">
        <v>275</v>
      </c>
      <c r="P342" t="s">
        <v>275</v>
      </c>
      <c r="Q342" t="s">
        <v>275</v>
      </c>
      <c r="R342" t="s">
        <v>275</v>
      </c>
      <c r="S342" t="s">
        <v>275</v>
      </c>
      <c r="T342" t="s">
        <v>1</v>
      </c>
      <c r="U342" t="s">
        <v>275</v>
      </c>
      <c r="V342" t="s">
        <v>275</v>
      </c>
    </row>
    <row r="343" spans="1:22">
      <c r="A343">
        <v>341</v>
      </c>
      <c r="B343" t="s">
        <v>1030</v>
      </c>
      <c r="C343" t="s">
        <v>1031</v>
      </c>
      <c r="D343" t="str">
        <f>IF(VLOOKUP(C343,'Capabilities Overview'!$A$2:$A$587,1)=C343,"","Not in IOE")</f>
        <v/>
      </c>
      <c r="E343" t="s">
        <v>1</v>
      </c>
      <c r="F343" t="s">
        <v>1</v>
      </c>
      <c r="G343" t="s">
        <v>275</v>
      </c>
      <c r="H343" t="s">
        <v>1</v>
      </c>
      <c r="I343" t="s">
        <v>1</v>
      </c>
      <c r="J343" t="s">
        <v>1</v>
      </c>
      <c r="K343" t="s">
        <v>1</v>
      </c>
      <c r="L343" t="s">
        <v>275</v>
      </c>
      <c r="M343" t="s">
        <v>275</v>
      </c>
      <c r="N343" t="s">
        <v>275</v>
      </c>
      <c r="O343" t="s">
        <v>275</v>
      </c>
      <c r="P343" t="s">
        <v>275</v>
      </c>
      <c r="Q343" t="s">
        <v>275</v>
      </c>
      <c r="R343" t="s">
        <v>275</v>
      </c>
      <c r="S343" t="s">
        <v>275</v>
      </c>
      <c r="T343" t="s">
        <v>1</v>
      </c>
      <c r="U343" t="s">
        <v>275</v>
      </c>
      <c r="V343" t="s">
        <v>275</v>
      </c>
    </row>
    <row r="344" spans="1:22">
      <c r="A344">
        <v>342</v>
      </c>
      <c r="B344" t="s">
        <v>1032</v>
      </c>
      <c r="C344" t="s">
        <v>1033</v>
      </c>
      <c r="D344" t="str">
        <f>IF(VLOOKUP(C344,'Capabilities Overview'!$A$2:$A$587,1)=C344,"","Not in IOE")</f>
        <v/>
      </c>
      <c r="E344" t="s">
        <v>1</v>
      </c>
      <c r="F344" t="s">
        <v>1</v>
      </c>
      <c r="G344" t="s">
        <v>275</v>
      </c>
      <c r="H344" t="s">
        <v>1</v>
      </c>
      <c r="I344" t="s">
        <v>1</v>
      </c>
      <c r="J344" t="s">
        <v>1</v>
      </c>
      <c r="K344" t="s">
        <v>1</v>
      </c>
      <c r="L344" t="s">
        <v>275</v>
      </c>
      <c r="M344" t="s">
        <v>275</v>
      </c>
      <c r="N344" t="s">
        <v>275</v>
      </c>
      <c r="O344" t="s">
        <v>275</v>
      </c>
      <c r="P344" t="s">
        <v>275</v>
      </c>
      <c r="Q344" t="s">
        <v>275</v>
      </c>
      <c r="R344" t="s">
        <v>275</v>
      </c>
      <c r="S344" t="s">
        <v>275</v>
      </c>
      <c r="T344" t="s">
        <v>1</v>
      </c>
      <c r="U344" t="s">
        <v>275</v>
      </c>
      <c r="V344" t="s">
        <v>275</v>
      </c>
    </row>
    <row r="345" spans="1:22">
      <c r="A345">
        <v>343</v>
      </c>
      <c r="B345" t="s">
        <v>1034</v>
      </c>
      <c r="C345" t="s">
        <v>1035</v>
      </c>
      <c r="D345" t="str">
        <f>IF(VLOOKUP(C345,'Capabilities Overview'!$A$2:$A$587,1)=C345,"","Not in IOE")</f>
        <v/>
      </c>
      <c r="E345" t="s">
        <v>1</v>
      </c>
      <c r="F345" t="s">
        <v>1</v>
      </c>
      <c r="G345" t="s">
        <v>275</v>
      </c>
      <c r="H345" t="s">
        <v>1</v>
      </c>
      <c r="I345" t="s">
        <v>1</v>
      </c>
      <c r="J345" t="s">
        <v>1</v>
      </c>
      <c r="K345" t="s">
        <v>1</v>
      </c>
      <c r="L345" t="s">
        <v>275</v>
      </c>
      <c r="M345" t="s">
        <v>275</v>
      </c>
      <c r="N345" t="s">
        <v>275</v>
      </c>
      <c r="O345" t="s">
        <v>275</v>
      </c>
      <c r="P345" t="s">
        <v>275</v>
      </c>
      <c r="Q345" t="s">
        <v>275</v>
      </c>
      <c r="R345" t="s">
        <v>275</v>
      </c>
      <c r="S345" t="s">
        <v>275</v>
      </c>
      <c r="T345" t="s">
        <v>1</v>
      </c>
      <c r="U345" t="s">
        <v>275</v>
      </c>
      <c r="V345" t="s">
        <v>275</v>
      </c>
    </row>
    <row r="346" spans="1:22">
      <c r="A346">
        <v>344</v>
      </c>
      <c r="B346" t="s">
        <v>1036</v>
      </c>
      <c r="C346" t="s">
        <v>1037</v>
      </c>
      <c r="D346" t="str">
        <f>IF(VLOOKUP(C346,'Capabilities Overview'!$A$2:$A$587,1)=C346,"","Not in IOE")</f>
        <v/>
      </c>
      <c r="E346" t="s">
        <v>1</v>
      </c>
      <c r="F346" t="s">
        <v>1</v>
      </c>
      <c r="G346" t="s">
        <v>275</v>
      </c>
      <c r="H346" t="s">
        <v>275</v>
      </c>
      <c r="I346" t="s">
        <v>275</v>
      </c>
      <c r="J346" t="s">
        <v>275</v>
      </c>
      <c r="K346" t="s">
        <v>275</v>
      </c>
      <c r="L346" t="s">
        <v>275</v>
      </c>
      <c r="M346" t="s">
        <v>275</v>
      </c>
      <c r="N346" t="s">
        <v>275</v>
      </c>
      <c r="O346" t="s">
        <v>275</v>
      </c>
      <c r="P346" t="s">
        <v>275</v>
      </c>
      <c r="Q346" t="s">
        <v>275</v>
      </c>
      <c r="R346" t="s">
        <v>275</v>
      </c>
      <c r="S346" t="s">
        <v>275</v>
      </c>
      <c r="T346" t="s">
        <v>275</v>
      </c>
      <c r="U346" t="s">
        <v>275</v>
      </c>
      <c r="V346" t="s">
        <v>275</v>
      </c>
    </row>
    <row r="347" spans="1:22">
      <c r="A347">
        <v>345</v>
      </c>
      <c r="B347" t="s">
        <v>1038</v>
      </c>
      <c r="C347" t="s">
        <v>1039</v>
      </c>
      <c r="D347" t="str">
        <f>IF(VLOOKUP(C347,'Capabilities Overview'!$A$2:$A$587,1)=C347,"","Not in IOE")</f>
        <v/>
      </c>
      <c r="E347" t="s">
        <v>1</v>
      </c>
      <c r="F347" t="s">
        <v>1</v>
      </c>
      <c r="G347" t="s">
        <v>275</v>
      </c>
      <c r="H347" t="s">
        <v>1</v>
      </c>
      <c r="I347" t="s">
        <v>1</v>
      </c>
      <c r="J347" t="s">
        <v>1</v>
      </c>
      <c r="K347" t="s">
        <v>1</v>
      </c>
      <c r="L347" t="s">
        <v>275</v>
      </c>
      <c r="M347" t="s">
        <v>275</v>
      </c>
      <c r="N347" t="s">
        <v>275</v>
      </c>
      <c r="O347" t="s">
        <v>275</v>
      </c>
      <c r="P347" t="s">
        <v>275</v>
      </c>
      <c r="Q347" t="s">
        <v>275</v>
      </c>
      <c r="R347" t="s">
        <v>275</v>
      </c>
      <c r="S347" t="s">
        <v>275</v>
      </c>
      <c r="T347" t="s">
        <v>1</v>
      </c>
      <c r="U347" t="s">
        <v>275</v>
      </c>
      <c r="V347" t="s">
        <v>275</v>
      </c>
    </row>
    <row r="348" spans="1:22">
      <c r="A348">
        <v>346</v>
      </c>
      <c r="B348" t="s">
        <v>144</v>
      </c>
      <c r="C348" t="s">
        <v>1040</v>
      </c>
      <c r="D348" t="str">
        <f>IF(VLOOKUP(C348,'Capabilities Overview'!$A$2:$A$587,1)=C348,"","Not in IOE")</f>
        <v/>
      </c>
      <c r="E348" t="s">
        <v>1</v>
      </c>
      <c r="F348" t="s">
        <v>1</v>
      </c>
      <c r="G348" t="s">
        <v>275</v>
      </c>
      <c r="H348" t="s">
        <v>1</v>
      </c>
      <c r="I348" t="s">
        <v>1</v>
      </c>
      <c r="J348" t="s">
        <v>1</v>
      </c>
      <c r="K348" t="s">
        <v>1</v>
      </c>
      <c r="L348" t="s">
        <v>275</v>
      </c>
      <c r="M348" t="s">
        <v>275</v>
      </c>
      <c r="N348" t="s">
        <v>275</v>
      </c>
      <c r="O348" t="s">
        <v>275</v>
      </c>
      <c r="P348" t="s">
        <v>275</v>
      </c>
      <c r="Q348" t="s">
        <v>275</v>
      </c>
      <c r="R348" t="s">
        <v>275</v>
      </c>
      <c r="S348" t="s">
        <v>275</v>
      </c>
      <c r="T348" t="s">
        <v>1</v>
      </c>
      <c r="U348" t="s">
        <v>275</v>
      </c>
      <c r="V348" t="s">
        <v>275</v>
      </c>
    </row>
    <row r="349" spans="1:22">
      <c r="A349">
        <v>347</v>
      </c>
      <c r="B349" t="s">
        <v>1041</v>
      </c>
      <c r="C349" t="s">
        <v>1042</v>
      </c>
      <c r="D349" t="str">
        <f>IF(VLOOKUP(C349,'Capabilities Overview'!$A$2:$A$587,1)=C349,"","Not in IOE")</f>
        <v/>
      </c>
      <c r="E349" t="s">
        <v>1</v>
      </c>
      <c r="F349" t="s">
        <v>1</v>
      </c>
      <c r="G349" t="s">
        <v>275</v>
      </c>
      <c r="H349" t="s">
        <v>1</v>
      </c>
      <c r="I349" t="s">
        <v>1</v>
      </c>
      <c r="J349" t="s">
        <v>1</v>
      </c>
      <c r="K349" t="s">
        <v>1</v>
      </c>
      <c r="L349" t="s">
        <v>275</v>
      </c>
      <c r="M349" t="s">
        <v>275</v>
      </c>
      <c r="N349" t="s">
        <v>275</v>
      </c>
      <c r="O349" t="s">
        <v>275</v>
      </c>
      <c r="P349" t="s">
        <v>275</v>
      </c>
      <c r="Q349" t="s">
        <v>275</v>
      </c>
      <c r="R349" t="s">
        <v>275</v>
      </c>
      <c r="S349" t="s">
        <v>275</v>
      </c>
      <c r="T349" t="s">
        <v>1</v>
      </c>
      <c r="U349" t="s">
        <v>275</v>
      </c>
      <c r="V349" t="s">
        <v>275</v>
      </c>
    </row>
    <row r="350" spans="1:22">
      <c r="A350">
        <v>348</v>
      </c>
      <c r="B350" t="s">
        <v>146</v>
      </c>
      <c r="C350" t="s">
        <v>1043</v>
      </c>
      <c r="D350" t="str">
        <f>IF(VLOOKUP(C350,'Capabilities Overview'!$A$2:$A$587,1)=C350,"","Not in IOE")</f>
        <v/>
      </c>
      <c r="E350" t="s">
        <v>1</v>
      </c>
      <c r="F350" t="s">
        <v>1</v>
      </c>
      <c r="G350" t="s">
        <v>275</v>
      </c>
      <c r="H350" t="s">
        <v>1</v>
      </c>
      <c r="I350" t="s">
        <v>1</v>
      </c>
      <c r="J350" t="s">
        <v>1</v>
      </c>
      <c r="K350" t="s">
        <v>1</v>
      </c>
      <c r="L350" t="s">
        <v>275</v>
      </c>
      <c r="M350" t="s">
        <v>275</v>
      </c>
      <c r="N350" t="s">
        <v>275</v>
      </c>
      <c r="O350" t="s">
        <v>275</v>
      </c>
      <c r="P350" t="s">
        <v>275</v>
      </c>
      <c r="Q350" t="s">
        <v>275</v>
      </c>
      <c r="R350" t="s">
        <v>275</v>
      </c>
      <c r="S350" t="s">
        <v>275</v>
      </c>
      <c r="T350" t="s">
        <v>1</v>
      </c>
      <c r="U350" t="s">
        <v>275</v>
      </c>
      <c r="V350" t="s">
        <v>275</v>
      </c>
    </row>
    <row r="351" spans="1:22">
      <c r="A351">
        <v>349</v>
      </c>
      <c r="B351" t="s">
        <v>1044</v>
      </c>
      <c r="C351" t="s">
        <v>1045</v>
      </c>
      <c r="D351" t="str">
        <f>IF(VLOOKUP(C351,'Capabilities Overview'!$A$2:$A$587,1)=C351,"","Not in IOE")</f>
        <v/>
      </c>
      <c r="E351" t="s">
        <v>1</v>
      </c>
      <c r="F351" t="s">
        <v>1</v>
      </c>
      <c r="G351" t="s">
        <v>275</v>
      </c>
      <c r="H351" t="s">
        <v>1</v>
      </c>
      <c r="I351" t="s">
        <v>1</v>
      </c>
      <c r="J351" t="s">
        <v>1</v>
      </c>
      <c r="K351" t="s">
        <v>1</v>
      </c>
      <c r="L351" t="s">
        <v>1</v>
      </c>
      <c r="M351" t="s">
        <v>1</v>
      </c>
      <c r="N351" t="s">
        <v>1</v>
      </c>
      <c r="O351" t="s">
        <v>1</v>
      </c>
      <c r="P351" t="s">
        <v>275</v>
      </c>
      <c r="Q351" t="s">
        <v>275</v>
      </c>
      <c r="R351" t="s">
        <v>275</v>
      </c>
      <c r="S351" t="s">
        <v>275</v>
      </c>
      <c r="T351" t="s">
        <v>1</v>
      </c>
      <c r="U351" t="s">
        <v>275</v>
      </c>
      <c r="V351" t="s">
        <v>275</v>
      </c>
    </row>
    <row r="352" spans="1:22">
      <c r="A352">
        <v>350</v>
      </c>
      <c r="B352" t="s">
        <v>142</v>
      </c>
      <c r="C352" t="s">
        <v>1046</v>
      </c>
      <c r="D352" t="str">
        <f>IF(VLOOKUP(C352,'Capabilities Overview'!$A$2:$A$587,1)=C352,"","Not in IOE")</f>
        <v/>
      </c>
      <c r="E352" t="s">
        <v>1</v>
      </c>
      <c r="F352" t="s">
        <v>1</v>
      </c>
      <c r="G352" t="s">
        <v>275</v>
      </c>
      <c r="H352" t="s">
        <v>1</v>
      </c>
      <c r="I352" t="s">
        <v>1</v>
      </c>
      <c r="J352" t="s">
        <v>1</v>
      </c>
      <c r="K352" t="s">
        <v>1</v>
      </c>
      <c r="L352" t="s">
        <v>275</v>
      </c>
      <c r="M352" t="s">
        <v>275</v>
      </c>
      <c r="N352" t="s">
        <v>275</v>
      </c>
      <c r="O352" t="s">
        <v>275</v>
      </c>
      <c r="P352" t="s">
        <v>275</v>
      </c>
      <c r="Q352" t="s">
        <v>275</v>
      </c>
      <c r="R352" t="s">
        <v>275</v>
      </c>
      <c r="S352" t="s">
        <v>275</v>
      </c>
      <c r="T352" t="s">
        <v>1</v>
      </c>
      <c r="U352" t="s">
        <v>275</v>
      </c>
      <c r="V352" t="s">
        <v>275</v>
      </c>
    </row>
    <row r="353" spans="1:22">
      <c r="A353">
        <v>351</v>
      </c>
      <c r="B353" t="s">
        <v>1047</v>
      </c>
      <c r="C353" t="s">
        <v>1048</v>
      </c>
      <c r="D353" t="str">
        <f>IF(VLOOKUP(C353,'Capabilities Overview'!$A$2:$A$587,1)=C353,"","Not in IOE")</f>
        <v/>
      </c>
      <c r="E353" t="s">
        <v>1</v>
      </c>
      <c r="F353" t="s">
        <v>1</v>
      </c>
      <c r="G353" t="s">
        <v>275</v>
      </c>
      <c r="H353" t="s">
        <v>1</v>
      </c>
      <c r="I353" t="s">
        <v>1</v>
      </c>
      <c r="J353" t="s">
        <v>1</v>
      </c>
      <c r="K353" t="s">
        <v>1</v>
      </c>
      <c r="L353" t="s">
        <v>1</v>
      </c>
      <c r="M353" t="s">
        <v>1</v>
      </c>
      <c r="N353" t="s">
        <v>275</v>
      </c>
      <c r="O353" t="s">
        <v>275</v>
      </c>
      <c r="P353" t="s">
        <v>275</v>
      </c>
      <c r="Q353" t="s">
        <v>275</v>
      </c>
      <c r="R353" t="s">
        <v>275</v>
      </c>
      <c r="S353" t="s">
        <v>275</v>
      </c>
      <c r="T353" t="s">
        <v>1</v>
      </c>
      <c r="U353" t="s">
        <v>275</v>
      </c>
      <c r="V353" t="s">
        <v>275</v>
      </c>
    </row>
    <row r="354" spans="1:22">
      <c r="A354">
        <v>352</v>
      </c>
      <c r="B354" t="s">
        <v>1089</v>
      </c>
      <c r="C354" t="s">
        <v>1090</v>
      </c>
      <c r="D354" t="str">
        <f>IF(VLOOKUP(C354,'Capabilities Overview'!$A$2:$A$587,1)=C354,"","Not in IOE")</f>
        <v/>
      </c>
      <c r="E354" t="s">
        <v>1</v>
      </c>
      <c r="F354" t="s">
        <v>275</v>
      </c>
      <c r="G354" t="s">
        <v>275</v>
      </c>
      <c r="H354" t="s">
        <v>275</v>
      </c>
      <c r="I354" t="s">
        <v>275</v>
      </c>
      <c r="J354" t="s">
        <v>275</v>
      </c>
      <c r="K354" t="s">
        <v>275</v>
      </c>
      <c r="L354" t="s">
        <v>1</v>
      </c>
      <c r="M354" t="s">
        <v>1</v>
      </c>
      <c r="N354" t="s">
        <v>1</v>
      </c>
      <c r="O354" t="s">
        <v>275</v>
      </c>
      <c r="P354" t="s">
        <v>275</v>
      </c>
      <c r="Q354" t="s">
        <v>275</v>
      </c>
      <c r="R354" t="s">
        <v>275</v>
      </c>
      <c r="S354" t="s">
        <v>275</v>
      </c>
      <c r="T354" t="s">
        <v>275</v>
      </c>
      <c r="U354" t="s">
        <v>275</v>
      </c>
      <c r="V354" t="s">
        <v>275</v>
      </c>
    </row>
    <row r="355" spans="1:22">
      <c r="A355">
        <v>353</v>
      </c>
      <c r="B355" t="s">
        <v>1091</v>
      </c>
      <c r="C355" t="s">
        <v>1092</v>
      </c>
      <c r="D355" t="str">
        <f>IF(VLOOKUP(C355,'Capabilities Overview'!$A$2:$A$587,1)=C355,"","Not in IOE")</f>
        <v/>
      </c>
      <c r="E355" t="s">
        <v>1</v>
      </c>
      <c r="F355" t="s">
        <v>1</v>
      </c>
      <c r="G355" t="s">
        <v>275</v>
      </c>
      <c r="H355" t="s">
        <v>275</v>
      </c>
      <c r="I355" t="s">
        <v>1</v>
      </c>
      <c r="J355" t="s">
        <v>1</v>
      </c>
      <c r="K355" t="s">
        <v>275</v>
      </c>
      <c r="L355" t="s">
        <v>275</v>
      </c>
      <c r="M355" t="s">
        <v>275</v>
      </c>
      <c r="N355" t="s">
        <v>275</v>
      </c>
      <c r="O355" t="s">
        <v>275</v>
      </c>
      <c r="P355" t="s">
        <v>275</v>
      </c>
      <c r="Q355" t="s">
        <v>275</v>
      </c>
      <c r="R355" t="s">
        <v>275</v>
      </c>
      <c r="S355" t="s">
        <v>275</v>
      </c>
      <c r="T355" t="s">
        <v>275</v>
      </c>
      <c r="U355" t="s">
        <v>275</v>
      </c>
      <c r="V355" t="s">
        <v>275</v>
      </c>
    </row>
    <row r="356" spans="1:22">
      <c r="A356">
        <v>354</v>
      </c>
      <c r="B356" t="s">
        <v>1093</v>
      </c>
      <c r="C356" t="s">
        <v>1094</v>
      </c>
      <c r="D356" t="str">
        <f>IF(VLOOKUP(C356,'Capabilities Overview'!$A$2:$A$587,1)=C356,"","Not in IOE")</f>
        <v/>
      </c>
      <c r="E356" t="s">
        <v>1</v>
      </c>
      <c r="F356" t="s">
        <v>1</v>
      </c>
      <c r="G356" t="s">
        <v>275</v>
      </c>
      <c r="H356" t="s">
        <v>275</v>
      </c>
      <c r="I356" t="s">
        <v>1</v>
      </c>
      <c r="J356" t="s">
        <v>1</v>
      </c>
      <c r="K356" t="s">
        <v>275</v>
      </c>
      <c r="L356" t="s">
        <v>275</v>
      </c>
      <c r="M356" t="s">
        <v>275</v>
      </c>
      <c r="N356" t="s">
        <v>275</v>
      </c>
      <c r="O356" t="s">
        <v>275</v>
      </c>
      <c r="P356" t="s">
        <v>275</v>
      </c>
      <c r="Q356" t="s">
        <v>275</v>
      </c>
      <c r="R356" t="s">
        <v>275</v>
      </c>
      <c r="S356" t="s">
        <v>275</v>
      </c>
      <c r="T356" t="s">
        <v>275</v>
      </c>
      <c r="U356" t="s">
        <v>275</v>
      </c>
      <c r="V356" t="s">
        <v>275</v>
      </c>
    </row>
    <row r="357" spans="1:22">
      <c r="A357">
        <v>355</v>
      </c>
      <c r="B357" t="s">
        <v>1095</v>
      </c>
      <c r="C357" t="s">
        <v>1096</v>
      </c>
      <c r="D357" t="str">
        <f>IF(VLOOKUP(C357,'Capabilities Overview'!$A$2:$A$587,1)=C357,"","Not in IOE")</f>
        <v/>
      </c>
      <c r="E357" t="s">
        <v>1</v>
      </c>
      <c r="F357" t="s">
        <v>1</v>
      </c>
      <c r="G357" t="s">
        <v>275</v>
      </c>
      <c r="H357" t="s">
        <v>275</v>
      </c>
      <c r="I357" t="s">
        <v>1</v>
      </c>
      <c r="J357" t="s">
        <v>1</v>
      </c>
      <c r="K357" t="s">
        <v>275</v>
      </c>
      <c r="L357" t="s">
        <v>275</v>
      </c>
      <c r="M357" t="s">
        <v>275</v>
      </c>
      <c r="N357" t="s">
        <v>275</v>
      </c>
      <c r="O357" t="s">
        <v>275</v>
      </c>
      <c r="P357" t="s">
        <v>275</v>
      </c>
      <c r="Q357" t="s">
        <v>275</v>
      </c>
      <c r="R357" t="s">
        <v>275</v>
      </c>
      <c r="S357" t="s">
        <v>275</v>
      </c>
      <c r="T357" t="s">
        <v>275</v>
      </c>
      <c r="U357" t="s">
        <v>275</v>
      </c>
      <c r="V357" t="s">
        <v>275</v>
      </c>
    </row>
    <row r="358" spans="1:22">
      <c r="A358">
        <v>356</v>
      </c>
      <c r="B358" t="s">
        <v>1097</v>
      </c>
      <c r="C358" t="s">
        <v>1098</v>
      </c>
      <c r="D358" t="str">
        <f>IF(VLOOKUP(C358,'Capabilities Overview'!$A$2:$A$587,1)=C358,"","Not in IOE")</f>
        <v/>
      </c>
      <c r="E358" t="s">
        <v>1</v>
      </c>
      <c r="F358" t="s">
        <v>1</v>
      </c>
      <c r="G358" t="s">
        <v>275</v>
      </c>
      <c r="H358" t="s">
        <v>275</v>
      </c>
      <c r="I358" t="s">
        <v>1</v>
      </c>
      <c r="J358" t="s">
        <v>1</v>
      </c>
      <c r="K358" t="s">
        <v>275</v>
      </c>
      <c r="L358" t="s">
        <v>275</v>
      </c>
      <c r="M358" t="s">
        <v>275</v>
      </c>
      <c r="N358" t="s">
        <v>275</v>
      </c>
      <c r="O358" t="s">
        <v>275</v>
      </c>
      <c r="P358" t="s">
        <v>275</v>
      </c>
      <c r="Q358" t="s">
        <v>275</v>
      </c>
      <c r="R358" t="s">
        <v>275</v>
      </c>
      <c r="S358" t="s">
        <v>275</v>
      </c>
      <c r="T358" t="s">
        <v>275</v>
      </c>
      <c r="U358" t="s">
        <v>275</v>
      </c>
      <c r="V358" t="s">
        <v>275</v>
      </c>
    </row>
    <row r="359" spans="1:22">
      <c r="A359">
        <v>357</v>
      </c>
      <c r="B359" t="s">
        <v>1099</v>
      </c>
      <c r="C359" t="s">
        <v>1100</v>
      </c>
      <c r="D359" t="str">
        <f>IF(VLOOKUP(C359,'Capabilities Overview'!$A$2:$A$587,1)=C359,"","Not in IOE")</f>
        <v/>
      </c>
      <c r="E359" t="s">
        <v>1</v>
      </c>
      <c r="F359" t="s">
        <v>1</v>
      </c>
      <c r="G359" t="s">
        <v>275</v>
      </c>
      <c r="H359" t="s">
        <v>275</v>
      </c>
      <c r="I359" t="s">
        <v>1</v>
      </c>
      <c r="J359" t="s">
        <v>1</v>
      </c>
      <c r="K359" t="s">
        <v>275</v>
      </c>
      <c r="L359" t="s">
        <v>275</v>
      </c>
      <c r="M359" t="s">
        <v>275</v>
      </c>
      <c r="N359" t="s">
        <v>275</v>
      </c>
      <c r="O359" t="s">
        <v>275</v>
      </c>
      <c r="P359" t="s">
        <v>275</v>
      </c>
      <c r="Q359" t="s">
        <v>275</v>
      </c>
      <c r="R359" t="s">
        <v>275</v>
      </c>
      <c r="S359" t="s">
        <v>275</v>
      </c>
      <c r="T359" t="s">
        <v>275</v>
      </c>
      <c r="U359" t="s">
        <v>275</v>
      </c>
      <c r="V359" t="s">
        <v>275</v>
      </c>
    </row>
    <row r="360" spans="1:22">
      <c r="A360">
        <v>358</v>
      </c>
      <c r="B360" t="s">
        <v>1101</v>
      </c>
      <c r="C360" t="s">
        <v>1102</v>
      </c>
      <c r="D360" t="str">
        <f>IF(VLOOKUP(C360,'Capabilities Overview'!$A$2:$A$587,1)=C360,"","Not in IOE")</f>
        <v/>
      </c>
      <c r="E360" t="s">
        <v>1</v>
      </c>
      <c r="F360" t="s">
        <v>1</v>
      </c>
      <c r="G360" t="s">
        <v>275</v>
      </c>
      <c r="H360" t="s">
        <v>275</v>
      </c>
      <c r="I360" t="s">
        <v>275</v>
      </c>
      <c r="J360" t="s">
        <v>275</v>
      </c>
      <c r="K360" t="s">
        <v>275</v>
      </c>
      <c r="L360" t="s">
        <v>275</v>
      </c>
      <c r="M360" t="s">
        <v>275</v>
      </c>
      <c r="N360" t="s">
        <v>275</v>
      </c>
      <c r="O360" t="s">
        <v>275</v>
      </c>
      <c r="P360" t="s">
        <v>275</v>
      </c>
      <c r="Q360" t="s">
        <v>275</v>
      </c>
      <c r="R360" t="s">
        <v>275</v>
      </c>
      <c r="S360" t="s">
        <v>275</v>
      </c>
      <c r="T360" t="s">
        <v>275</v>
      </c>
      <c r="U360" t="s">
        <v>275</v>
      </c>
      <c r="V360" t="s">
        <v>275</v>
      </c>
    </row>
    <row r="361" spans="1:22">
      <c r="A361">
        <v>359</v>
      </c>
      <c r="B361" t="s">
        <v>1103</v>
      </c>
      <c r="C361" t="s">
        <v>1104</v>
      </c>
      <c r="D361" t="str">
        <f>IF(VLOOKUP(C361,'Capabilities Overview'!$A$2:$A$587,1)=C361,"","Not in IOE")</f>
        <v/>
      </c>
      <c r="E361" t="s">
        <v>275</v>
      </c>
      <c r="F361" t="s">
        <v>275</v>
      </c>
      <c r="G361" t="s">
        <v>275</v>
      </c>
      <c r="H361" t="s">
        <v>1</v>
      </c>
      <c r="I361" t="s">
        <v>1</v>
      </c>
      <c r="J361" t="s">
        <v>1</v>
      </c>
      <c r="K361" t="s">
        <v>1</v>
      </c>
      <c r="L361" t="s">
        <v>275</v>
      </c>
      <c r="M361" t="s">
        <v>275</v>
      </c>
      <c r="N361" t="s">
        <v>275</v>
      </c>
      <c r="O361" t="s">
        <v>275</v>
      </c>
      <c r="P361" t="s">
        <v>275</v>
      </c>
      <c r="Q361" t="s">
        <v>275</v>
      </c>
      <c r="R361" t="s">
        <v>275</v>
      </c>
      <c r="S361" t="s">
        <v>275</v>
      </c>
      <c r="T361" t="s">
        <v>1</v>
      </c>
      <c r="U361" t="s">
        <v>275</v>
      </c>
      <c r="V361" t="s">
        <v>275</v>
      </c>
    </row>
    <row r="362" spans="1:22">
      <c r="A362">
        <v>360</v>
      </c>
      <c r="B362" t="s">
        <v>1105</v>
      </c>
      <c r="C362" t="s">
        <v>1106</v>
      </c>
      <c r="D362" t="str">
        <f>IF(VLOOKUP(C362,'Capabilities Overview'!$A$2:$A$587,1)=C362,"","Not in IOE")</f>
        <v/>
      </c>
      <c r="E362" t="s">
        <v>1</v>
      </c>
      <c r="F362" t="s">
        <v>1</v>
      </c>
      <c r="G362" t="s">
        <v>275</v>
      </c>
      <c r="H362" t="s">
        <v>1</v>
      </c>
      <c r="I362" t="s">
        <v>1</v>
      </c>
      <c r="J362" t="s">
        <v>1</v>
      </c>
      <c r="K362" t="s">
        <v>1</v>
      </c>
      <c r="L362" t="s">
        <v>1</v>
      </c>
      <c r="M362" t="s">
        <v>1</v>
      </c>
      <c r="N362" t="s">
        <v>1</v>
      </c>
      <c r="O362" t="s">
        <v>1</v>
      </c>
      <c r="P362" t="s">
        <v>275</v>
      </c>
      <c r="Q362" t="s">
        <v>275</v>
      </c>
      <c r="R362" t="s">
        <v>275</v>
      </c>
      <c r="S362" t="s">
        <v>275</v>
      </c>
      <c r="T362" t="s">
        <v>1</v>
      </c>
      <c r="U362" t="s">
        <v>275</v>
      </c>
      <c r="V362" t="s">
        <v>275</v>
      </c>
    </row>
    <row r="363" spans="1:22">
      <c r="A363">
        <v>361</v>
      </c>
      <c r="B363" t="s">
        <v>1107</v>
      </c>
      <c r="C363" t="s">
        <v>1108</v>
      </c>
      <c r="D363" t="str">
        <f>IF(VLOOKUP(C363,'Capabilities Overview'!$A$2:$A$587,1)=C363,"","Not in IOE")</f>
        <v/>
      </c>
      <c r="E363" t="s">
        <v>1</v>
      </c>
      <c r="F363" t="s">
        <v>1</v>
      </c>
      <c r="G363" t="s">
        <v>275</v>
      </c>
      <c r="H363" t="s">
        <v>275</v>
      </c>
      <c r="I363" t="s">
        <v>1</v>
      </c>
      <c r="J363" t="s">
        <v>1</v>
      </c>
      <c r="K363" t="s">
        <v>275</v>
      </c>
      <c r="L363" t="s">
        <v>1</v>
      </c>
      <c r="M363" t="s">
        <v>1</v>
      </c>
      <c r="N363" t="s">
        <v>1</v>
      </c>
      <c r="O363" t="s">
        <v>275</v>
      </c>
      <c r="P363" t="s">
        <v>275</v>
      </c>
      <c r="Q363" t="s">
        <v>275</v>
      </c>
      <c r="R363" t="s">
        <v>275</v>
      </c>
      <c r="S363" t="s">
        <v>275</v>
      </c>
      <c r="T363" t="s">
        <v>275</v>
      </c>
      <c r="U363" t="s">
        <v>275</v>
      </c>
      <c r="V363" t="s">
        <v>275</v>
      </c>
    </row>
    <row r="364" spans="1:22">
      <c r="A364">
        <v>362</v>
      </c>
      <c r="B364" t="s">
        <v>839</v>
      </c>
      <c r="C364" t="s">
        <v>1109</v>
      </c>
      <c r="D364" t="str">
        <f>IF(VLOOKUP(C364,'Capabilities Overview'!$A$2:$A$587,1)=C364,"","Not in IOE")</f>
        <v/>
      </c>
      <c r="E364" t="s">
        <v>1</v>
      </c>
      <c r="F364" t="s">
        <v>1</v>
      </c>
      <c r="G364" t="s">
        <v>275</v>
      </c>
      <c r="H364" t="s">
        <v>1</v>
      </c>
      <c r="I364" t="s">
        <v>1</v>
      </c>
      <c r="J364" t="s">
        <v>1</v>
      </c>
      <c r="K364" t="s">
        <v>1</v>
      </c>
      <c r="L364" t="s">
        <v>275</v>
      </c>
      <c r="M364" t="s">
        <v>275</v>
      </c>
      <c r="N364" t="s">
        <v>275</v>
      </c>
      <c r="O364" t="s">
        <v>275</v>
      </c>
      <c r="P364" t="s">
        <v>275</v>
      </c>
      <c r="Q364" t="s">
        <v>275</v>
      </c>
      <c r="R364" t="s">
        <v>275</v>
      </c>
      <c r="S364" t="s">
        <v>275</v>
      </c>
      <c r="T364" t="s">
        <v>1</v>
      </c>
      <c r="U364" t="s">
        <v>275</v>
      </c>
      <c r="V364" t="s">
        <v>275</v>
      </c>
    </row>
    <row r="365" spans="1:22">
      <c r="A365">
        <v>363</v>
      </c>
      <c r="B365" t="s">
        <v>1110</v>
      </c>
      <c r="C365" t="s">
        <v>1111</v>
      </c>
      <c r="D365" t="str">
        <f>IF(VLOOKUP(C365,'Capabilities Overview'!$A$2:$A$587,1)=C365,"","Not in IOE")</f>
        <v/>
      </c>
      <c r="E365" t="s">
        <v>1</v>
      </c>
      <c r="F365" t="s">
        <v>275</v>
      </c>
      <c r="G365" t="s">
        <v>275</v>
      </c>
      <c r="H365" t="s">
        <v>275</v>
      </c>
      <c r="I365" t="s">
        <v>1</v>
      </c>
      <c r="J365" t="s">
        <v>1</v>
      </c>
      <c r="K365" t="s">
        <v>275</v>
      </c>
      <c r="L365" t="s">
        <v>275</v>
      </c>
      <c r="M365" t="s">
        <v>275</v>
      </c>
      <c r="N365" t="s">
        <v>275</v>
      </c>
      <c r="O365" t="s">
        <v>275</v>
      </c>
      <c r="P365" t="s">
        <v>275</v>
      </c>
      <c r="Q365" t="s">
        <v>275</v>
      </c>
      <c r="R365" t="s">
        <v>275</v>
      </c>
      <c r="S365" t="s">
        <v>275</v>
      </c>
      <c r="T365" t="s">
        <v>275</v>
      </c>
      <c r="U365" t="s">
        <v>275</v>
      </c>
      <c r="V365" t="s">
        <v>275</v>
      </c>
    </row>
    <row r="366" spans="1:22">
      <c r="A366">
        <v>364</v>
      </c>
      <c r="B366" t="s">
        <v>158</v>
      </c>
      <c r="C366" t="s">
        <v>159</v>
      </c>
      <c r="D366" t="str">
        <f>IF(VLOOKUP(C366,'Capabilities Overview'!$A$2:$A$587,1)=C366,"","Not in IOE")</f>
        <v/>
      </c>
      <c r="E366" t="s">
        <v>1</v>
      </c>
      <c r="F366" t="s">
        <v>275</v>
      </c>
      <c r="G366" t="s">
        <v>275</v>
      </c>
      <c r="H366" t="s">
        <v>275</v>
      </c>
      <c r="I366" t="s">
        <v>275</v>
      </c>
      <c r="J366" t="s">
        <v>275</v>
      </c>
      <c r="K366" t="s">
        <v>275</v>
      </c>
      <c r="L366" t="s">
        <v>275</v>
      </c>
      <c r="M366" t="s">
        <v>275</v>
      </c>
      <c r="N366" t="s">
        <v>275</v>
      </c>
      <c r="O366" t="s">
        <v>1</v>
      </c>
      <c r="P366" t="s">
        <v>1</v>
      </c>
      <c r="Q366" t="s">
        <v>275</v>
      </c>
      <c r="R366" t="s">
        <v>275</v>
      </c>
      <c r="S366" t="s">
        <v>275</v>
      </c>
      <c r="T366" t="s">
        <v>275</v>
      </c>
      <c r="U366" t="s">
        <v>275</v>
      </c>
      <c r="V366" t="s">
        <v>275</v>
      </c>
    </row>
    <row r="367" spans="1:22">
      <c r="A367">
        <v>365</v>
      </c>
      <c r="B367" t="s">
        <v>1112</v>
      </c>
      <c r="C367" t="s">
        <v>1113</v>
      </c>
      <c r="D367" t="str">
        <f>IF(VLOOKUP(C367,'Capabilities Overview'!$A$2:$A$587,1)=C367,"","Not in IOE")</f>
        <v/>
      </c>
      <c r="E367" t="s">
        <v>1</v>
      </c>
      <c r="F367" t="s">
        <v>1</v>
      </c>
      <c r="G367" t="s">
        <v>275</v>
      </c>
      <c r="H367" t="s">
        <v>1</v>
      </c>
      <c r="I367" t="s">
        <v>1</v>
      </c>
      <c r="J367" t="s">
        <v>1</v>
      </c>
      <c r="K367" t="s">
        <v>1</v>
      </c>
      <c r="L367" t="s">
        <v>275</v>
      </c>
      <c r="M367" t="s">
        <v>275</v>
      </c>
      <c r="N367" t="s">
        <v>275</v>
      </c>
      <c r="O367" t="s">
        <v>275</v>
      </c>
      <c r="P367" t="s">
        <v>275</v>
      </c>
      <c r="Q367" t="s">
        <v>275</v>
      </c>
      <c r="R367" t="s">
        <v>275</v>
      </c>
      <c r="S367" t="s">
        <v>275</v>
      </c>
      <c r="T367" t="s">
        <v>1</v>
      </c>
      <c r="U367" t="s">
        <v>275</v>
      </c>
      <c r="V367" t="s">
        <v>275</v>
      </c>
    </row>
    <row r="368" spans="1:22">
      <c r="A368">
        <v>366</v>
      </c>
      <c r="B368" t="s">
        <v>1114</v>
      </c>
      <c r="C368" t="s">
        <v>1115</v>
      </c>
      <c r="D368" t="str">
        <f>IF(VLOOKUP(C368,'Capabilities Overview'!$A$2:$A$587,1)=C368,"","Not in IOE")</f>
        <v/>
      </c>
      <c r="E368" t="s">
        <v>1</v>
      </c>
      <c r="F368" t="s">
        <v>1</v>
      </c>
      <c r="G368" t="s">
        <v>275</v>
      </c>
      <c r="H368" t="s">
        <v>1</v>
      </c>
      <c r="I368" t="s">
        <v>1</v>
      </c>
      <c r="J368" t="s">
        <v>1</v>
      </c>
      <c r="K368" t="s">
        <v>1</v>
      </c>
      <c r="L368" t="s">
        <v>275</v>
      </c>
      <c r="M368" t="s">
        <v>275</v>
      </c>
      <c r="N368" t="s">
        <v>275</v>
      </c>
      <c r="O368" t="s">
        <v>275</v>
      </c>
      <c r="P368" t="s">
        <v>275</v>
      </c>
      <c r="Q368" t="s">
        <v>275</v>
      </c>
      <c r="R368" t="s">
        <v>275</v>
      </c>
      <c r="S368" t="s">
        <v>275</v>
      </c>
      <c r="T368" t="s">
        <v>1</v>
      </c>
      <c r="U368" t="s">
        <v>275</v>
      </c>
      <c r="V368" t="s">
        <v>275</v>
      </c>
    </row>
    <row r="369" spans="1:22">
      <c r="A369">
        <v>367</v>
      </c>
      <c r="B369" t="s">
        <v>1116</v>
      </c>
      <c r="C369" t="s">
        <v>1117</v>
      </c>
      <c r="D369" t="str">
        <f>IF(VLOOKUP(C369,'Capabilities Overview'!$A$2:$A$587,1)=C369,"","Not in IOE")</f>
        <v/>
      </c>
      <c r="E369" t="s">
        <v>275</v>
      </c>
      <c r="F369" t="s">
        <v>275</v>
      </c>
      <c r="G369" t="s">
        <v>275</v>
      </c>
      <c r="H369" t="s">
        <v>1</v>
      </c>
      <c r="I369" t="s">
        <v>1</v>
      </c>
      <c r="J369" t="s">
        <v>1</v>
      </c>
      <c r="K369" t="s">
        <v>1</v>
      </c>
      <c r="L369" t="s">
        <v>1</v>
      </c>
      <c r="M369" t="s">
        <v>1</v>
      </c>
      <c r="N369" t="s">
        <v>275</v>
      </c>
      <c r="O369" t="s">
        <v>275</v>
      </c>
      <c r="P369" t="s">
        <v>275</v>
      </c>
      <c r="Q369" t="s">
        <v>275</v>
      </c>
      <c r="R369" t="s">
        <v>275</v>
      </c>
      <c r="S369" t="s">
        <v>275</v>
      </c>
      <c r="T369" t="s">
        <v>1</v>
      </c>
      <c r="U369" t="s">
        <v>275</v>
      </c>
      <c r="V369" t="s">
        <v>275</v>
      </c>
    </row>
    <row r="370" spans="1:22">
      <c r="A370">
        <v>368</v>
      </c>
      <c r="B370" t="s">
        <v>1118</v>
      </c>
      <c r="C370" t="s">
        <v>1119</v>
      </c>
      <c r="D370" t="str">
        <f>IF(VLOOKUP(C370,'Capabilities Overview'!$A$2:$A$587,1)=C370,"","Not in IOE")</f>
        <v/>
      </c>
      <c r="E370" t="s">
        <v>1</v>
      </c>
      <c r="F370" t="s">
        <v>1</v>
      </c>
      <c r="G370" t="s">
        <v>275</v>
      </c>
      <c r="H370" t="s">
        <v>1</v>
      </c>
      <c r="I370" t="s">
        <v>1</v>
      </c>
      <c r="J370" t="s">
        <v>1</v>
      </c>
      <c r="K370" t="s">
        <v>1</v>
      </c>
      <c r="L370" t="s">
        <v>1</v>
      </c>
      <c r="M370" t="s">
        <v>1</v>
      </c>
      <c r="N370" t="s">
        <v>275</v>
      </c>
      <c r="O370" t="s">
        <v>275</v>
      </c>
      <c r="P370" t="s">
        <v>275</v>
      </c>
      <c r="Q370" t="s">
        <v>275</v>
      </c>
      <c r="R370" t="s">
        <v>275</v>
      </c>
      <c r="S370" t="s">
        <v>275</v>
      </c>
      <c r="T370" t="s">
        <v>1</v>
      </c>
      <c r="U370" t="s">
        <v>275</v>
      </c>
      <c r="V370" t="s">
        <v>275</v>
      </c>
    </row>
    <row r="371" spans="1:22">
      <c r="A371">
        <v>369</v>
      </c>
      <c r="B371" t="s">
        <v>1120</v>
      </c>
      <c r="C371" t="s">
        <v>1121</v>
      </c>
      <c r="D371" t="str">
        <f>IF(VLOOKUP(C371,'Capabilities Overview'!$A$2:$A$587,1)=C371,"","Not in IOE")</f>
        <v/>
      </c>
      <c r="E371" t="s">
        <v>1</v>
      </c>
      <c r="F371" t="s">
        <v>1</v>
      </c>
      <c r="G371" t="s">
        <v>275</v>
      </c>
      <c r="H371" t="s">
        <v>1</v>
      </c>
      <c r="I371" t="s">
        <v>1</v>
      </c>
      <c r="J371" t="s">
        <v>1</v>
      </c>
      <c r="K371" t="s">
        <v>1</v>
      </c>
      <c r="L371" t="s">
        <v>275</v>
      </c>
      <c r="M371" t="s">
        <v>275</v>
      </c>
      <c r="N371" t="s">
        <v>275</v>
      </c>
      <c r="O371" t="s">
        <v>275</v>
      </c>
      <c r="P371" t="s">
        <v>275</v>
      </c>
      <c r="Q371" t="s">
        <v>275</v>
      </c>
      <c r="R371" t="s">
        <v>275</v>
      </c>
      <c r="S371" t="s">
        <v>275</v>
      </c>
      <c r="T371" t="s">
        <v>1</v>
      </c>
      <c r="U371" t="s">
        <v>275</v>
      </c>
      <c r="V371" t="s">
        <v>275</v>
      </c>
    </row>
    <row r="372" spans="1:22">
      <c r="A372">
        <v>370</v>
      </c>
      <c r="B372" t="s">
        <v>1122</v>
      </c>
      <c r="C372" t="s">
        <v>1123</v>
      </c>
      <c r="D372" t="str">
        <f>IF(VLOOKUP(C372,'Capabilities Overview'!$A$2:$A$587,1)=C372,"","Not in IOE")</f>
        <v/>
      </c>
      <c r="E372" t="s">
        <v>1</v>
      </c>
      <c r="F372" t="s">
        <v>1</v>
      </c>
      <c r="G372" t="s">
        <v>275</v>
      </c>
      <c r="H372" t="s">
        <v>1</v>
      </c>
      <c r="I372" t="s">
        <v>1</v>
      </c>
      <c r="J372" t="s">
        <v>1</v>
      </c>
      <c r="K372" t="s">
        <v>1</v>
      </c>
      <c r="L372" t="s">
        <v>1</v>
      </c>
      <c r="M372" t="s">
        <v>1</v>
      </c>
      <c r="N372" t="s">
        <v>275</v>
      </c>
      <c r="O372" t="s">
        <v>275</v>
      </c>
      <c r="P372" t="s">
        <v>275</v>
      </c>
      <c r="Q372" t="s">
        <v>275</v>
      </c>
      <c r="R372" t="s">
        <v>275</v>
      </c>
      <c r="S372" t="s">
        <v>275</v>
      </c>
      <c r="T372" t="s">
        <v>1</v>
      </c>
      <c r="U372" t="s">
        <v>275</v>
      </c>
      <c r="V372" t="s">
        <v>275</v>
      </c>
    </row>
    <row r="373" spans="1:22">
      <c r="A373">
        <v>371</v>
      </c>
      <c r="B373" t="s">
        <v>1124</v>
      </c>
      <c r="C373" t="s">
        <v>1125</v>
      </c>
      <c r="D373" t="str">
        <f>IF(VLOOKUP(C373,'Capabilities Overview'!$A$2:$A$587,1)=C373,"","Not in IOE")</f>
        <v/>
      </c>
      <c r="E373" t="s">
        <v>1</v>
      </c>
      <c r="F373" t="s">
        <v>1</v>
      </c>
      <c r="G373" t="s">
        <v>275</v>
      </c>
      <c r="H373" t="s">
        <v>1</v>
      </c>
      <c r="I373" t="s">
        <v>1</v>
      </c>
      <c r="J373" t="s">
        <v>1</v>
      </c>
      <c r="K373" t="s">
        <v>1</v>
      </c>
      <c r="L373" t="s">
        <v>275</v>
      </c>
      <c r="M373" t="s">
        <v>275</v>
      </c>
      <c r="N373" t="s">
        <v>275</v>
      </c>
      <c r="O373" t="s">
        <v>275</v>
      </c>
      <c r="P373" t="s">
        <v>275</v>
      </c>
      <c r="Q373" t="s">
        <v>275</v>
      </c>
      <c r="R373" t="s">
        <v>275</v>
      </c>
      <c r="S373" t="s">
        <v>275</v>
      </c>
      <c r="T373" t="s">
        <v>1</v>
      </c>
      <c r="U373" t="s">
        <v>275</v>
      </c>
      <c r="V373" t="s">
        <v>275</v>
      </c>
    </row>
    <row r="374" spans="1:22">
      <c r="A374">
        <v>372</v>
      </c>
      <c r="B374" t="s">
        <v>1126</v>
      </c>
      <c r="C374" t="s">
        <v>1127</v>
      </c>
      <c r="D374" t="str">
        <f>IF(VLOOKUP(C374,'Capabilities Overview'!$A$2:$A$587,1)=C374,"","Not in IOE")</f>
        <v/>
      </c>
      <c r="E374" t="s">
        <v>1</v>
      </c>
      <c r="F374" t="s">
        <v>1</v>
      </c>
      <c r="G374" t="s">
        <v>275</v>
      </c>
      <c r="H374" t="s">
        <v>1</v>
      </c>
      <c r="I374" t="s">
        <v>1</v>
      </c>
      <c r="J374" t="s">
        <v>1</v>
      </c>
      <c r="K374" t="s">
        <v>1</v>
      </c>
      <c r="L374" t="s">
        <v>275</v>
      </c>
      <c r="M374" t="s">
        <v>275</v>
      </c>
      <c r="N374" t="s">
        <v>275</v>
      </c>
      <c r="O374" t="s">
        <v>275</v>
      </c>
      <c r="P374" t="s">
        <v>275</v>
      </c>
      <c r="Q374" t="s">
        <v>275</v>
      </c>
      <c r="R374" t="s">
        <v>275</v>
      </c>
      <c r="S374" t="s">
        <v>275</v>
      </c>
      <c r="T374" t="s">
        <v>1</v>
      </c>
      <c r="U374" t="s">
        <v>275</v>
      </c>
      <c r="V374" t="s">
        <v>275</v>
      </c>
    </row>
    <row r="375" spans="1:22">
      <c r="A375">
        <v>373</v>
      </c>
      <c r="B375" t="s">
        <v>1128</v>
      </c>
      <c r="C375" t="s">
        <v>1129</v>
      </c>
      <c r="D375" t="str">
        <f>IF(VLOOKUP(C375,'Capabilities Overview'!$A$2:$A$587,1)=C375,"","Not in IOE")</f>
        <v/>
      </c>
      <c r="E375" t="s">
        <v>1</v>
      </c>
      <c r="F375" t="s">
        <v>1</v>
      </c>
      <c r="G375" t="s">
        <v>275</v>
      </c>
      <c r="H375" t="s">
        <v>1</v>
      </c>
      <c r="I375" t="s">
        <v>1</v>
      </c>
      <c r="J375" t="s">
        <v>1</v>
      </c>
      <c r="K375" t="s">
        <v>1</v>
      </c>
      <c r="L375" t="s">
        <v>1</v>
      </c>
      <c r="M375" t="s">
        <v>1</v>
      </c>
      <c r="N375" t="s">
        <v>1</v>
      </c>
      <c r="O375" t="s">
        <v>275</v>
      </c>
      <c r="P375" t="s">
        <v>275</v>
      </c>
      <c r="Q375" t="s">
        <v>275</v>
      </c>
      <c r="R375" t="s">
        <v>275</v>
      </c>
      <c r="S375" t="s">
        <v>275</v>
      </c>
      <c r="T375" t="s">
        <v>1</v>
      </c>
      <c r="U375" t="s">
        <v>275</v>
      </c>
      <c r="V375" t="s">
        <v>275</v>
      </c>
    </row>
    <row r="376" spans="1:22">
      <c r="A376">
        <v>374</v>
      </c>
      <c r="B376" t="s">
        <v>1130</v>
      </c>
      <c r="C376" t="s">
        <v>1131</v>
      </c>
      <c r="D376" t="str">
        <f>IF(VLOOKUP(C376,'Capabilities Overview'!$A$2:$A$587,1)=C376,"","Not in IOE")</f>
        <v/>
      </c>
      <c r="E376" t="s">
        <v>1</v>
      </c>
      <c r="F376" t="s">
        <v>1</v>
      </c>
      <c r="G376" t="s">
        <v>275</v>
      </c>
      <c r="H376" t="s">
        <v>1</v>
      </c>
      <c r="I376" t="s">
        <v>1</v>
      </c>
      <c r="J376" t="s">
        <v>1</v>
      </c>
      <c r="K376" t="s">
        <v>1</v>
      </c>
      <c r="L376" t="s">
        <v>275</v>
      </c>
      <c r="M376" t="s">
        <v>275</v>
      </c>
      <c r="N376" t="s">
        <v>275</v>
      </c>
      <c r="O376" t="s">
        <v>275</v>
      </c>
      <c r="P376" t="s">
        <v>275</v>
      </c>
      <c r="Q376" t="s">
        <v>275</v>
      </c>
      <c r="R376" t="s">
        <v>275</v>
      </c>
      <c r="S376" t="s">
        <v>275</v>
      </c>
      <c r="T376" t="s">
        <v>1</v>
      </c>
      <c r="U376" t="s">
        <v>275</v>
      </c>
      <c r="V376" t="s">
        <v>275</v>
      </c>
    </row>
    <row r="377" spans="1:22">
      <c r="A377">
        <v>375</v>
      </c>
      <c r="B377" t="s">
        <v>1132</v>
      </c>
      <c r="C377" t="s">
        <v>1133</v>
      </c>
      <c r="D377" t="str">
        <f>IF(VLOOKUP(C377,'Capabilities Overview'!$A$2:$A$587,1)=C377,"","Not in IOE")</f>
        <v/>
      </c>
      <c r="E377" t="s">
        <v>1</v>
      </c>
      <c r="F377" t="s">
        <v>1</v>
      </c>
      <c r="G377" t="s">
        <v>275</v>
      </c>
      <c r="H377" t="s">
        <v>1</v>
      </c>
      <c r="I377" t="s">
        <v>1</v>
      </c>
      <c r="J377" t="s">
        <v>1</v>
      </c>
      <c r="K377" t="s">
        <v>1</v>
      </c>
      <c r="L377" t="s">
        <v>275</v>
      </c>
      <c r="M377" t="s">
        <v>275</v>
      </c>
      <c r="N377" t="s">
        <v>275</v>
      </c>
      <c r="O377" t="s">
        <v>275</v>
      </c>
      <c r="P377" t="s">
        <v>275</v>
      </c>
      <c r="Q377" t="s">
        <v>275</v>
      </c>
      <c r="R377" t="s">
        <v>275</v>
      </c>
      <c r="S377" t="s">
        <v>275</v>
      </c>
      <c r="T377" t="s">
        <v>1</v>
      </c>
      <c r="U377" t="s">
        <v>275</v>
      </c>
      <c r="V377" t="s">
        <v>275</v>
      </c>
    </row>
    <row r="378" spans="1:22">
      <c r="A378">
        <v>376</v>
      </c>
      <c r="B378" t="s">
        <v>1134</v>
      </c>
      <c r="C378" t="s">
        <v>1135</v>
      </c>
      <c r="D378" t="str">
        <f>IF(VLOOKUP(C378,'Capabilities Overview'!$A$2:$A$587,1)=C378,"","Not in IOE")</f>
        <v/>
      </c>
      <c r="E378" t="s">
        <v>1</v>
      </c>
      <c r="F378" t="s">
        <v>1</v>
      </c>
      <c r="G378" t="s">
        <v>275</v>
      </c>
      <c r="H378" t="s">
        <v>1</v>
      </c>
      <c r="I378" t="s">
        <v>1</v>
      </c>
      <c r="J378" t="s">
        <v>1</v>
      </c>
      <c r="K378" t="s">
        <v>1</v>
      </c>
      <c r="L378" t="s">
        <v>275</v>
      </c>
      <c r="M378" t="s">
        <v>275</v>
      </c>
      <c r="N378" t="s">
        <v>275</v>
      </c>
      <c r="O378" t="s">
        <v>275</v>
      </c>
      <c r="P378" t="s">
        <v>275</v>
      </c>
      <c r="Q378" t="s">
        <v>275</v>
      </c>
      <c r="R378" t="s">
        <v>275</v>
      </c>
      <c r="S378" t="s">
        <v>275</v>
      </c>
      <c r="T378" t="s">
        <v>1</v>
      </c>
      <c r="U378" t="s">
        <v>275</v>
      </c>
      <c r="V378" t="s">
        <v>275</v>
      </c>
    </row>
    <row r="379" spans="1:22">
      <c r="A379">
        <v>377</v>
      </c>
      <c r="B379" t="s">
        <v>1136</v>
      </c>
      <c r="C379" t="s">
        <v>1137</v>
      </c>
      <c r="D379" t="str">
        <f>IF(VLOOKUP(C379,'Capabilities Overview'!$A$2:$A$587,1)=C379,"","Not in IOE")</f>
        <v/>
      </c>
      <c r="E379" t="s">
        <v>1</v>
      </c>
      <c r="F379" t="s">
        <v>1</v>
      </c>
      <c r="G379" t="s">
        <v>275</v>
      </c>
      <c r="H379" t="s">
        <v>1</v>
      </c>
      <c r="I379" t="s">
        <v>1</v>
      </c>
      <c r="J379" t="s">
        <v>1</v>
      </c>
      <c r="K379" t="s">
        <v>1</v>
      </c>
      <c r="L379" t="s">
        <v>275</v>
      </c>
      <c r="M379" t="s">
        <v>275</v>
      </c>
      <c r="N379" t="s">
        <v>275</v>
      </c>
      <c r="O379" t="s">
        <v>275</v>
      </c>
      <c r="P379" t="s">
        <v>275</v>
      </c>
      <c r="Q379" t="s">
        <v>275</v>
      </c>
      <c r="R379" t="s">
        <v>275</v>
      </c>
      <c r="S379" t="s">
        <v>275</v>
      </c>
      <c r="T379" t="s">
        <v>1</v>
      </c>
      <c r="U379" t="s">
        <v>275</v>
      </c>
      <c r="V379" t="s">
        <v>275</v>
      </c>
    </row>
    <row r="380" spans="1:22">
      <c r="A380">
        <v>378</v>
      </c>
      <c r="B380" t="s">
        <v>1138</v>
      </c>
      <c r="C380" t="s">
        <v>1139</v>
      </c>
      <c r="D380" t="str">
        <f>IF(VLOOKUP(C380,'Capabilities Overview'!$A$2:$A$587,1)=C380,"","Not in IOE")</f>
        <v/>
      </c>
      <c r="E380" t="s">
        <v>1</v>
      </c>
      <c r="F380" t="s">
        <v>1</v>
      </c>
      <c r="G380" t="s">
        <v>275</v>
      </c>
      <c r="H380" t="s">
        <v>1</v>
      </c>
      <c r="I380" t="s">
        <v>1</v>
      </c>
      <c r="J380" t="s">
        <v>1</v>
      </c>
      <c r="K380" t="s">
        <v>1</v>
      </c>
      <c r="L380" t="s">
        <v>275</v>
      </c>
      <c r="M380" t="s">
        <v>275</v>
      </c>
      <c r="N380" t="s">
        <v>275</v>
      </c>
      <c r="O380" t="s">
        <v>275</v>
      </c>
      <c r="P380" t="s">
        <v>275</v>
      </c>
      <c r="Q380" t="s">
        <v>275</v>
      </c>
      <c r="R380" t="s">
        <v>275</v>
      </c>
      <c r="S380" t="s">
        <v>275</v>
      </c>
      <c r="T380" t="s">
        <v>1</v>
      </c>
      <c r="U380" t="s">
        <v>275</v>
      </c>
      <c r="V380" t="s">
        <v>275</v>
      </c>
    </row>
    <row r="381" spans="1:22">
      <c r="A381">
        <v>379</v>
      </c>
      <c r="B381" t="s">
        <v>1140</v>
      </c>
      <c r="C381" t="s">
        <v>1141</v>
      </c>
      <c r="D381" t="str">
        <f>IF(VLOOKUP(C381,'Capabilities Overview'!$A$2:$A$587,1)=C381,"","Not in IOE")</f>
        <v/>
      </c>
      <c r="E381" t="s">
        <v>1</v>
      </c>
      <c r="F381" t="s">
        <v>1</v>
      </c>
      <c r="G381" t="s">
        <v>275</v>
      </c>
      <c r="H381" t="s">
        <v>1</v>
      </c>
      <c r="I381" t="s">
        <v>1</v>
      </c>
      <c r="J381" t="s">
        <v>1</v>
      </c>
      <c r="K381" t="s">
        <v>1</v>
      </c>
      <c r="L381" t="s">
        <v>275</v>
      </c>
      <c r="M381" t="s">
        <v>275</v>
      </c>
      <c r="N381" t="s">
        <v>275</v>
      </c>
      <c r="O381" t="s">
        <v>275</v>
      </c>
      <c r="P381" t="s">
        <v>275</v>
      </c>
      <c r="Q381" t="s">
        <v>275</v>
      </c>
      <c r="R381" t="s">
        <v>275</v>
      </c>
      <c r="S381" t="s">
        <v>275</v>
      </c>
      <c r="T381" t="s">
        <v>1</v>
      </c>
      <c r="U381" t="s">
        <v>275</v>
      </c>
      <c r="V381" t="s">
        <v>275</v>
      </c>
    </row>
    <row r="382" spans="1:22">
      <c r="A382">
        <v>380</v>
      </c>
      <c r="B382" t="s">
        <v>1142</v>
      </c>
      <c r="C382" t="s">
        <v>1143</v>
      </c>
      <c r="D382" t="str">
        <f>IF(VLOOKUP(C382,'Capabilities Overview'!$A$2:$A$587,1)=C382,"","Not in IOE")</f>
        <v/>
      </c>
      <c r="E382" t="s">
        <v>1</v>
      </c>
      <c r="F382" t="s">
        <v>1</v>
      </c>
      <c r="G382" t="s">
        <v>275</v>
      </c>
      <c r="H382" t="s">
        <v>1</v>
      </c>
      <c r="I382" t="s">
        <v>1</v>
      </c>
      <c r="J382" t="s">
        <v>1</v>
      </c>
      <c r="K382" t="s">
        <v>1</v>
      </c>
      <c r="L382" t="s">
        <v>1</v>
      </c>
      <c r="M382" t="s">
        <v>1</v>
      </c>
      <c r="N382" t="s">
        <v>275</v>
      </c>
      <c r="O382" t="s">
        <v>275</v>
      </c>
      <c r="P382" t="s">
        <v>275</v>
      </c>
      <c r="Q382" t="s">
        <v>275</v>
      </c>
      <c r="R382" t="s">
        <v>275</v>
      </c>
      <c r="S382" t="s">
        <v>275</v>
      </c>
      <c r="T382" t="s">
        <v>1</v>
      </c>
      <c r="U382" t="s">
        <v>275</v>
      </c>
      <c r="V382" t="s">
        <v>275</v>
      </c>
    </row>
    <row r="383" spans="1:22">
      <c r="A383">
        <v>381</v>
      </c>
      <c r="B383" t="s">
        <v>1144</v>
      </c>
      <c r="C383" t="s">
        <v>1145</v>
      </c>
      <c r="D383" t="str">
        <f>IF(VLOOKUP(C383,'Capabilities Overview'!$A$2:$A$587,1)=C383,"","Not in IOE")</f>
        <v/>
      </c>
      <c r="E383" t="s">
        <v>1</v>
      </c>
      <c r="F383" t="s">
        <v>1</v>
      </c>
      <c r="G383" t="s">
        <v>275</v>
      </c>
      <c r="H383" t="s">
        <v>1</v>
      </c>
      <c r="I383" t="s">
        <v>1</v>
      </c>
      <c r="J383" t="s">
        <v>1</v>
      </c>
      <c r="K383" t="s">
        <v>1</v>
      </c>
      <c r="L383" t="s">
        <v>275</v>
      </c>
      <c r="M383" t="s">
        <v>275</v>
      </c>
      <c r="N383" t="s">
        <v>275</v>
      </c>
      <c r="O383" t="s">
        <v>275</v>
      </c>
      <c r="P383" t="s">
        <v>275</v>
      </c>
      <c r="Q383" t="s">
        <v>275</v>
      </c>
      <c r="R383" t="s">
        <v>275</v>
      </c>
      <c r="S383" t="s">
        <v>275</v>
      </c>
      <c r="T383" t="s">
        <v>1</v>
      </c>
      <c r="U383" t="s">
        <v>275</v>
      </c>
      <c r="V383" t="s">
        <v>275</v>
      </c>
    </row>
    <row r="384" spans="1:22">
      <c r="A384">
        <v>382</v>
      </c>
      <c r="B384" t="s">
        <v>1146</v>
      </c>
      <c r="C384" t="s">
        <v>1147</v>
      </c>
      <c r="D384" t="str">
        <f>IF(VLOOKUP(C384,'Capabilities Overview'!$A$2:$A$587,1)=C384,"","Not in IOE")</f>
        <v/>
      </c>
      <c r="E384" t="s">
        <v>1</v>
      </c>
      <c r="F384" t="s">
        <v>1</v>
      </c>
      <c r="G384" t="s">
        <v>275</v>
      </c>
      <c r="H384" t="s">
        <v>1</v>
      </c>
      <c r="I384" t="s">
        <v>1</v>
      </c>
      <c r="J384" t="s">
        <v>1</v>
      </c>
      <c r="K384" t="s">
        <v>1</v>
      </c>
      <c r="L384" t="s">
        <v>1</v>
      </c>
      <c r="M384" t="s">
        <v>1</v>
      </c>
      <c r="N384" t="s">
        <v>275</v>
      </c>
      <c r="O384" t="s">
        <v>275</v>
      </c>
      <c r="P384" t="s">
        <v>275</v>
      </c>
      <c r="Q384" t="s">
        <v>275</v>
      </c>
      <c r="R384" t="s">
        <v>275</v>
      </c>
      <c r="S384" t="s">
        <v>275</v>
      </c>
      <c r="T384" t="s">
        <v>1</v>
      </c>
      <c r="U384" t="s">
        <v>275</v>
      </c>
      <c r="V384" t="s">
        <v>275</v>
      </c>
    </row>
    <row r="385" spans="1:22">
      <c r="A385">
        <v>383</v>
      </c>
      <c r="B385" t="s">
        <v>144</v>
      </c>
      <c r="C385" t="s">
        <v>1148</v>
      </c>
      <c r="D385" t="str">
        <f>IF(VLOOKUP(C385,'Capabilities Overview'!$A$2:$A$587,1)=C385,"","Not in IOE")</f>
        <v/>
      </c>
      <c r="E385" t="s">
        <v>1</v>
      </c>
      <c r="F385" t="s">
        <v>1</v>
      </c>
      <c r="G385" t="s">
        <v>275</v>
      </c>
      <c r="H385" t="s">
        <v>1</v>
      </c>
      <c r="I385" t="s">
        <v>1</v>
      </c>
      <c r="J385" t="s">
        <v>1</v>
      </c>
      <c r="K385" t="s">
        <v>1</v>
      </c>
      <c r="L385" t="s">
        <v>275</v>
      </c>
      <c r="M385" t="s">
        <v>275</v>
      </c>
      <c r="N385" t="s">
        <v>275</v>
      </c>
      <c r="O385" t="s">
        <v>275</v>
      </c>
      <c r="P385" t="s">
        <v>275</v>
      </c>
      <c r="Q385" t="s">
        <v>275</v>
      </c>
      <c r="R385" t="s">
        <v>275</v>
      </c>
      <c r="S385" t="s">
        <v>275</v>
      </c>
      <c r="T385" t="s">
        <v>1</v>
      </c>
      <c r="U385" t="s">
        <v>275</v>
      </c>
      <c r="V385" t="s">
        <v>275</v>
      </c>
    </row>
    <row r="386" spans="1:22">
      <c r="A386">
        <v>384</v>
      </c>
      <c r="B386" t="s">
        <v>146</v>
      </c>
      <c r="C386" t="s">
        <v>1149</v>
      </c>
      <c r="D386" t="str">
        <f>IF(VLOOKUP(C386,'Capabilities Overview'!$A$2:$A$587,1)=C386,"","Not in IOE")</f>
        <v/>
      </c>
      <c r="E386" t="s">
        <v>1</v>
      </c>
      <c r="F386" t="s">
        <v>1</v>
      </c>
      <c r="G386" t="s">
        <v>275</v>
      </c>
      <c r="H386" t="s">
        <v>1</v>
      </c>
      <c r="I386" t="s">
        <v>1</v>
      </c>
      <c r="J386" t="s">
        <v>1</v>
      </c>
      <c r="K386" t="s">
        <v>1</v>
      </c>
      <c r="L386" t="s">
        <v>275</v>
      </c>
      <c r="M386" t="s">
        <v>275</v>
      </c>
      <c r="N386" t="s">
        <v>275</v>
      </c>
      <c r="O386" t="s">
        <v>275</v>
      </c>
      <c r="P386" t="s">
        <v>275</v>
      </c>
      <c r="Q386" t="s">
        <v>275</v>
      </c>
      <c r="R386" t="s">
        <v>275</v>
      </c>
      <c r="S386" t="s">
        <v>275</v>
      </c>
      <c r="T386" t="s">
        <v>1</v>
      </c>
      <c r="U386" t="s">
        <v>275</v>
      </c>
      <c r="V386" t="s">
        <v>275</v>
      </c>
    </row>
    <row r="387" spans="1:22">
      <c r="A387">
        <v>385</v>
      </c>
      <c r="B387" t="s">
        <v>1150</v>
      </c>
      <c r="C387" t="s">
        <v>1151</v>
      </c>
      <c r="D387" t="str">
        <f>IF(VLOOKUP(C387,'Capabilities Overview'!$A$2:$A$587,1)=C387,"","Not in IOE")</f>
        <v/>
      </c>
      <c r="E387" t="s">
        <v>1</v>
      </c>
      <c r="F387" t="s">
        <v>1</v>
      </c>
      <c r="G387" t="s">
        <v>275</v>
      </c>
      <c r="H387" t="s">
        <v>1</v>
      </c>
      <c r="I387" t="s">
        <v>1</v>
      </c>
      <c r="J387" t="s">
        <v>1</v>
      </c>
      <c r="K387" t="s">
        <v>1</v>
      </c>
      <c r="L387" t="s">
        <v>1</v>
      </c>
      <c r="M387" t="s">
        <v>1</v>
      </c>
      <c r="N387" t="s">
        <v>1</v>
      </c>
      <c r="O387" t="s">
        <v>1</v>
      </c>
      <c r="P387" t="s">
        <v>275</v>
      </c>
      <c r="Q387" t="s">
        <v>275</v>
      </c>
      <c r="R387" t="s">
        <v>275</v>
      </c>
      <c r="S387" t="s">
        <v>275</v>
      </c>
      <c r="T387" t="s">
        <v>1</v>
      </c>
      <c r="U387" t="s">
        <v>275</v>
      </c>
      <c r="V387" t="s">
        <v>275</v>
      </c>
    </row>
    <row r="388" spans="1:22">
      <c r="A388">
        <v>386</v>
      </c>
      <c r="B388" t="s">
        <v>1152</v>
      </c>
      <c r="C388" t="s">
        <v>1153</v>
      </c>
      <c r="D388" t="str">
        <f>IF(VLOOKUP(C388,'Capabilities Overview'!$A$2:$A$587,1)=C388,"","Not in IOE")</f>
        <v/>
      </c>
      <c r="E388" t="s">
        <v>1</v>
      </c>
      <c r="F388" t="s">
        <v>1</v>
      </c>
      <c r="G388" t="s">
        <v>275</v>
      </c>
      <c r="H388" t="s">
        <v>1</v>
      </c>
      <c r="I388" t="s">
        <v>1</v>
      </c>
      <c r="J388" t="s">
        <v>1</v>
      </c>
      <c r="K388" t="s">
        <v>1</v>
      </c>
      <c r="L388" t="s">
        <v>275</v>
      </c>
      <c r="M388" t="s">
        <v>275</v>
      </c>
      <c r="N388" t="s">
        <v>275</v>
      </c>
      <c r="O388" t="s">
        <v>275</v>
      </c>
      <c r="P388" t="s">
        <v>275</v>
      </c>
      <c r="Q388" t="s">
        <v>275</v>
      </c>
      <c r="R388" t="s">
        <v>275</v>
      </c>
      <c r="S388" t="s">
        <v>275</v>
      </c>
      <c r="T388" t="s">
        <v>1</v>
      </c>
      <c r="U388" t="s">
        <v>275</v>
      </c>
      <c r="V388" t="s">
        <v>275</v>
      </c>
    </row>
    <row r="389" spans="1:22">
      <c r="A389">
        <v>387</v>
      </c>
      <c r="B389" t="s">
        <v>1154</v>
      </c>
      <c r="C389" t="s">
        <v>1155</v>
      </c>
      <c r="D389" t="str">
        <f>IF(VLOOKUP(C389,'Capabilities Overview'!$A$2:$A$587,1)=C389,"","Not in IOE")</f>
        <v/>
      </c>
      <c r="E389" t="s">
        <v>1</v>
      </c>
      <c r="F389" t="s">
        <v>1</v>
      </c>
      <c r="G389" t="s">
        <v>275</v>
      </c>
      <c r="H389" t="s">
        <v>1</v>
      </c>
      <c r="I389" t="s">
        <v>1</v>
      </c>
      <c r="J389" t="s">
        <v>1</v>
      </c>
      <c r="K389" t="s">
        <v>1</v>
      </c>
      <c r="L389" t="s">
        <v>275</v>
      </c>
      <c r="M389" t="s">
        <v>275</v>
      </c>
      <c r="N389" t="s">
        <v>275</v>
      </c>
      <c r="O389" t="s">
        <v>275</v>
      </c>
      <c r="P389" t="s">
        <v>275</v>
      </c>
      <c r="Q389" t="s">
        <v>275</v>
      </c>
      <c r="R389" t="s">
        <v>275</v>
      </c>
      <c r="S389" t="s">
        <v>275</v>
      </c>
      <c r="T389" t="s">
        <v>1</v>
      </c>
      <c r="U389" t="s">
        <v>275</v>
      </c>
      <c r="V389" t="s">
        <v>275</v>
      </c>
    </row>
    <row r="390" spans="1:22">
      <c r="A390">
        <v>388</v>
      </c>
      <c r="B390" t="s">
        <v>142</v>
      </c>
      <c r="C390" t="s">
        <v>1156</v>
      </c>
      <c r="D390" t="str">
        <f>IF(VLOOKUP(C390,'Capabilities Overview'!$A$2:$A$587,1)=C390,"","Not in IOE")</f>
        <v/>
      </c>
      <c r="E390" t="s">
        <v>1</v>
      </c>
      <c r="F390" t="s">
        <v>1</v>
      </c>
      <c r="G390" t="s">
        <v>275</v>
      </c>
      <c r="H390" t="s">
        <v>1</v>
      </c>
      <c r="I390" t="s">
        <v>1</v>
      </c>
      <c r="J390" t="s">
        <v>1</v>
      </c>
      <c r="K390" t="s">
        <v>1</v>
      </c>
      <c r="L390" t="s">
        <v>1</v>
      </c>
      <c r="M390" t="s">
        <v>1</v>
      </c>
      <c r="N390" t="s">
        <v>275</v>
      </c>
      <c r="O390" t="s">
        <v>275</v>
      </c>
      <c r="P390" t="s">
        <v>275</v>
      </c>
      <c r="Q390" t="s">
        <v>275</v>
      </c>
      <c r="R390" t="s">
        <v>275</v>
      </c>
      <c r="S390" t="s">
        <v>275</v>
      </c>
      <c r="T390" t="s">
        <v>1</v>
      </c>
      <c r="U390" t="s">
        <v>275</v>
      </c>
      <c r="V390" t="s">
        <v>275</v>
      </c>
    </row>
    <row r="391" spans="1:22">
      <c r="A391">
        <v>389</v>
      </c>
      <c r="B391" t="s">
        <v>1157</v>
      </c>
      <c r="C391" t="s">
        <v>1158</v>
      </c>
      <c r="D391" t="str">
        <f>IF(VLOOKUP(C391,'Capabilities Overview'!$A$2:$A$587,1)=C391,"","Not in IOE")</f>
        <v/>
      </c>
      <c r="E391" t="s">
        <v>1</v>
      </c>
      <c r="F391" t="s">
        <v>1</v>
      </c>
      <c r="G391" t="s">
        <v>275</v>
      </c>
      <c r="H391" t="s">
        <v>1</v>
      </c>
      <c r="I391" t="s">
        <v>1</v>
      </c>
      <c r="J391" t="s">
        <v>1</v>
      </c>
      <c r="K391" t="s">
        <v>1</v>
      </c>
      <c r="L391" t="s">
        <v>275</v>
      </c>
      <c r="M391" t="s">
        <v>275</v>
      </c>
      <c r="N391" t="s">
        <v>275</v>
      </c>
      <c r="O391" t="s">
        <v>275</v>
      </c>
      <c r="P391" t="s">
        <v>275</v>
      </c>
      <c r="Q391" t="s">
        <v>275</v>
      </c>
      <c r="R391" t="s">
        <v>275</v>
      </c>
      <c r="S391" t="s">
        <v>275</v>
      </c>
      <c r="T391" t="s">
        <v>1</v>
      </c>
      <c r="U391" t="s">
        <v>275</v>
      </c>
      <c r="V391" t="s">
        <v>275</v>
      </c>
    </row>
    <row r="392" spans="1:22">
      <c r="A392">
        <v>390</v>
      </c>
      <c r="B392" t="s">
        <v>1018</v>
      </c>
      <c r="C392" t="s">
        <v>1199</v>
      </c>
      <c r="D392" t="str">
        <f>IF(VLOOKUP(C392,'Capabilities Overview'!$A$2:$A$587,1)=C392,"","Not in IOE")</f>
        <v/>
      </c>
      <c r="E392" t="s">
        <v>1</v>
      </c>
      <c r="F392" t="s">
        <v>1</v>
      </c>
      <c r="G392" t="s">
        <v>275</v>
      </c>
      <c r="H392" t="s">
        <v>1</v>
      </c>
      <c r="I392" t="s">
        <v>1</v>
      </c>
      <c r="J392" t="s">
        <v>1</v>
      </c>
      <c r="K392" t="s">
        <v>1</v>
      </c>
      <c r="L392" t="s">
        <v>275</v>
      </c>
      <c r="M392" t="s">
        <v>275</v>
      </c>
      <c r="N392" t="s">
        <v>275</v>
      </c>
      <c r="O392" t="s">
        <v>275</v>
      </c>
      <c r="P392" t="s">
        <v>275</v>
      </c>
      <c r="Q392" t="s">
        <v>275</v>
      </c>
      <c r="R392" t="s">
        <v>275</v>
      </c>
      <c r="S392" t="s">
        <v>275</v>
      </c>
      <c r="T392" t="s">
        <v>1</v>
      </c>
      <c r="U392" t="s">
        <v>275</v>
      </c>
      <c r="V392" t="s">
        <v>275</v>
      </c>
    </row>
    <row r="393" spans="1:22">
      <c r="A393">
        <v>391</v>
      </c>
      <c r="B393" t="s">
        <v>1200</v>
      </c>
      <c r="C393" t="s">
        <v>1201</v>
      </c>
      <c r="D393" t="str">
        <f>IF(VLOOKUP(C393,'Capabilities Overview'!$A$2:$A$587,1)=C393,"","Not in IOE")</f>
        <v/>
      </c>
      <c r="E393" t="s">
        <v>1</v>
      </c>
      <c r="F393" t="s">
        <v>1</v>
      </c>
      <c r="G393" t="s">
        <v>275</v>
      </c>
      <c r="H393" t="s">
        <v>1</v>
      </c>
      <c r="I393" t="s">
        <v>1</v>
      </c>
      <c r="J393" t="s">
        <v>1</v>
      </c>
      <c r="K393" t="s">
        <v>1</v>
      </c>
      <c r="L393" t="s">
        <v>1</v>
      </c>
      <c r="M393" t="s">
        <v>1</v>
      </c>
      <c r="N393" t="s">
        <v>275</v>
      </c>
      <c r="O393" t="s">
        <v>275</v>
      </c>
      <c r="P393" t="s">
        <v>275</v>
      </c>
      <c r="Q393" t="s">
        <v>275</v>
      </c>
      <c r="R393" t="s">
        <v>275</v>
      </c>
      <c r="S393" t="s">
        <v>275</v>
      </c>
      <c r="T393" t="s">
        <v>1</v>
      </c>
      <c r="U393" t="s">
        <v>275</v>
      </c>
      <c r="V393" t="s">
        <v>275</v>
      </c>
    </row>
    <row r="394" spans="1:22">
      <c r="A394">
        <v>392</v>
      </c>
      <c r="B394" t="s">
        <v>1202</v>
      </c>
      <c r="C394" t="s">
        <v>1203</v>
      </c>
      <c r="D394" t="str">
        <f>IF(VLOOKUP(C394,'Capabilities Overview'!$A$2:$A$587,1)=C394,"","Not in IOE")</f>
        <v/>
      </c>
      <c r="E394" t="s">
        <v>1</v>
      </c>
      <c r="F394" t="s">
        <v>1</v>
      </c>
      <c r="G394" t="s">
        <v>275</v>
      </c>
      <c r="H394" t="s">
        <v>1</v>
      </c>
      <c r="I394" t="s">
        <v>1</v>
      </c>
      <c r="J394" t="s">
        <v>1</v>
      </c>
      <c r="K394" t="s">
        <v>1</v>
      </c>
      <c r="L394" t="s">
        <v>275</v>
      </c>
      <c r="M394" t="s">
        <v>275</v>
      </c>
      <c r="N394" t="s">
        <v>275</v>
      </c>
      <c r="O394" t="s">
        <v>275</v>
      </c>
      <c r="P394" t="s">
        <v>275</v>
      </c>
      <c r="Q394" t="s">
        <v>275</v>
      </c>
      <c r="R394" t="s">
        <v>275</v>
      </c>
      <c r="S394" t="s">
        <v>275</v>
      </c>
      <c r="T394" t="s">
        <v>1</v>
      </c>
      <c r="U394" t="s">
        <v>275</v>
      </c>
      <c r="V394" t="s">
        <v>275</v>
      </c>
    </row>
    <row r="395" spans="1:22">
      <c r="A395">
        <v>393</v>
      </c>
      <c r="B395" t="s">
        <v>1204</v>
      </c>
      <c r="C395" t="s">
        <v>1205</v>
      </c>
      <c r="D395" t="str">
        <f>IF(VLOOKUP(C395,'Capabilities Overview'!$A$2:$A$587,1)=C395,"","Not in IOE")</f>
        <v/>
      </c>
      <c r="E395" t="s">
        <v>1</v>
      </c>
      <c r="F395" t="s">
        <v>1</v>
      </c>
      <c r="G395" t="s">
        <v>275</v>
      </c>
      <c r="H395" t="s">
        <v>1</v>
      </c>
      <c r="I395" t="s">
        <v>1</v>
      </c>
      <c r="J395" t="s">
        <v>1</v>
      </c>
      <c r="K395" t="s">
        <v>1</v>
      </c>
      <c r="L395" t="s">
        <v>275</v>
      </c>
      <c r="M395" t="s">
        <v>275</v>
      </c>
      <c r="N395" t="s">
        <v>275</v>
      </c>
      <c r="O395" t="s">
        <v>275</v>
      </c>
      <c r="P395" t="s">
        <v>275</v>
      </c>
      <c r="Q395" t="s">
        <v>275</v>
      </c>
      <c r="R395" t="s">
        <v>275</v>
      </c>
      <c r="S395" t="s">
        <v>275</v>
      </c>
      <c r="T395" t="s">
        <v>1</v>
      </c>
      <c r="U395" t="s">
        <v>275</v>
      </c>
      <c r="V395" t="s">
        <v>275</v>
      </c>
    </row>
    <row r="396" spans="1:22">
      <c r="A396">
        <v>394</v>
      </c>
      <c r="B396" t="s">
        <v>1206</v>
      </c>
      <c r="C396" t="s">
        <v>1207</v>
      </c>
      <c r="D396" t="str">
        <f>IF(VLOOKUP(C396,'Capabilities Overview'!$A$2:$A$587,1)=C396,"","Not in IOE")</f>
        <v/>
      </c>
      <c r="E396" t="s">
        <v>1</v>
      </c>
      <c r="F396" t="s">
        <v>1</v>
      </c>
      <c r="G396" t="s">
        <v>275</v>
      </c>
      <c r="H396" t="s">
        <v>1</v>
      </c>
      <c r="I396" t="s">
        <v>1</v>
      </c>
      <c r="J396" t="s">
        <v>1</v>
      </c>
      <c r="K396" t="s">
        <v>1</v>
      </c>
      <c r="L396" t="s">
        <v>1</v>
      </c>
      <c r="M396" t="s">
        <v>1</v>
      </c>
      <c r="N396" t="s">
        <v>1</v>
      </c>
      <c r="O396" t="s">
        <v>275</v>
      </c>
      <c r="P396" t="s">
        <v>275</v>
      </c>
      <c r="Q396" t="s">
        <v>275</v>
      </c>
      <c r="R396" t="s">
        <v>275</v>
      </c>
      <c r="S396" t="s">
        <v>275</v>
      </c>
      <c r="T396" t="s">
        <v>1</v>
      </c>
      <c r="U396" t="s">
        <v>275</v>
      </c>
      <c r="V396" t="s">
        <v>275</v>
      </c>
    </row>
    <row r="397" spans="1:22">
      <c r="A397">
        <v>395</v>
      </c>
      <c r="B397" t="s">
        <v>1208</v>
      </c>
      <c r="C397" t="s">
        <v>1209</v>
      </c>
      <c r="D397" t="str">
        <f>IF(VLOOKUP(C397,'Capabilities Overview'!$A$2:$A$587,1)=C397,"","Not in IOE")</f>
        <v/>
      </c>
      <c r="E397" t="s">
        <v>1</v>
      </c>
      <c r="F397" t="s">
        <v>1</v>
      </c>
      <c r="G397" t="s">
        <v>275</v>
      </c>
      <c r="H397" t="s">
        <v>1</v>
      </c>
      <c r="I397" t="s">
        <v>1</v>
      </c>
      <c r="J397" t="s">
        <v>1</v>
      </c>
      <c r="K397" t="s">
        <v>1</v>
      </c>
      <c r="L397" t="s">
        <v>275</v>
      </c>
      <c r="M397" t="s">
        <v>275</v>
      </c>
      <c r="N397" t="s">
        <v>275</v>
      </c>
      <c r="O397" t="s">
        <v>275</v>
      </c>
      <c r="P397" t="s">
        <v>275</v>
      </c>
      <c r="Q397" t="s">
        <v>275</v>
      </c>
      <c r="R397" t="s">
        <v>275</v>
      </c>
      <c r="S397" t="s">
        <v>275</v>
      </c>
      <c r="T397" t="s">
        <v>1</v>
      </c>
      <c r="U397" t="s">
        <v>275</v>
      </c>
      <c r="V397" t="s">
        <v>275</v>
      </c>
    </row>
    <row r="398" spans="1:22">
      <c r="A398">
        <v>396</v>
      </c>
      <c r="B398" t="s">
        <v>404</v>
      </c>
      <c r="C398" t="s">
        <v>1210</v>
      </c>
      <c r="D398" t="str">
        <f>IF(VLOOKUP(C398,'Capabilities Overview'!$A$2:$A$587,1)=C398,"","Not in IOE")</f>
        <v/>
      </c>
      <c r="E398" t="s">
        <v>1</v>
      </c>
      <c r="F398" t="s">
        <v>1</v>
      </c>
      <c r="G398" t="s">
        <v>275</v>
      </c>
      <c r="H398" t="s">
        <v>1</v>
      </c>
      <c r="I398" t="s">
        <v>1</v>
      </c>
      <c r="J398" t="s">
        <v>1</v>
      </c>
      <c r="K398" t="s">
        <v>1</v>
      </c>
      <c r="L398" t="s">
        <v>275</v>
      </c>
      <c r="M398" t="s">
        <v>275</v>
      </c>
      <c r="N398" t="s">
        <v>275</v>
      </c>
      <c r="O398" t="s">
        <v>275</v>
      </c>
      <c r="P398" t="s">
        <v>275</v>
      </c>
      <c r="Q398" t="s">
        <v>275</v>
      </c>
      <c r="R398" t="s">
        <v>275</v>
      </c>
      <c r="S398" t="s">
        <v>275</v>
      </c>
      <c r="T398" t="s">
        <v>1</v>
      </c>
      <c r="U398" t="s">
        <v>275</v>
      </c>
      <c r="V398" t="s">
        <v>275</v>
      </c>
    </row>
    <row r="399" spans="1:22">
      <c r="A399">
        <v>397</v>
      </c>
      <c r="B399" t="s">
        <v>1030</v>
      </c>
      <c r="C399" t="s">
        <v>1211</v>
      </c>
      <c r="D399" t="str">
        <f>IF(VLOOKUP(C399,'Capabilities Overview'!$A$2:$A$587,1)=C399,"","Not in IOE")</f>
        <v/>
      </c>
      <c r="E399" t="s">
        <v>1</v>
      </c>
      <c r="F399" t="s">
        <v>1</v>
      </c>
      <c r="G399" t="s">
        <v>275</v>
      </c>
      <c r="H399" t="s">
        <v>1</v>
      </c>
      <c r="I399" t="s">
        <v>1</v>
      </c>
      <c r="J399" t="s">
        <v>1</v>
      </c>
      <c r="K399" t="s">
        <v>1</v>
      </c>
      <c r="L399" t="s">
        <v>275</v>
      </c>
      <c r="M399" t="s">
        <v>275</v>
      </c>
      <c r="N399" t="s">
        <v>275</v>
      </c>
      <c r="O399" t="s">
        <v>275</v>
      </c>
      <c r="P399" t="s">
        <v>275</v>
      </c>
      <c r="Q399" t="s">
        <v>275</v>
      </c>
      <c r="R399" t="s">
        <v>275</v>
      </c>
      <c r="S399" t="s">
        <v>275</v>
      </c>
      <c r="T399" t="s">
        <v>1</v>
      </c>
      <c r="U399" t="s">
        <v>275</v>
      </c>
      <c r="V399" t="s">
        <v>275</v>
      </c>
    </row>
    <row r="400" spans="1:22">
      <c r="A400">
        <v>398</v>
      </c>
      <c r="B400" t="s">
        <v>1032</v>
      </c>
      <c r="C400" t="s">
        <v>1212</v>
      </c>
      <c r="D400" t="str">
        <f>IF(VLOOKUP(C400,'Capabilities Overview'!$A$2:$A$587,1)=C400,"","Not in IOE")</f>
        <v/>
      </c>
      <c r="E400" t="s">
        <v>1</v>
      </c>
      <c r="F400" t="s">
        <v>1</v>
      </c>
      <c r="G400" t="s">
        <v>275</v>
      </c>
      <c r="H400" t="s">
        <v>1</v>
      </c>
      <c r="I400" t="s">
        <v>1</v>
      </c>
      <c r="J400" t="s">
        <v>1</v>
      </c>
      <c r="K400" t="s">
        <v>1</v>
      </c>
      <c r="L400" t="s">
        <v>275</v>
      </c>
      <c r="M400" t="s">
        <v>275</v>
      </c>
      <c r="N400" t="s">
        <v>275</v>
      </c>
      <c r="O400" t="s">
        <v>275</v>
      </c>
      <c r="P400" t="s">
        <v>275</v>
      </c>
      <c r="Q400" t="s">
        <v>275</v>
      </c>
      <c r="R400" t="s">
        <v>275</v>
      </c>
      <c r="S400" t="s">
        <v>275</v>
      </c>
      <c r="T400" t="s">
        <v>1</v>
      </c>
      <c r="U400" t="s">
        <v>275</v>
      </c>
      <c r="V400" t="s">
        <v>275</v>
      </c>
    </row>
    <row r="401" spans="1:22">
      <c r="A401">
        <v>399</v>
      </c>
      <c r="B401" t="s">
        <v>1038</v>
      </c>
      <c r="C401" t="s">
        <v>1213</v>
      </c>
      <c r="D401" t="str">
        <f>IF(VLOOKUP(C401,'Capabilities Overview'!$A$2:$A$587,1)=C401,"","Not in IOE")</f>
        <v/>
      </c>
      <c r="E401" t="s">
        <v>1</v>
      </c>
      <c r="F401" t="s">
        <v>1</v>
      </c>
      <c r="G401" t="s">
        <v>275</v>
      </c>
      <c r="H401" t="s">
        <v>1</v>
      </c>
      <c r="I401" t="s">
        <v>1</v>
      </c>
      <c r="J401" t="s">
        <v>1</v>
      </c>
      <c r="K401" t="s">
        <v>1</v>
      </c>
      <c r="L401" t="s">
        <v>275</v>
      </c>
      <c r="M401" t="s">
        <v>275</v>
      </c>
      <c r="N401" t="s">
        <v>275</v>
      </c>
      <c r="O401" t="s">
        <v>275</v>
      </c>
      <c r="P401" t="s">
        <v>275</v>
      </c>
      <c r="Q401" t="s">
        <v>275</v>
      </c>
      <c r="R401" t="s">
        <v>275</v>
      </c>
      <c r="S401" t="s">
        <v>275</v>
      </c>
      <c r="T401" t="s">
        <v>1</v>
      </c>
      <c r="U401" t="s">
        <v>275</v>
      </c>
      <c r="V401" t="s">
        <v>275</v>
      </c>
    </row>
    <row r="402" spans="1:22">
      <c r="A402">
        <v>400</v>
      </c>
      <c r="B402" t="s">
        <v>1214</v>
      </c>
      <c r="C402" t="s">
        <v>1215</v>
      </c>
      <c r="D402" t="str">
        <f>IF(VLOOKUP(C402,'Capabilities Overview'!$A$2:$A$587,1)=C402,"","Not in IOE")</f>
        <v/>
      </c>
      <c r="E402" t="s">
        <v>275</v>
      </c>
      <c r="F402" t="s">
        <v>1</v>
      </c>
      <c r="G402" t="s">
        <v>275</v>
      </c>
      <c r="H402" t="s">
        <v>1</v>
      </c>
      <c r="I402" t="s">
        <v>1</v>
      </c>
      <c r="J402" t="s">
        <v>1</v>
      </c>
      <c r="K402" t="s">
        <v>1</v>
      </c>
      <c r="L402" t="s">
        <v>1</v>
      </c>
      <c r="M402" t="s">
        <v>1</v>
      </c>
      <c r="N402" t="s">
        <v>1</v>
      </c>
      <c r="O402" t="s">
        <v>1</v>
      </c>
      <c r="P402" t="s">
        <v>275</v>
      </c>
      <c r="Q402" t="s">
        <v>275</v>
      </c>
      <c r="R402" t="s">
        <v>275</v>
      </c>
      <c r="S402" t="s">
        <v>275</v>
      </c>
      <c r="T402" t="s">
        <v>1</v>
      </c>
      <c r="U402" t="s">
        <v>275</v>
      </c>
      <c r="V402" t="s">
        <v>275</v>
      </c>
    </row>
    <row r="403" spans="1:22">
      <c r="A403">
        <v>401</v>
      </c>
      <c r="B403" t="s">
        <v>144</v>
      </c>
      <c r="C403" t="s">
        <v>1216</v>
      </c>
      <c r="D403" t="str">
        <f>IF(VLOOKUP(C403,'Capabilities Overview'!$A$2:$A$587,1)=C403,"","Not in IOE")</f>
        <v/>
      </c>
      <c r="E403" t="s">
        <v>1</v>
      </c>
      <c r="F403" t="s">
        <v>1</v>
      </c>
      <c r="G403" t="s">
        <v>275</v>
      </c>
      <c r="H403" t="s">
        <v>1</v>
      </c>
      <c r="I403" t="s">
        <v>1</v>
      </c>
      <c r="J403" t="s">
        <v>1</v>
      </c>
      <c r="K403" t="s">
        <v>1</v>
      </c>
      <c r="L403" t="s">
        <v>275</v>
      </c>
      <c r="M403" t="s">
        <v>275</v>
      </c>
      <c r="N403" t="s">
        <v>275</v>
      </c>
      <c r="O403" t="s">
        <v>275</v>
      </c>
      <c r="P403" t="s">
        <v>275</v>
      </c>
      <c r="Q403" t="s">
        <v>275</v>
      </c>
      <c r="R403" t="s">
        <v>275</v>
      </c>
      <c r="S403" t="s">
        <v>275</v>
      </c>
      <c r="T403" t="s">
        <v>1</v>
      </c>
      <c r="U403" t="s">
        <v>275</v>
      </c>
      <c r="V403" t="s">
        <v>275</v>
      </c>
    </row>
    <row r="404" spans="1:22">
      <c r="A404">
        <v>402</v>
      </c>
      <c r="B404" t="s">
        <v>146</v>
      </c>
      <c r="C404" t="s">
        <v>1217</v>
      </c>
      <c r="D404" t="str">
        <f>IF(VLOOKUP(C404,'Capabilities Overview'!$A$2:$A$587,1)=C404,"","Not in IOE")</f>
        <v/>
      </c>
      <c r="E404" t="s">
        <v>1</v>
      </c>
      <c r="F404" t="s">
        <v>1</v>
      </c>
      <c r="G404" t="s">
        <v>275</v>
      </c>
      <c r="H404" t="s">
        <v>1</v>
      </c>
      <c r="I404" t="s">
        <v>1</v>
      </c>
      <c r="J404" t="s">
        <v>1</v>
      </c>
      <c r="K404" t="s">
        <v>1</v>
      </c>
      <c r="L404" t="s">
        <v>275</v>
      </c>
      <c r="M404" t="s">
        <v>275</v>
      </c>
      <c r="N404" t="s">
        <v>275</v>
      </c>
      <c r="O404" t="s">
        <v>275</v>
      </c>
      <c r="P404" t="s">
        <v>275</v>
      </c>
      <c r="Q404" t="s">
        <v>275</v>
      </c>
      <c r="R404" t="s">
        <v>275</v>
      </c>
      <c r="S404" t="s">
        <v>275</v>
      </c>
      <c r="T404" t="s">
        <v>1</v>
      </c>
      <c r="U404" t="s">
        <v>275</v>
      </c>
      <c r="V404" t="s">
        <v>275</v>
      </c>
    </row>
    <row r="405" spans="1:22">
      <c r="A405">
        <v>403</v>
      </c>
      <c r="B405" t="s">
        <v>142</v>
      </c>
      <c r="C405" t="s">
        <v>1218</v>
      </c>
      <c r="D405" t="str">
        <f>IF(VLOOKUP(C405,'Capabilities Overview'!$A$2:$A$587,1)=C405,"","Not in IOE")</f>
        <v/>
      </c>
      <c r="E405" t="s">
        <v>1</v>
      </c>
      <c r="F405" t="s">
        <v>1</v>
      </c>
      <c r="G405" t="s">
        <v>275</v>
      </c>
      <c r="H405" t="s">
        <v>1</v>
      </c>
      <c r="I405" t="s">
        <v>1</v>
      </c>
      <c r="J405" t="s">
        <v>1</v>
      </c>
      <c r="K405" t="s">
        <v>1</v>
      </c>
      <c r="L405" t="s">
        <v>275</v>
      </c>
      <c r="M405" t="s">
        <v>275</v>
      </c>
      <c r="N405" t="s">
        <v>275</v>
      </c>
      <c r="O405" t="s">
        <v>275</v>
      </c>
      <c r="P405" t="s">
        <v>275</v>
      </c>
      <c r="Q405" t="s">
        <v>275</v>
      </c>
      <c r="R405" t="s">
        <v>275</v>
      </c>
      <c r="S405" t="s">
        <v>275</v>
      </c>
      <c r="T405" t="s">
        <v>1</v>
      </c>
      <c r="U405" t="s">
        <v>275</v>
      </c>
      <c r="V405" t="s">
        <v>275</v>
      </c>
    </row>
    <row r="406" spans="1:22">
      <c r="A406">
        <v>404</v>
      </c>
      <c r="B406" t="s">
        <v>1219</v>
      </c>
      <c r="C406" t="s">
        <v>1220</v>
      </c>
      <c r="D406" t="str">
        <f>IF(VLOOKUP(C406,'Capabilities Overview'!$A$2:$A$587,1)=C406,"","Not in IOE")</f>
        <v/>
      </c>
      <c r="E406" t="s">
        <v>1</v>
      </c>
      <c r="F406" t="s">
        <v>1</v>
      </c>
      <c r="G406" t="s">
        <v>275</v>
      </c>
      <c r="H406" t="s">
        <v>1</v>
      </c>
      <c r="I406" t="s">
        <v>1</v>
      </c>
      <c r="J406" t="s">
        <v>1</v>
      </c>
      <c r="K406" t="s">
        <v>1</v>
      </c>
      <c r="L406" t="s">
        <v>1</v>
      </c>
      <c r="M406" t="s">
        <v>1</v>
      </c>
      <c r="N406" t="s">
        <v>275</v>
      </c>
      <c r="O406" t="s">
        <v>275</v>
      </c>
      <c r="P406" t="s">
        <v>275</v>
      </c>
      <c r="Q406" t="s">
        <v>275</v>
      </c>
      <c r="R406" t="s">
        <v>275</v>
      </c>
      <c r="S406" t="s">
        <v>275</v>
      </c>
      <c r="T406" t="s">
        <v>1</v>
      </c>
      <c r="U406" t="s">
        <v>275</v>
      </c>
      <c r="V406" t="s">
        <v>275</v>
      </c>
    </row>
    <row r="407" spans="1:22">
      <c r="A407">
        <v>405</v>
      </c>
      <c r="B407" t="s">
        <v>1221</v>
      </c>
      <c r="C407" t="s">
        <v>1222</v>
      </c>
      <c r="D407" t="str">
        <f>IF(VLOOKUP(C407,'Capabilities Overview'!$A$2:$A$587,1)=C407,"","Not in IOE")</f>
        <v/>
      </c>
      <c r="E407" t="s">
        <v>1</v>
      </c>
      <c r="F407" t="s">
        <v>1</v>
      </c>
      <c r="G407" t="s">
        <v>275</v>
      </c>
      <c r="H407" t="s">
        <v>1</v>
      </c>
      <c r="I407" t="s">
        <v>1</v>
      </c>
      <c r="J407" t="s">
        <v>1</v>
      </c>
      <c r="K407" t="s">
        <v>1</v>
      </c>
      <c r="L407" t="s">
        <v>1</v>
      </c>
      <c r="M407" t="s">
        <v>1</v>
      </c>
      <c r="N407" t="s">
        <v>275</v>
      </c>
      <c r="O407" t="s">
        <v>275</v>
      </c>
      <c r="P407" t="s">
        <v>275</v>
      </c>
      <c r="Q407" t="s">
        <v>275</v>
      </c>
      <c r="R407" t="s">
        <v>275</v>
      </c>
      <c r="S407" t="s">
        <v>275</v>
      </c>
      <c r="T407" t="s">
        <v>1</v>
      </c>
      <c r="U407" t="s">
        <v>275</v>
      </c>
      <c r="V407" t="s">
        <v>275</v>
      </c>
    </row>
    <row r="408" spans="1:22">
      <c r="A408">
        <v>406</v>
      </c>
      <c r="B408" t="s">
        <v>1223</v>
      </c>
      <c r="C408" t="s">
        <v>1224</v>
      </c>
      <c r="D408" t="str">
        <f>IF(VLOOKUP(C408,'Capabilities Overview'!$A$2:$A$587,1)=C408,"","Not in IOE")</f>
        <v/>
      </c>
      <c r="E408" t="s">
        <v>1</v>
      </c>
      <c r="F408" t="s">
        <v>1</v>
      </c>
      <c r="G408" t="s">
        <v>275</v>
      </c>
      <c r="H408" t="s">
        <v>1</v>
      </c>
      <c r="I408" t="s">
        <v>1</v>
      </c>
      <c r="J408" t="s">
        <v>1</v>
      </c>
      <c r="K408" t="s">
        <v>1</v>
      </c>
      <c r="L408" t="s">
        <v>275</v>
      </c>
      <c r="M408" t="s">
        <v>275</v>
      </c>
      <c r="N408" t="s">
        <v>275</v>
      </c>
      <c r="O408" t="s">
        <v>275</v>
      </c>
      <c r="P408" t="s">
        <v>275</v>
      </c>
      <c r="Q408" t="s">
        <v>275</v>
      </c>
      <c r="R408" t="s">
        <v>275</v>
      </c>
      <c r="S408" t="s">
        <v>275</v>
      </c>
      <c r="T408" t="s">
        <v>1</v>
      </c>
      <c r="U408" t="s">
        <v>275</v>
      </c>
      <c r="V408" t="s">
        <v>275</v>
      </c>
    </row>
    <row r="409" spans="1:22">
      <c r="A409">
        <v>407</v>
      </c>
      <c r="B409" t="s">
        <v>1225</v>
      </c>
      <c r="C409" t="s">
        <v>1226</v>
      </c>
      <c r="D409" t="str">
        <f>IF(VLOOKUP(C409,'Capabilities Overview'!$A$2:$A$587,1)=C409,"","Not in IOE")</f>
        <v/>
      </c>
      <c r="E409" t="s">
        <v>1</v>
      </c>
      <c r="F409" t="s">
        <v>1</v>
      </c>
      <c r="G409" t="s">
        <v>275</v>
      </c>
      <c r="H409" t="s">
        <v>1</v>
      </c>
      <c r="I409" t="s">
        <v>1</v>
      </c>
      <c r="J409" t="s">
        <v>1</v>
      </c>
      <c r="K409" t="s">
        <v>1</v>
      </c>
      <c r="L409" t="s">
        <v>275</v>
      </c>
      <c r="M409" t="s">
        <v>275</v>
      </c>
      <c r="N409" t="s">
        <v>275</v>
      </c>
      <c r="O409" t="s">
        <v>275</v>
      </c>
      <c r="P409" t="s">
        <v>275</v>
      </c>
      <c r="Q409" t="s">
        <v>275</v>
      </c>
      <c r="R409" t="s">
        <v>275</v>
      </c>
      <c r="S409" t="s">
        <v>275</v>
      </c>
      <c r="T409" t="s">
        <v>1</v>
      </c>
      <c r="U409" t="s">
        <v>275</v>
      </c>
      <c r="V409" t="s">
        <v>275</v>
      </c>
    </row>
    <row r="410" spans="1:22">
      <c r="A410">
        <v>408</v>
      </c>
      <c r="B410" t="s">
        <v>1227</v>
      </c>
      <c r="C410" t="s">
        <v>1228</v>
      </c>
      <c r="D410" t="str">
        <f>IF(VLOOKUP(C410,'Capabilities Overview'!$A$2:$A$587,1)=C410,"","Not in IOE")</f>
        <v/>
      </c>
      <c r="E410" t="s">
        <v>1</v>
      </c>
      <c r="F410" t="s">
        <v>1</v>
      </c>
      <c r="G410" t="s">
        <v>275</v>
      </c>
      <c r="H410" t="s">
        <v>275</v>
      </c>
      <c r="I410" t="s">
        <v>1</v>
      </c>
      <c r="J410" t="s">
        <v>1</v>
      </c>
      <c r="K410" t="s">
        <v>275</v>
      </c>
      <c r="L410" t="s">
        <v>275</v>
      </c>
      <c r="M410" t="s">
        <v>275</v>
      </c>
      <c r="N410" t="s">
        <v>275</v>
      </c>
      <c r="O410" t="s">
        <v>275</v>
      </c>
      <c r="P410" t="s">
        <v>275</v>
      </c>
      <c r="Q410" t="s">
        <v>275</v>
      </c>
      <c r="R410" t="s">
        <v>275</v>
      </c>
      <c r="S410" t="s">
        <v>275</v>
      </c>
      <c r="T410" t="s">
        <v>275</v>
      </c>
      <c r="U410" t="s">
        <v>275</v>
      </c>
      <c r="V410" t="s">
        <v>275</v>
      </c>
    </row>
    <row r="411" spans="1:22">
      <c r="A411">
        <v>409</v>
      </c>
      <c r="B411" t="s">
        <v>1229</v>
      </c>
      <c r="C411" t="s">
        <v>1230</v>
      </c>
      <c r="D411" t="str">
        <f>IF(VLOOKUP(C411,'Capabilities Overview'!$A$2:$A$587,1)=C411,"","Not in IOE")</f>
        <v/>
      </c>
      <c r="E411" t="s">
        <v>1</v>
      </c>
      <c r="F411" t="s">
        <v>1</v>
      </c>
      <c r="G411" t="s">
        <v>275</v>
      </c>
      <c r="H411" t="s">
        <v>1</v>
      </c>
      <c r="I411" t="s">
        <v>1</v>
      </c>
      <c r="J411" t="s">
        <v>1</v>
      </c>
      <c r="K411" t="s">
        <v>1</v>
      </c>
      <c r="L411" t="s">
        <v>275</v>
      </c>
      <c r="M411" t="s">
        <v>275</v>
      </c>
      <c r="N411" t="s">
        <v>275</v>
      </c>
      <c r="O411" t="s">
        <v>275</v>
      </c>
      <c r="P411" t="s">
        <v>275</v>
      </c>
      <c r="Q411" t="s">
        <v>275</v>
      </c>
      <c r="R411" t="s">
        <v>275</v>
      </c>
      <c r="S411" t="s">
        <v>275</v>
      </c>
      <c r="T411" t="s">
        <v>1</v>
      </c>
      <c r="U411" t="s">
        <v>275</v>
      </c>
      <c r="V411" t="s">
        <v>275</v>
      </c>
    </row>
    <row r="412" spans="1:22">
      <c r="A412">
        <v>410</v>
      </c>
      <c r="B412" t="s">
        <v>1231</v>
      </c>
      <c r="C412" t="s">
        <v>1232</v>
      </c>
      <c r="D412" t="str">
        <f>IF(VLOOKUP(C412,'Capabilities Overview'!$A$2:$A$587,1)=C412,"","Not in IOE")</f>
        <v/>
      </c>
      <c r="E412" t="s">
        <v>1</v>
      </c>
      <c r="F412" t="s">
        <v>1</v>
      </c>
      <c r="G412" t="s">
        <v>275</v>
      </c>
      <c r="H412" t="s">
        <v>1</v>
      </c>
      <c r="I412" t="s">
        <v>1</v>
      </c>
      <c r="J412" t="s">
        <v>1</v>
      </c>
      <c r="K412" t="s">
        <v>1</v>
      </c>
      <c r="L412" t="s">
        <v>275</v>
      </c>
      <c r="M412" t="s">
        <v>275</v>
      </c>
      <c r="N412" t="s">
        <v>275</v>
      </c>
      <c r="O412" t="s">
        <v>275</v>
      </c>
      <c r="P412" t="s">
        <v>275</v>
      </c>
      <c r="Q412" t="s">
        <v>275</v>
      </c>
      <c r="R412" t="s">
        <v>275</v>
      </c>
      <c r="S412" t="s">
        <v>275</v>
      </c>
      <c r="T412" t="s">
        <v>1</v>
      </c>
      <c r="U412" t="s">
        <v>275</v>
      </c>
      <c r="V412" t="s">
        <v>275</v>
      </c>
    </row>
    <row r="413" spans="1:22">
      <c r="A413">
        <v>411</v>
      </c>
      <c r="B413" t="s">
        <v>1233</v>
      </c>
      <c r="C413" t="s">
        <v>1234</v>
      </c>
      <c r="D413" t="str">
        <f>IF(VLOOKUP(C413,'Capabilities Overview'!$A$2:$A$587,1)=C413,"","Not in IOE")</f>
        <v/>
      </c>
      <c r="E413" t="s">
        <v>1</v>
      </c>
      <c r="F413" t="s">
        <v>1</v>
      </c>
      <c r="G413" t="s">
        <v>275</v>
      </c>
      <c r="H413" t="s">
        <v>1</v>
      </c>
      <c r="I413" t="s">
        <v>1</v>
      </c>
      <c r="J413" t="s">
        <v>1</v>
      </c>
      <c r="K413" t="s">
        <v>1</v>
      </c>
      <c r="L413" t="s">
        <v>1</v>
      </c>
      <c r="M413" t="s">
        <v>1</v>
      </c>
      <c r="N413" t="s">
        <v>1</v>
      </c>
      <c r="O413" t="s">
        <v>275</v>
      </c>
      <c r="P413" t="s">
        <v>275</v>
      </c>
      <c r="Q413" t="s">
        <v>275</v>
      </c>
      <c r="R413" t="s">
        <v>275</v>
      </c>
      <c r="S413" t="s">
        <v>275</v>
      </c>
      <c r="T413" t="s">
        <v>1</v>
      </c>
      <c r="U413" t="s">
        <v>275</v>
      </c>
      <c r="V413" t="s">
        <v>275</v>
      </c>
    </row>
    <row r="414" spans="1:22">
      <c r="A414">
        <v>412</v>
      </c>
      <c r="B414" t="s">
        <v>1235</v>
      </c>
      <c r="C414" t="s">
        <v>1236</v>
      </c>
      <c r="D414" t="str">
        <f>IF(VLOOKUP(C414,'Capabilities Overview'!$A$2:$A$587,1)=C414,"","Not in IOE")</f>
        <v/>
      </c>
      <c r="E414" t="s">
        <v>1</v>
      </c>
      <c r="F414" t="s">
        <v>1</v>
      </c>
      <c r="G414" t="s">
        <v>275</v>
      </c>
      <c r="H414" t="s">
        <v>1</v>
      </c>
      <c r="I414" t="s">
        <v>1</v>
      </c>
      <c r="J414" t="s">
        <v>1</v>
      </c>
      <c r="K414" t="s">
        <v>1</v>
      </c>
      <c r="L414" t="s">
        <v>1</v>
      </c>
      <c r="M414" t="s">
        <v>1</v>
      </c>
      <c r="N414" t="s">
        <v>1</v>
      </c>
      <c r="O414" t="s">
        <v>1</v>
      </c>
      <c r="P414" t="s">
        <v>275</v>
      </c>
      <c r="Q414" t="s">
        <v>275</v>
      </c>
      <c r="R414" t="s">
        <v>275</v>
      </c>
      <c r="S414" t="s">
        <v>275</v>
      </c>
      <c r="T414" t="s">
        <v>1</v>
      </c>
      <c r="U414" t="s">
        <v>275</v>
      </c>
      <c r="V414" t="s">
        <v>275</v>
      </c>
    </row>
    <row r="415" spans="1:22">
      <c r="A415">
        <v>413</v>
      </c>
      <c r="B415" t="s">
        <v>1749</v>
      </c>
      <c r="C415" t="s">
        <v>1750</v>
      </c>
      <c r="D415" t="str">
        <f>IF(VLOOKUP(C415,'Capabilities Overview'!$A$2:$A$587,1)=C415,"","Not in IOE")</f>
        <v>Not in IOE</v>
      </c>
      <c r="E415" t="s">
        <v>1</v>
      </c>
      <c r="F415" t="s">
        <v>275</v>
      </c>
      <c r="G415" t="s">
        <v>275</v>
      </c>
      <c r="H415" t="s">
        <v>1</v>
      </c>
      <c r="I415" t="s">
        <v>1</v>
      </c>
      <c r="J415" t="s">
        <v>1</v>
      </c>
      <c r="K415" t="s">
        <v>1</v>
      </c>
      <c r="L415" t="s">
        <v>1</v>
      </c>
      <c r="M415" t="s">
        <v>1</v>
      </c>
      <c r="N415" t="s">
        <v>1</v>
      </c>
      <c r="O415" t="s">
        <v>275</v>
      </c>
      <c r="P415" t="s">
        <v>275</v>
      </c>
      <c r="Q415" t="s">
        <v>275</v>
      </c>
      <c r="R415" t="s">
        <v>275</v>
      </c>
      <c r="S415" t="s">
        <v>275</v>
      </c>
      <c r="T415" t="s">
        <v>1</v>
      </c>
      <c r="U415" t="s">
        <v>275</v>
      </c>
      <c r="V415" t="s">
        <v>275</v>
      </c>
    </row>
    <row r="416" spans="1:22">
      <c r="A416">
        <v>414</v>
      </c>
      <c r="B416" t="s">
        <v>1751</v>
      </c>
      <c r="C416" t="s">
        <v>1752</v>
      </c>
      <c r="D416" t="str">
        <f>IF(VLOOKUP(C416,'Capabilities Overview'!$A$2:$A$587,1)=C416,"","Not in IOE")</f>
        <v>Not in IOE</v>
      </c>
      <c r="E416" t="s">
        <v>1</v>
      </c>
      <c r="F416" t="s">
        <v>275</v>
      </c>
      <c r="G416" t="s">
        <v>275</v>
      </c>
      <c r="H416" t="s">
        <v>275</v>
      </c>
      <c r="I416" t="s">
        <v>1</v>
      </c>
      <c r="J416" t="s">
        <v>1</v>
      </c>
      <c r="K416" t="s">
        <v>275</v>
      </c>
      <c r="L416" t="s">
        <v>275</v>
      </c>
      <c r="M416" t="s">
        <v>275</v>
      </c>
      <c r="N416" t="s">
        <v>275</v>
      </c>
      <c r="O416" t="s">
        <v>275</v>
      </c>
      <c r="P416" t="s">
        <v>275</v>
      </c>
      <c r="Q416" t="s">
        <v>275</v>
      </c>
      <c r="R416" t="s">
        <v>275</v>
      </c>
      <c r="S416" t="s">
        <v>275</v>
      </c>
      <c r="T416" t="s">
        <v>275</v>
      </c>
      <c r="U416" t="s">
        <v>275</v>
      </c>
      <c r="V416" t="s">
        <v>275</v>
      </c>
    </row>
    <row r="417" spans="1:22">
      <c r="A417">
        <v>415</v>
      </c>
      <c r="B417" t="s">
        <v>1753</v>
      </c>
      <c r="C417" t="s">
        <v>1754</v>
      </c>
      <c r="D417" t="str">
        <f>IF(VLOOKUP(C417,'Capabilities Overview'!$A$2:$A$587,1)=C417,"","Not in IOE")</f>
        <v>Not in IOE</v>
      </c>
      <c r="E417" t="s">
        <v>1</v>
      </c>
      <c r="F417" t="s">
        <v>1</v>
      </c>
      <c r="G417" t="s">
        <v>275</v>
      </c>
      <c r="H417" t="s">
        <v>1</v>
      </c>
      <c r="I417" t="s">
        <v>1</v>
      </c>
      <c r="J417" t="s">
        <v>1</v>
      </c>
      <c r="K417" t="s">
        <v>1</v>
      </c>
      <c r="L417" t="s">
        <v>1</v>
      </c>
      <c r="M417" t="s">
        <v>1</v>
      </c>
      <c r="N417" t="s">
        <v>1</v>
      </c>
      <c r="O417" t="s">
        <v>1</v>
      </c>
      <c r="P417" t="s">
        <v>275</v>
      </c>
      <c r="Q417" t="s">
        <v>275</v>
      </c>
      <c r="R417" t="s">
        <v>275</v>
      </c>
      <c r="S417" t="s">
        <v>275</v>
      </c>
      <c r="T417" t="s">
        <v>1</v>
      </c>
      <c r="U417" t="s">
        <v>275</v>
      </c>
      <c r="V417" t="s">
        <v>275</v>
      </c>
    </row>
    <row r="418" spans="1:22">
      <c r="A418">
        <v>416</v>
      </c>
      <c r="B418" t="s">
        <v>1755</v>
      </c>
      <c r="C418" t="s">
        <v>1756</v>
      </c>
      <c r="D418" t="str">
        <f>IF(VLOOKUP(C418,'Capabilities Overview'!$A$2:$A$587,1)=C418,"","Not in IOE")</f>
        <v>Not in IOE</v>
      </c>
      <c r="E418" t="s">
        <v>1</v>
      </c>
      <c r="F418" t="s">
        <v>275</v>
      </c>
      <c r="G418" t="s">
        <v>275</v>
      </c>
      <c r="H418" t="s">
        <v>1</v>
      </c>
      <c r="I418" t="s">
        <v>275</v>
      </c>
      <c r="J418" t="s">
        <v>275</v>
      </c>
      <c r="K418" t="s">
        <v>1</v>
      </c>
      <c r="L418" t="s">
        <v>1</v>
      </c>
      <c r="M418" t="s">
        <v>1</v>
      </c>
      <c r="N418" t="s">
        <v>1</v>
      </c>
      <c r="O418" t="s">
        <v>275</v>
      </c>
      <c r="P418" t="s">
        <v>275</v>
      </c>
      <c r="Q418" t="s">
        <v>275</v>
      </c>
      <c r="R418" t="s">
        <v>275</v>
      </c>
      <c r="S418" t="s">
        <v>275</v>
      </c>
      <c r="T418" t="s">
        <v>1</v>
      </c>
      <c r="U418" t="s">
        <v>275</v>
      </c>
      <c r="V418" t="s">
        <v>275</v>
      </c>
    </row>
    <row r="419" spans="1:22">
      <c r="A419">
        <v>417</v>
      </c>
      <c r="B419" t="s">
        <v>1112</v>
      </c>
      <c r="C419" t="s">
        <v>1237</v>
      </c>
      <c r="D419" t="str">
        <f>IF(VLOOKUP(C419,'Capabilities Overview'!$A$2:$A$587,1)=C419,"","Not in IOE")</f>
        <v/>
      </c>
      <c r="E419" t="s">
        <v>275</v>
      </c>
      <c r="F419" t="s">
        <v>1</v>
      </c>
      <c r="G419" t="s">
        <v>275</v>
      </c>
      <c r="H419" t="s">
        <v>1</v>
      </c>
      <c r="I419" t="s">
        <v>1</v>
      </c>
      <c r="J419" t="s">
        <v>1</v>
      </c>
      <c r="K419" t="s">
        <v>1</v>
      </c>
      <c r="L419" t="s">
        <v>275</v>
      </c>
      <c r="M419" t="s">
        <v>275</v>
      </c>
      <c r="N419" t="s">
        <v>275</v>
      </c>
      <c r="O419" t="s">
        <v>275</v>
      </c>
      <c r="P419" t="s">
        <v>275</v>
      </c>
      <c r="Q419" t="s">
        <v>275</v>
      </c>
      <c r="R419" t="s">
        <v>275</v>
      </c>
      <c r="S419" t="s">
        <v>275</v>
      </c>
      <c r="T419" t="s">
        <v>1</v>
      </c>
      <c r="U419" t="s">
        <v>275</v>
      </c>
      <c r="V419" t="s">
        <v>275</v>
      </c>
    </row>
    <row r="420" spans="1:22">
      <c r="A420">
        <v>418</v>
      </c>
      <c r="B420" t="s">
        <v>1114</v>
      </c>
      <c r="C420" t="s">
        <v>1238</v>
      </c>
      <c r="D420" t="str">
        <f>IF(VLOOKUP(C420,'Capabilities Overview'!$A$2:$A$587,1)=C420,"","Not in IOE")</f>
        <v/>
      </c>
      <c r="E420" t="s">
        <v>275</v>
      </c>
      <c r="F420" t="s">
        <v>1</v>
      </c>
      <c r="G420" t="s">
        <v>275</v>
      </c>
      <c r="H420" t="s">
        <v>1</v>
      </c>
      <c r="I420" t="s">
        <v>1</v>
      </c>
      <c r="J420" t="s">
        <v>1</v>
      </c>
      <c r="K420" t="s">
        <v>1</v>
      </c>
      <c r="L420" t="s">
        <v>275</v>
      </c>
      <c r="M420" t="s">
        <v>275</v>
      </c>
      <c r="N420" t="s">
        <v>275</v>
      </c>
      <c r="O420" t="s">
        <v>275</v>
      </c>
      <c r="P420" t="s">
        <v>275</v>
      </c>
      <c r="Q420" t="s">
        <v>275</v>
      </c>
      <c r="R420" t="s">
        <v>275</v>
      </c>
      <c r="S420" t="s">
        <v>275</v>
      </c>
      <c r="T420" t="s">
        <v>1</v>
      </c>
      <c r="U420" t="s">
        <v>275</v>
      </c>
      <c r="V420" t="s">
        <v>275</v>
      </c>
    </row>
    <row r="421" spans="1:22">
      <c r="A421">
        <v>419</v>
      </c>
      <c r="B421" t="s">
        <v>1116</v>
      </c>
      <c r="C421" t="s">
        <v>1239</v>
      </c>
      <c r="D421" t="str">
        <f>IF(VLOOKUP(C421,'Capabilities Overview'!$A$2:$A$587,1)=C421,"","Not in IOE")</f>
        <v/>
      </c>
      <c r="E421" t="s">
        <v>275</v>
      </c>
      <c r="F421" t="s">
        <v>275</v>
      </c>
      <c r="G421" t="s">
        <v>275</v>
      </c>
      <c r="H421" t="s">
        <v>1</v>
      </c>
      <c r="I421" t="s">
        <v>1</v>
      </c>
      <c r="J421" t="s">
        <v>1</v>
      </c>
      <c r="K421" t="s">
        <v>1</v>
      </c>
      <c r="L421" t="s">
        <v>1</v>
      </c>
      <c r="M421" t="s">
        <v>1</v>
      </c>
      <c r="N421" t="s">
        <v>1</v>
      </c>
      <c r="O421" t="s">
        <v>275</v>
      </c>
      <c r="P421" t="s">
        <v>275</v>
      </c>
      <c r="Q421" t="s">
        <v>275</v>
      </c>
      <c r="R421" t="s">
        <v>275</v>
      </c>
      <c r="S421" t="s">
        <v>275</v>
      </c>
      <c r="T421" t="s">
        <v>1</v>
      </c>
      <c r="U421" t="s">
        <v>275</v>
      </c>
      <c r="V421" t="s">
        <v>275</v>
      </c>
    </row>
    <row r="422" spans="1:22">
      <c r="A422">
        <v>420</v>
      </c>
      <c r="B422" t="s">
        <v>1240</v>
      </c>
      <c r="C422" t="s">
        <v>1241</v>
      </c>
      <c r="D422" t="str">
        <f>IF(VLOOKUP(C422,'Capabilities Overview'!$A$2:$A$587,1)=C422,"","Not in IOE")</f>
        <v/>
      </c>
      <c r="E422" t="s">
        <v>275</v>
      </c>
      <c r="F422" t="s">
        <v>1</v>
      </c>
      <c r="G422" t="s">
        <v>1</v>
      </c>
      <c r="H422" t="s">
        <v>1</v>
      </c>
      <c r="I422" t="s">
        <v>1</v>
      </c>
      <c r="J422" t="s">
        <v>1</v>
      </c>
      <c r="K422" t="s">
        <v>1</v>
      </c>
      <c r="L422" t="s">
        <v>275</v>
      </c>
      <c r="M422" t="s">
        <v>275</v>
      </c>
      <c r="N422" t="s">
        <v>275</v>
      </c>
      <c r="O422" t="s">
        <v>275</v>
      </c>
      <c r="P422" t="s">
        <v>275</v>
      </c>
      <c r="Q422" t="s">
        <v>275</v>
      </c>
      <c r="R422" t="s">
        <v>1</v>
      </c>
      <c r="S422" t="s">
        <v>275</v>
      </c>
      <c r="T422" t="s">
        <v>1</v>
      </c>
      <c r="U422" t="s">
        <v>275</v>
      </c>
      <c r="V422" t="s">
        <v>275</v>
      </c>
    </row>
    <row r="423" spans="1:22">
      <c r="A423">
        <v>421</v>
      </c>
      <c r="B423" t="s">
        <v>1118</v>
      </c>
      <c r="C423" t="s">
        <v>1242</v>
      </c>
      <c r="D423" t="str">
        <f>IF(VLOOKUP(C423,'Capabilities Overview'!$A$2:$A$587,1)=C423,"","Not in IOE")</f>
        <v/>
      </c>
      <c r="E423" t="s">
        <v>275</v>
      </c>
      <c r="F423" t="s">
        <v>1</v>
      </c>
      <c r="G423" t="s">
        <v>275</v>
      </c>
      <c r="H423" t="s">
        <v>1</v>
      </c>
      <c r="I423" t="s">
        <v>1</v>
      </c>
      <c r="J423" t="s">
        <v>1</v>
      </c>
      <c r="K423" t="s">
        <v>1</v>
      </c>
      <c r="L423" t="s">
        <v>1</v>
      </c>
      <c r="M423" t="s">
        <v>1</v>
      </c>
      <c r="N423" t="s">
        <v>1</v>
      </c>
      <c r="O423" t="s">
        <v>275</v>
      </c>
      <c r="P423" t="s">
        <v>275</v>
      </c>
      <c r="Q423" t="s">
        <v>275</v>
      </c>
      <c r="R423" t="s">
        <v>275</v>
      </c>
      <c r="S423" t="s">
        <v>275</v>
      </c>
      <c r="T423" t="s">
        <v>1</v>
      </c>
      <c r="U423" t="s">
        <v>275</v>
      </c>
      <c r="V423" t="s">
        <v>275</v>
      </c>
    </row>
    <row r="424" spans="1:22">
      <c r="A424">
        <v>422</v>
      </c>
      <c r="B424" t="s">
        <v>1120</v>
      </c>
      <c r="C424" t="s">
        <v>1243</v>
      </c>
      <c r="D424" t="str">
        <f>IF(VLOOKUP(C424,'Capabilities Overview'!$A$2:$A$587,1)=C424,"","Not in IOE")</f>
        <v/>
      </c>
      <c r="E424" t="s">
        <v>275</v>
      </c>
      <c r="F424" t="s">
        <v>1</v>
      </c>
      <c r="G424" t="s">
        <v>275</v>
      </c>
      <c r="H424" t="s">
        <v>1</v>
      </c>
      <c r="I424" t="s">
        <v>1</v>
      </c>
      <c r="J424" t="s">
        <v>1</v>
      </c>
      <c r="K424" t="s">
        <v>1</v>
      </c>
      <c r="L424" t="s">
        <v>275</v>
      </c>
      <c r="M424" t="s">
        <v>275</v>
      </c>
      <c r="N424" t="s">
        <v>275</v>
      </c>
      <c r="O424" t="s">
        <v>275</v>
      </c>
      <c r="P424" t="s">
        <v>275</v>
      </c>
      <c r="Q424" t="s">
        <v>275</v>
      </c>
      <c r="R424" t="s">
        <v>275</v>
      </c>
      <c r="S424" t="s">
        <v>275</v>
      </c>
      <c r="T424" t="s">
        <v>1</v>
      </c>
      <c r="U424" t="s">
        <v>275</v>
      </c>
      <c r="V424" t="s">
        <v>275</v>
      </c>
    </row>
    <row r="425" spans="1:22">
      <c r="A425">
        <v>423</v>
      </c>
      <c r="B425" t="s">
        <v>1122</v>
      </c>
      <c r="C425" t="s">
        <v>1244</v>
      </c>
      <c r="D425" t="str">
        <f>IF(VLOOKUP(C425,'Capabilities Overview'!$A$2:$A$587,1)=C425,"","Not in IOE")</f>
        <v/>
      </c>
      <c r="E425" t="s">
        <v>275</v>
      </c>
      <c r="F425" t="s">
        <v>1</v>
      </c>
      <c r="G425" t="s">
        <v>275</v>
      </c>
      <c r="H425" t="s">
        <v>1</v>
      </c>
      <c r="I425" t="s">
        <v>1</v>
      </c>
      <c r="J425" t="s">
        <v>1</v>
      </c>
      <c r="K425" t="s">
        <v>1</v>
      </c>
      <c r="L425" t="s">
        <v>1</v>
      </c>
      <c r="M425" t="s">
        <v>1</v>
      </c>
      <c r="N425" t="s">
        <v>1</v>
      </c>
      <c r="O425" t="s">
        <v>275</v>
      </c>
      <c r="P425" t="s">
        <v>275</v>
      </c>
      <c r="Q425" t="s">
        <v>275</v>
      </c>
      <c r="R425" t="s">
        <v>275</v>
      </c>
      <c r="S425" t="s">
        <v>275</v>
      </c>
      <c r="T425" t="s">
        <v>1</v>
      </c>
      <c r="U425" t="s">
        <v>275</v>
      </c>
      <c r="V425" t="s">
        <v>275</v>
      </c>
    </row>
    <row r="426" spans="1:22">
      <c r="A426">
        <v>424</v>
      </c>
      <c r="B426" t="s">
        <v>1124</v>
      </c>
      <c r="C426" t="s">
        <v>1245</v>
      </c>
      <c r="D426" t="str">
        <f>IF(VLOOKUP(C426,'Capabilities Overview'!$A$2:$A$587,1)=C426,"","Not in IOE")</f>
        <v/>
      </c>
      <c r="E426" t="s">
        <v>275</v>
      </c>
      <c r="F426" t="s">
        <v>1</v>
      </c>
      <c r="G426" t="s">
        <v>275</v>
      </c>
      <c r="H426" t="s">
        <v>1</v>
      </c>
      <c r="I426" t="s">
        <v>1</v>
      </c>
      <c r="J426" t="s">
        <v>1</v>
      </c>
      <c r="K426" t="s">
        <v>1</v>
      </c>
      <c r="L426" t="s">
        <v>275</v>
      </c>
      <c r="M426" t="s">
        <v>275</v>
      </c>
      <c r="N426" t="s">
        <v>275</v>
      </c>
      <c r="O426" t="s">
        <v>275</v>
      </c>
      <c r="P426" t="s">
        <v>275</v>
      </c>
      <c r="Q426" t="s">
        <v>275</v>
      </c>
      <c r="R426" t="s">
        <v>275</v>
      </c>
      <c r="S426" t="s">
        <v>275</v>
      </c>
      <c r="T426" t="s">
        <v>1</v>
      </c>
      <c r="U426" t="s">
        <v>275</v>
      </c>
      <c r="V426" t="s">
        <v>275</v>
      </c>
    </row>
    <row r="427" spans="1:22">
      <c r="A427">
        <v>425</v>
      </c>
      <c r="B427" t="s">
        <v>1126</v>
      </c>
      <c r="C427" t="s">
        <v>1246</v>
      </c>
      <c r="D427" t="str">
        <f>IF(VLOOKUP(C427,'Capabilities Overview'!$A$2:$A$587,1)=C427,"","Not in IOE")</f>
        <v/>
      </c>
      <c r="E427" t="s">
        <v>275</v>
      </c>
      <c r="F427" t="s">
        <v>1</v>
      </c>
      <c r="G427" t="s">
        <v>275</v>
      </c>
      <c r="H427" t="s">
        <v>1</v>
      </c>
      <c r="I427" t="s">
        <v>1</v>
      </c>
      <c r="J427" t="s">
        <v>1</v>
      </c>
      <c r="K427" t="s">
        <v>1</v>
      </c>
      <c r="L427" t="s">
        <v>275</v>
      </c>
      <c r="M427" t="s">
        <v>275</v>
      </c>
      <c r="N427" t="s">
        <v>275</v>
      </c>
      <c r="O427" t="s">
        <v>275</v>
      </c>
      <c r="P427" t="s">
        <v>275</v>
      </c>
      <c r="Q427" t="s">
        <v>275</v>
      </c>
      <c r="R427" t="s">
        <v>275</v>
      </c>
      <c r="S427" t="s">
        <v>275</v>
      </c>
      <c r="T427" t="s">
        <v>1</v>
      </c>
      <c r="U427" t="s">
        <v>275</v>
      </c>
      <c r="V427" t="s">
        <v>275</v>
      </c>
    </row>
    <row r="428" spans="1:22">
      <c r="A428">
        <v>426</v>
      </c>
      <c r="B428" t="s">
        <v>1128</v>
      </c>
      <c r="C428" t="s">
        <v>1247</v>
      </c>
      <c r="D428" t="str">
        <f>IF(VLOOKUP(C428,'Capabilities Overview'!$A$2:$A$587,1)=C428,"","Not in IOE")</f>
        <v/>
      </c>
      <c r="E428" t="s">
        <v>275</v>
      </c>
      <c r="F428" t="s">
        <v>1</v>
      </c>
      <c r="G428" t="s">
        <v>275</v>
      </c>
      <c r="H428" t="s">
        <v>1</v>
      </c>
      <c r="I428" t="s">
        <v>1</v>
      </c>
      <c r="J428" t="s">
        <v>1</v>
      </c>
      <c r="K428" t="s">
        <v>1</v>
      </c>
      <c r="L428" t="s">
        <v>1</v>
      </c>
      <c r="M428" t="s">
        <v>1</v>
      </c>
      <c r="N428" t="s">
        <v>1</v>
      </c>
      <c r="O428" t="s">
        <v>275</v>
      </c>
      <c r="P428" t="s">
        <v>275</v>
      </c>
      <c r="Q428" t="s">
        <v>275</v>
      </c>
      <c r="R428" t="s">
        <v>275</v>
      </c>
      <c r="S428" t="s">
        <v>275</v>
      </c>
      <c r="T428" t="s">
        <v>1</v>
      </c>
      <c r="U428" t="s">
        <v>275</v>
      </c>
      <c r="V428" t="s">
        <v>275</v>
      </c>
    </row>
    <row r="429" spans="1:22">
      <c r="A429">
        <v>427</v>
      </c>
      <c r="B429" t="s">
        <v>1130</v>
      </c>
      <c r="C429" t="s">
        <v>1248</v>
      </c>
      <c r="D429" t="str">
        <f>IF(VLOOKUP(C429,'Capabilities Overview'!$A$2:$A$587,1)=C429,"","Not in IOE")</f>
        <v/>
      </c>
      <c r="E429" t="s">
        <v>275</v>
      </c>
      <c r="F429" t="s">
        <v>1</v>
      </c>
      <c r="G429" t="s">
        <v>275</v>
      </c>
      <c r="H429" t="s">
        <v>1</v>
      </c>
      <c r="I429" t="s">
        <v>1</v>
      </c>
      <c r="J429" t="s">
        <v>1</v>
      </c>
      <c r="K429" t="s">
        <v>1</v>
      </c>
      <c r="L429" t="s">
        <v>275</v>
      </c>
      <c r="M429" t="s">
        <v>275</v>
      </c>
      <c r="N429" t="s">
        <v>275</v>
      </c>
      <c r="O429" t="s">
        <v>275</v>
      </c>
      <c r="P429" t="s">
        <v>275</v>
      </c>
      <c r="Q429" t="s">
        <v>275</v>
      </c>
      <c r="R429" t="s">
        <v>275</v>
      </c>
      <c r="S429" t="s">
        <v>275</v>
      </c>
      <c r="T429" t="s">
        <v>1</v>
      </c>
      <c r="U429" t="s">
        <v>275</v>
      </c>
      <c r="V429" t="s">
        <v>275</v>
      </c>
    </row>
    <row r="430" spans="1:22">
      <c r="A430">
        <v>428</v>
      </c>
      <c r="B430" t="s">
        <v>1132</v>
      </c>
      <c r="C430" t="s">
        <v>1249</v>
      </c>
      <c r="D430" t="str">
        <f>IF(VLOOKUP(C430,'Capabilities Overview'!$A$2:$A$587,1)=C430,"","Not in IOE")</f>
        <v/>
      </c>
      <c r="E430" t="s">
        <v>275</v>
      </c>
      <c r="F430" t="s">
        <v>1</v>
      </c>
      <c r="G430" t="s">
        <v>275</v>
      </c>
      <c r="H430" t="s">
        <v>1</v>
      </c>
      <c r="I430" t="s">
        <v>1</v>
      </c>
      <c r="J430" t="s">
        <v>1</v>
      </c>
      <c r="K430" t="s">
        <v>1</v>
      </c>
      <c r="L430" t="s">
        <v>275</v>
      </c>
      <c r="M430" t="s">
        <v>275</v>
      </c>
      <c r="N430" t="s">
        <v>275</v>
      </c>
      <c r="O430" t="s">
        <v>275</v>
      </c>
      <c r="P430" t="s">
        <v>275</v>
      </c>
      <c r="Q430" t="s">
        <v>275</v>
      </c>
      <c r="R430" t="s">
        <v>275</v>
      </c>
      <c r="S430" t="s">
        <v>275</v>
      </c>
      <c r="T430" t="s">
        <v>1</v>
      </c>
      <c r="U430" t="s">
        <v>275</v>
      </c>
      <c r="V430" t="s">
        <v>275</v>
      </c>
    </row>
    <row r="431" spans="1:22">
      <c r="A431">
        <v>429</v>
      </c>
      <c r="B431" t="s">
        <v>1134</v>
      </c>
      <c r="C431" t="s">
        <v>1250</v>
      </c>
      <c r="D431" t="str">
        <f>IF(VLOOKUP(C431,'Capabilities Overview'!$A$2:$A$587,1)=C431,"","Not in IOE")</f>
        <v/>
      </c>
      <c r="E431" t="s">
        <v>275</v>
      </c>
      <c r="F431" t="s">
        <v>1</v>
      </c>
      <c r="G431" t="s">
        <v>275</v>
      </c>
      <c r="H431" t="s">
        <v>1</v>
      </c>
      <c r="I431" t="s">
        <v>1</v>
      </c>
      <c r="J431" t="s">
        <v>1</v>
      </c>
      <c r="K431" t="s">
        <v>1</v>
      </c>
      <c r="L431" t="s">
        <v>275</v>
      </c>
      <c r="M431" t="s">
        <v>275</v>
      </c>
      <c r="N431" t="s">
        <v>275</v>
      </c>
      <c r="O431" t="s">
        <v>275</v>
      </c>
      <c r="P431" t="s">
        <v>275</v>
      </c>
      <c r="Q431" t="s">
        <v>275</v>
      </c>
      <c r="R431" t="s">
        <v>275</v>
      </c>
      <c r="S431" t="s">
        <v>275</v>
      </c>
      <c r="T431" t="s">
        <v>1</v>
      </c>
      <c r="U431" t="s">
        <v>275</v>
      </c>
      <c r="V431" t="s">
        <v>275</v>
      </c>
    </row>
    <row r="432" spans="1:22">
      <c r="A432">
        <v>430</v>
      </c>
      <c r="B432" t="s">
        <v>1136</v>
      </c>
      <c r="C432" t="s">
        <v>1251</v>
      </c>
      <c r="D432" t="str">
        <f>IF(VLOOKUP(C432,'Capabilities Overview'!$A$2:$A$587,1)=C432,"","Not in IOE")</f>
        <v/>
      </c>
      <c r="E432" t="s">
        <v>275</v>
      </c>
      <c r="F432" t="s">
        <v>1</v>
      </c>
      <c r="G432" t="s">
        <v>275</v>
      </c>
      <c r="H432" t="s">
        <v>1</v>
      </c>
      <c r="I432" t="s">
        <v>1</v>
      </c>
      <c r="J432" t="s">
        <v>1</v>
      </c>
      <c r="K432" t="s">
        <v>1</v>
      </c>
      <c r="L432" t="s">
        <v>275</v>
      </c>
      <c r="M432" t="s">
        <v>275</v>
      </c>
      <c r="N432" t="s">
        <v>275</v>
      </c>
      <c r="O432" t="s">
        <v>275</v>
      </c>
      <c r="P432" t="s">
        <v>275</v>
      </c>
      <c r="Q432" t="s">
        <v>275</v>
      </c>
      <c r="R432" t="s">
        <v>275</v>
      </c>
      <c r="S432" t="s">
        <v>275</v>
      </c>
      <c r="T432" t="s">
        <v>1</v>
      </c>
      <c r="U432" t="s">
        <v>275</v>
      </c>
      <c r="V432" t="s">
        <v>275</v>
      </c>
    </row>
    <row r="433" spans="1:22">
      <c r="A433">
        <v>431</v>
      </c>
      <c r="B433" t="s">
        <v>1138</v>
      </c>
      <c r="C433" t="s">
        <v>1252</v>
      </c>
      <c r="D433" t="str">
        <f>IF(VLOOKUP(C433,'Capabilities Overview'!$A$2:$A$587,1)=C433,"","Not in IOE")</f>
        <v/>
      </c>
      <c r="E433" t="s">
        <v>275</v>
      </c>
      <c r="F433" t="s">
        <v>1</v>
      </c>
      <c r="G433" t="s">
        <v>275</v>
      </c>
      <c r="H433" t="s">
        <v>1</v>
      </c>
      <c r="I433" t="s">
        <v>1</v>
      </c>
      <c r="J433" t="s">
        <v>1</v>
      </c>
      <c r="K433" t="s">
        <v>1</v>
      </c>
      <c r="L433" t="s">
        <v>275</v>
      </c>
      <c r="M433" t="s">
        <v>275</v>
      </c>
      <c r="N433" t="s">
        <v>275</v>
      </c>
      <c r="O433" t="s">
        <v>275</v>
      </c>
      <c r="P433" t="s">
        <v>275</v>
      </c>
      <c r="Q433" t="s">
        <v>275</v>
      </c>
      <c r="R433" t="s">
        <v>275</v>
      </c>
      <c r="S433" t="s">
        <v>275</v>
      </c>
      <c r="T433" t="s">
        <v>1</v>
      </c>
      <c r="U433" t="s">
        <v>275</v>
      </c>
      <c r="V433" t="s">
        <v>275</v>
      </c>
    </row>
    <row r="434" spans="1:22">
      <c r="A434">
        <v>432</v>
      </c>
      <c r="B434" t="s">
        <v>1140</v>
      </c>
      <c r="C434" t="s">
        <v>1253</v>
      </c>
      <c r="D434" t="str">
        <f>IF(VLOOKUP(C434,'Capabilities Overview'!$A$2:$A$587,1)=C434,"","Not in IOE")</f>
        <v/>
      </c>
      <c r="E434" t="s">
        <v>275</v>
      </c>
      <c r="F434" t="s">
        <v>1</v>
      </c>
      <c r="G434" t="s">
        <v>275</v>
      </c>
      <c r="H434" t="s">
        <v>1</v>
      </c>
      <c r="I434" t="s">
        <v>1</v>
      </c>
      <c r="J434" t="s">
        <v>1</v>
      </c>
      <c r="K434" t="s">
        <v>1</v>
      </c>
      <c r="L434" t="s">
        <v>275</v>
      </c>
      <c r="M434" t="s">
        <v>275</v>
      </c>
      <c r="N434" t="s">
        <v>275</v>
      </c>
      <c r="O434" t="s">
        <v>275</v>
      </c>
      <c r="P434" t="s">
        <v>275</v>
      </c>
      <c r="Q434" t="s">
        <v>275</v>
      </c>
      <c r="R434" t="s">
        <v>275</v>
      </c>
      <c r="S434" t="s">
        <v>275</v>
      </c>
      <c r="T434" t="s">
        <v>1</v>
      </c>
      <c r="U434" t="s">
        <v>275</v>
      </c>
      <c r="V434" t="s">
        <v>275</v>
      </c>
    </row>
    <row r="435" spans="1:22">
      <c r="A435">
        <v>433</v>
      </c>
      <c r="B435" t="s">
        <v>1142</v>
      </c>
      <c r="C435" t="s">
        <v>1254</v>
      </c>
      <c r="D435" t="str">
        <f>IF(VLOOKUP(C435,'Capabilities Overview'!$A$2:$A$587,1)=C435,"","Not in IOE")</f>
        <v/>
      </c>
      <c r="E435" t="s">
        <v>275</v>
      </c>
      <c r="F435" t="s">
        <v>1</v>
      </c>
      <c r="G435" t="s">
        <v>275</v>
      </c>
      <c r="H435" t="s">
        <v>1</v>
      </c>
      <c r="I435" t="s">
        <v>1</v>
      </c>
      <c r="J435" t="s">
        <v>1</v>
      </c>
      <c r="K435" t="s">
        <v>1</v>
      </c>
      <c r="L435" t="s">
        <v>1</v>
      </c>
      <c r="M435" t="s">
        <v>1</v>
      </c>
      <c r="N435" t="s">
        <v>1</v>
      </c>
      <c r="O435" t="s">
        <v>275</v>
      </c>
      <c r="P435" t="s">
        <v>275</v>
      </c>
      <c r="Q435" t="s">
        <v>275</v>
      </c>
      <c r="R435" t="s">
        <v>275</v>
      </c>
      <c r="S435" t="s">
        <v>275</v>
      </c>
      <c r="T435" t="s">
        <v>1</v>
      </c>
      <c r="U435" t="s">
        <v>275</v>
      </c>
      <c r="V435" t="s">
        <v>275</v>
      </c>
    </row>
    <row r="436" spans="1:22">
      <c r="A436">
        <v>434</v>
      </c>
      <c r="B436" t="s">
        <v>1757</v>
      </c>
      <c r="C436" t="s">
        <v>1256</v>
      </c>
      <c r="D436" t="str">
        <f>IF(VLOOKUP(C436,'Capabilities Overview'!$A$2:$A$587,1)=C436,"","Not in IOE")</f>
        <v/>
      </c>
      <c r="E436" t="s">
        <v>275</v>
      </c>
      <c r="F436" t="s">
        <v>1</v>
      </c>
      <c r="G436" t="s">
        <v>275</v>
      </c>
      <c r="H436" t="s">
        <v>1</v>
      </c>
      <c r="I436" t="s">
        <v>1</v>
      </c>
      <c r="J436" t="s">
        <v>1</v>
      </c>
      <c r="K436" t="s">
        <v>1</v>
      </c>
      <c r="L436" t="s">
        <v>275</v>
      </c>
      <c r="M436" t="s">
        <v>275</v>
      </c>
      <c r="N436" t="s">
        <v>275</v>
      </c>
      <c r="O436" t="s">
        <v>275</v>
      </c>
      <c r="P436" t="s">
        <v>275</v>
      </c>
      <c r="Q436" t="s">
        <v>275</v>
      </c>
      <c r="R436" t="s">
        <v>275</v>
      </c>
      <c r="S436" t="s">
        <v>275</v>
      </c>
      <c r="T436" t="s">
        <v>1</v>
      </c>
      <c r="U436" t="s">
        <v>275</v>
      </c>
      <c r="V436" t="s">
        <v>275</v>
      </c>
    </row>
    <row r="437" spans="1:22">
      <c r="A437">
        <v>435</v>
      </c>
      <c r="B437" t="s">
        <v>1144</v>
      </c>
      <c r="C437" t="s">
        <v>1257</v>
      </c>
      <c r="D437" t="str">
        <f>IF(VLOOKUP(C437,'Capabilities Overview'!$A$2:$A$587,1)=C437,"","Not in IOE")</f>
        <v/>
      </c>
      <c r="E437" t="s">
        <v>275</v>
      </c>
      <c r="F437" t="s">
        <v>1</v>
      </c>
      <c r="G437" t="s">
        <v>275</v>
      </c>
      <c r="H437" t="s">
        <v>1</v>
      </c>
      <c r="I437" t="s">
        <v>1</v>
      </c>
      <c r="J437" t="s">
        <v>1</v>
      </c>
      <c r="K437" t="s">
        <v>1</v>
      </c>
      <c r="L437" t="s">
        <v>275</v>
      </c>
      <c r="M437" t="s">
        <v>275</v>
      </c>
      <c r="N437" t="s">
        <v>275</v>
      </c>
      <c r="O437" t="s">
        <v>275</v>
      </c>
      <c r="P437" t="s">
        <v>275</v>
      </c>
      <c r="Q437" t="s">
        <v>275</v>
      </c>
      <c r="R437" t="s">
        <v>275</v>
      </c>
      <c r="S437" t="s">
        <v>275</v>
      </c>
      <c r="T437" t="s">
        <v>1</v>
      </c>
      <c r="U437" t="s">
        <v>275</v>
      </c>
      <c r="V437" t="s">
        <v>275</v>
      </c>
    </row>
    <row r="438" spans="1:22">
      <c r="A438">
        <v>436</v>
      </c>
      <c r="B438" t="s">
        <v>1146</v>
      </c>
      <c r="C438" t="s">
        <v>1258</v>
      </c>
      <c r="D438" t="str">
        <f>IF(VLOOKUP(C438,'Capabilities Overview'!$A$2:$A$587,1)=C438,"","Not in IOE")</f>
        <v/>
      </c>
      <c r="E438" t="s">
        <v>275</v>
      </c>
      <c r="F438" t="s">
        <v>1</v>
      </c>
      <c r="G438" t="s">
        <v>275</v>
      </c>
      <c r="H438" t="s">
        <v>1</v>
      </c>
      <c r="I438" t="s">
        <v>1</v>
      </c>
      <c r="J438" t="s">
        <v>1</v>
      </c>
      <c r="K438" t="s">
        <v>1</v>
      </c>
      <c r="L438" t="s">
        <v>1</v>
      </c>
      <c r="M438" t="s">
        <v>1</v>
      </c>
      <c r="N438" t="s">
        <v>1</v>
      </c>
      <c r="O438" t="s">
        <v>275</v>
      </c>
      <c r="P438" t="s">
        <v>275</v>
      </c>
      <c r="Q438" t="s">
        <v>275</v>
      </c>
      <c r="R438" t="s">
        <v>275</v>
      </c>
      <c r="S438" t="s">
        <v>275</v>
      </c>
      <c r="T438" t="s">
        <v>1</v>
      </c>
      <c r="U438" t="s">
        <v>275</v>
      </c>
      <c r="V438" t="s">
        <v>275</v>
      </c>
    </row>
    <row r="439" spans="1:22">
      <c r="A439">
        <v>437</v>
      </c>
      <c r="B439" t="s">
        <v>144</v>
      </c>
      <c r="C439" t="s">
        <v>1259</v>
      </c>
      <c r="D439" t="str">
        <f>IF(VLOOKUP(C439,'Capabilities Overview'!$A$2:$A$587,1)=C439,"","Not in IOE")</f>
        <v/>
      </c>
      <c r="E439" t="s">
        <v>275</v>
      </c>
      <c r="F439" t="s">
        <v>1</v>
      </c>
      <c r="G439" t="s">
        <v>275</v>
      </c>
      <c r="H439" t="s">
        <v>1</v>
      </c>
      <c r="I439" t="s">
        <v>1</v>
      </c>
      <c r="J439" t="s">
        <v>1</v>
      </c>
      <c r="K439" t="s">
        <v>1</v>
      </c>
      <c r="L439" t="s">
        <v>275</v>
      </c>
      <c r="M439" t="s">
        <v>275</v>
      </c>
      <c r="N439" t="s">
        <v>275</v>
      </c>
      <c r="O439" t="s">
        <v>275</v>
      </c>
      <c r="P439" t="s">
        <v>275</v>
      </c>
      <c r="Q439" t="s">
        <v>275</v>
      </c>
      <c r="R439" t="s">
        <v>275</v>
      </c>
      <c r="S439" t="s">
        <v>275</v>
      </c>
      <c r="T439" t="s">
        <v>1</v>
      </c>
      <c r="U439" t="s">
        <v>275</v>
      </c>
      <c r="V439" t="s">
        <v>275</v>
      </c>
    </row>
    <row r="440" spans="1:22">
      <c r="A440">
        <v>438</v>
      </c>
      <c r="B440" t="s">
        <v>146</v>
      </c>
      <c r="C440" t="s">
        <v>1260</v>
      </c>
      <c r="D440" t="str">
        <f>IF(VLOOKUP(C440,'Capabilities Overview'!$A$2:$A$587,1)=C440,"","Not in IOE")</f>
        <v/>
      </c>
      <c r="E440" t="s">
        <v>275</v>
      </c>
      <c r="F440" t="s">
        <v>1</v>
      </c>
      <c r="G440" t="s">
        <v>275</v>
      </c>
      <c r="H440" t="s">
        <v>1</v>
      </c>
      <c r="I440" t="s">
        <v>1</v>
      </c>
      <c r="J440" t="s">
        <v>1</v>
      </c>
      <c r="K440" t="s">
        <v>1</v>
      </c>
      <c r="L440" t="s">
        <v>275</v>
      </c>
      <c r="M440" t="s">
        <v>275</v>
      </c>
      <c r="N440" t="s">
        <v>275</v>
      </c>
      <c r="O440" t="s">
        <v>275</v>
      </c>
      <c r="P440" t="s">
        <v>275</v>
      </c>
      <c r="Q440" t="s">
        <v>275</v>
      </c>
      <c r="R440" t="s">
        <v>275</v>
      </c>
      <c r="S440" t="s">
        <v>275</v>
      </c>
      <c r="T440" t="s">
        <v>1</v>
      </c>
      <c r="U440" t="s">
        <v>275</v>
      </c>
      <c r="V440" t="s">
        <v>275</v>
      </c>
    </row>
    <row r="441" spans="1:22">
      <c r="A441">
        <v>439</v>
      </c>
      <c r="B441" t="s">
        <v>1150</v>
      </c>
      <c r="C441" t="s">
        <v>1261</v>
      </c>
      <c r="D441" t="str">
        <f>IF(VLOOKUP(C441,'Capabilities Overview'!$A$2:$A$587,1)=C441,"","Not in IOE")</f>
        <v/>
      </c>
      <c r="E441" t="s">
        <v>275</v>
      </c>
      <c r="F441" t="s">
        <v>1</v>
      </c>
      <c r="G441" t="s">
        <v>275</v>
      </c>
      <c r="H441" t="s">
        <v>1</v>
      </c>
      <c r="I441" t="s">
        <v>1</v>
      </c>
      <c r="J441" t="s">
        <v>1</v>
      </c>
      <c r="K441" t="s">
        <v>1</v>
      </c>
      <c r="L441" t="s">
        <v>1</v>
      </c>
      <c r="M441" t="s">
        <v>1</v>
      </c>
      <c r="N441" t="s">
        <v>1</v>
      </c>
      <c r="O441" t="s">
        <v>1</v>
      </c>
      <c r="P441" t="s">
        <v>275</v>
      </c>
      <c r="Q441" t="s">
        <v>275</v>
      </c>
      <c r="R441" t="s">
        <v>275</v>
      </c>
      <c r="S441" t="s">
        <v>275</v>
      </c>
      <c r="T441" t="s">
        <v>1</v>
      </c>
      <c r="U441" t="s">
        <v>275</v>
      </c>
      <c r="V441" t="s">
        <v>275</v>
      </c>
    </row>
    <row r="442" spans="1:22">
      <c r="A442">
        <v>440</v>
      </c>
      <c r="B442" t="s">
        <v>1262</v>
      </c>
      <c r="C442" t="s">
        <v>1263</v>
      </c>
      <c r="D442" t="str">
        <f>IF(VLOOKUP(C442,'Capabilities Overview'!$A$2:$A$587,1)=C442,"","Not in IOE")</f>
        <v/>
      </c>
      <c r="E442" t="s">
        <v>275</v>
      </c>
      <c r="F442" t="s">
        <v>1</v>
      </c>
      <c r="G442" t="s">
        <v>275</v>
      </c>
      <c r="H442" t="s">
        <v>41</v>
      </c>
      <c r="I442" t="s">
        <v>1</v>
      </c>
      <c r="J442" t="s">
        <v>1</v>
      </c>
      <c r="K442" t="s">
        <v>41</v>
      </c>
      <c r="L442" t="s">
        <v>41</v>
      </c>
      <c r="M442" t="s">
        <v>41</v>
      </c>
      <c r="N442" t="s">
        <v>41</v>
      </c>
      <c r="O442" t="s">
        <v>10</v>
      </c>
      <c r="P442" t="s">
        <v>275</v>
      </c>
      <c r="Q442" t="s">
        <v>275</v>
      </c>
      <c r="R442" t="s">
        <v>275</v>
      </c>
      <c r="S442" t="s">
        <v>275</v>
      </c>
      <c r="T442" t="s">
        <v>41</v>
      </c>
      <c r="U442" t="s">
        <v>275</v>
      </c>
      <c r="V442" t="s">
        <v>275</v>
      </c>
    </row>
    <row r="443" spans="1:22">
      <c r="A443">
        <v>441</v>
      </c>
      <c r="B443" t="s">
        <v>1152</v>
      </c>
      <c r="C443" t="s">
        <v>1264</v>
      </c>
      <c r="D443" t="str">
        <f>IF(VLOOKUP(C443,'Capabilities Overview'!$A$2:$A$587,1)=C443,"","Not in IOE")</f>
        <v/>
      </c>
      <c r="E443" t="s">
        <v>275</v>
      </c>
      <c r="F443" t="s">
        <v>1</v>
      </c>
      <c r="G443" t="s">
        <v>275</v>
      </c>
      <c r="H443" t="s">
        <v>1</v>
      </c>
      <c r="I443" t="s">
        <v>1</v>
      </c>
      <c r="J443" t="s">
        <v>1</v>
      </c>
      <c r="K443" t="s">
        <v>1</v>
      </c>
      <c r="L443" t="s">
        <v>275</v>
      </c>
      <c r="M443" t="s">
        <v>275</v>
      </c>
      <c r="N443" t="s">
        <v>275</v>
      </c>
      <c r="O443" t="s">
        <v>275</v>
      </c>
      <c r="P443" t="s">
        <v>275</v>
      </c>
      <c r="Q443" t="s">
        <v>275</v>
      </c>
      <c r="R443" t="s">
        <v>275</v>
      </c>
      <c r="S443" t="s">
        <v>275</v>
      </c>
      <c r="T443" t="s">
        <v>1</v>
      </c>
      <c r="U443" t="s">
        <v>275</v>
      </c>
      <c r="V443" t="s">
        <v>275</v>
      </c>
    </row>
    <row r="444" spans="1:22">
      <c r="A444">
        <v>442</v>
      </c>
      <c r="B444" t="s">
        <v>1265</v>
      </c>
      <c r="C444" t="s">
        <v>1266</v>
      </c>
      <c r="D444" t="str">
        <f>IF(VLOOKUP(C444,'Capabilities Overview'!$A$2:$A$587,1)=C444,"","Not in IOE")</f>
        <v/>
      </c>
      <c r="E444" t="s">
        <v>275</v>
      </c>
      <c r="F444" t="s">
        <v>1</v>
      </c>
      <c r="G444" t="s">
        <v>275</v>
      </c>
      <c r="H444" t="s">
        <v>1</v>
      </c>
      <c r="I444" t="s">
        <v>1</v>
      </c>
      <c r="J444" t="s">
        <v>1</v>
      </c>
      <c r="K444" t="s">
        <v>1</v>
      </c>
      <c r="L444" t="s">
        <v>41</v>
      </c>
      <c r="M444" t="s">
        <v>41</v>
      </c>
      <c r="N444" t="s">
        <v>41</v>
      </c>
      <c r="O444" t="s">
        <v>10</v>
      </c>
      <c r="P444" t="s">
        <v>275</v>
      </c>
      <c r="Q444" t="s">
        <v>275</v>
      </c>
      <c r="R444" t="s">
        <v>275</v>
      </c>
      <c r="S444" t="s">
        <v>275</v>
      </c>
      <c r="T444" t="s">
        <v>1</v>
      </c>
      <c r="U444" t="s">
        <v>275</v>
      </c>
      <c r="V444" t="s">
        <v>275</v>
      </c>
    </row>
    <row r="445" spans="1:22">
      <c r="A445">
        <v>443</v>
      </c>
      <c r="B445" t="s">
        <v>1154</v>
      </c>
      <c r="C445" t="s">
        <v>1267</v>
      </c>
      <c r="D445" t="str">
        <f>IF(VLOOKUP(C445,'Capabilities Overview'!$A$2:$A$587,1)=C445,"","Not in IOE")</f>
        <v/>
      </c>
      <c r="E445" t="s">
        <v>275</v>
      </c>
      <c r="F445" t="s">
        <v>1</v>
      </c>
      <c r="G445" t="s">
        <v>275</v>
      </c>
      <c r="H445" t="s">
        <v>1</v>
      </c>
      <c r="I445" t="s">
        <v>1</v>
      </c>
      <c r="J445" t="s">
        <v>1</v>
      </c>
      <c r="K445" t="s">
        <v>1</v>
      </c>
      <c r="L445" t="s">
        <v>275</v>
      </c>
      <c r="M445" t="s">
        <v>275</v>
      </c>
      <c r="N445" t="s">
        <v>275</v>
      </c>
      <c r="O445" t="s">
        <v>275</v>
      </c>
      <c r="P445" t="s">
        <v>275</v>
      </c>
      <c r="Q445" t="s">
        <v>275</v>
      </c>
      <c r="R445" t="s">
        <v>275</v>
      </c>
      <c r="S445" t="s">
        <v>275</v>
      </c>
      <c r="T445" t="s">
        <v>1</v>
      </c>
      <c r="U445" t="s">
        <v>275</v>
      </c>
      <c r="V445" t="s">
        <v>275</v>
      </c>
    </row>
    <row r="446" spans="1:22">
      <c r="A446">
        <v>444</v>
      </c>
      <c r="B446" t="s">
        <v>142</v>
      </c>
      <c r="C446" t="s">
        <v>1268</v>
      </c>
      <c r="D446" t="str">
        <f>IF(VLOOKUP(C446,'Capabilities Overview'!$A$2:$A$587,1)=C446,"","Not in IOE")</f>
        <v/>
      </c>
      <c r="E446" t="s">
        <v>275</v>
      </c>
      <c r="F446" t="s">
        <v>1</v>
      </c>
      <c r="G446" t="s">
        <v>275</v>
      </c>
      <c r="H446" t="s">
        <v>1</v>
      </c>
      <c r="I446" t="s">
        <v>1</v>
      </c>
      <c r="J446" t="s">
        <v>1</v>
      </c>
      <c r="K446" t="s">
        <v>1</v>
      </c>
      <c r="L446" t="s">
        <v>1</v>
      </c>
      <c r="M446" t="s">
        <v>1</v>
      </c>
      <c r="N446" t="s">
        <v>1</v>
      </c>
      <c r="O446" t="s">
        <v>275</v>
      </c>
      <c r="P446" t="s">
        <v>275</v>
      </c>
      <c r="Q446" t="s">
        <v>275</v>
      </c>
      <c r="R446" t="s">
        <v>275</v>
      </c>
      <c r="S446" t="s">
        <v>275</v>
      </c>
      <c r="T446" t="s">
        <v>1</v>
      </c>
      <c r="U446" t="s">
        <v>275</v>
      </c>
      <c r="V446" t="s">
        <v>275</v>
      </c>
    </row>
    <row r="447" spans="1:22">
      <c r="A447">
        <v>445</v>
      </c>
      <c r="B447" t="s">
        <v>1157</v>
      </c>
      <c r="C447" t="s">
        <v>1269</v>
      </c>
      <c r="D447" t="str">
        <f>IF(VLOOKUP(C447,'Capabilities Overview'!$A$2:$A$587,1)=C447,"","Not in IOE")</f>
        <v/>
      </c>
      <c r="E447" t="s">
        <v>275</v>
      </c>
      <c r="F447" t="s">
        <v>1</v>
      </c>
      <c r="G447" t="s">
        <v>275</v>
      </c>
      <c r="H447" t="s">
        <v>1</v>
      </c>
      <c r="I447" t="s">
        <v>1</v>
      </c>
      <c r="J447" t="s">
        <v>1</v>
      </c>
      <c r="K447" t="s">
        <v>1</v>
      </c>
      <c r="L447" t="s">
        <v>275</v>
      </c>
      <c r="M447" t="s">
        <v>275</v>
      </c>
      <c r="N447" t="s">
        <v>275</v>
      </c>
      <c r="O447" t="s">
        <v>275</v>
      </c>
      <c r="P447" t="s">
        <v>275</v>
      </c>
      <c r="Q447" t="s">
        <v>275</v>
      </c>
      <c r="R447" t="s">
        <v>275</v>
      </c>
      <c r="S447" t="s">
        <v>275</v>
      </c>
      <c r="T447" t="s">
        <v>1</v>
      </c>
      <c r="U447" t="s">
        <v>275</v>
      </c>
      <c r="V447" t="s">
        <v>275</v>
      </c>
    </row>
    <row r="448" spans="1:22">
      <c r="A448">
        <v>446</v>
      </c>
      <c r="B448" t="s">
        <v>160</v>
      </c>
      <c r="C448" t="s">
        <v>161</v>
      </c>
      <c r="D448" t="str">
        <f>IF(VLOOKUP(C448,'Capabilities Overview'!$A$2:$A$587,1)=C448,"","Not in IOE")</f>
        <v/>
      </c>
      <c r="E448" t="s">
        <v>1</v>
      </c>
      <c r="F448" t="s">
        <v>275</v>
      </c>
      <c r="G448" t="s">
        <v>275</v>
      </c>
      <c r="H448" t="s">
        <v>275</v>
      </c>
      <c r="I448" t="s">
        <v>275</v>
      </c>
      <c r="J448" t="s">
        <v>275</v>
      </c>
      <c r="K448" t="s">
        <v>275</v>
      </c>
      <c r="L448" t="s">
        <v>275</v>
      </c>
      <c r="M448" t="s">
        <v>275</v>
      </c>
      <c r="N448" t="s">
        <v>275</v>
      </c>
      <c r="O448" t="s">
        <v>1</v>
      </c>
      <c r="P448" t="s">
        <v>1</v>
      </c>
      <c r="Q448" t="s">
        <v>275</v>
      </c>
      <c r="R448" t="s">
        <v>275</v>
      </c>
      <c r="S448" t="s">
        <v>275</v>
      </c>
      <c r="T448" t="s">
        <v>275</v>
      </c>
      <c r="U448" t="s">
        <v>275</v>
      </c>
      <c r="V448" t="s">
        <v>275</v>
      </c>
    </row>
    <row r="449" spans="1:22">
      <c r="A449">
        <v>447</v>
      </c>
      <c r="B449" t="s">
        <v>1274</v>
      </c>
      <c r="C449" t="s">
        <v>1275</v>
      </c>
      <c r="D449" t="str">
        <f>IF(VLOOKUP(C449,'Capabilities Overview'!$A$2:$A$587,1)=C449,"","Not in IOE")</f>
        <v/>
      </c>
      <c r="E449" t="s">
        <v>1</v>
      </c>
      <c r="F449" t="s">
        <v>1</v>
      </c>
      <c r="G449" t="s">
        <v>275</v>
      </c>
      <c r="H449" t="s">
        <v>275</v>
      </c>
      <c r="I449" t="s">
        <v>1</v>
      </c>
      <c r="J449" t="s">
        <v>1</v>
      </c>
      <c r="K449" t="s">
        <v>275</v>
      </c>
      <c r="L449" t="s">
        <v>275</v>
      </c>
      <c r="M449" t="s">
        <v>275</v>
      </c>
      <c r="N449" t="s">
        <v>275</v>
      </c>
      <c r="O449" t="s">
        <v>275</v>
      </c>
      <c r="P449" t="s">
        <v>275</v>
      </c>
      <c r="Q449" t="s">
        <v>275</v>
      </c>
      <c r="R449" t="s">
        <v>275</v>
      </c>
      <c r="S449" t="s">
        <v>275</v>
      </c>
      <c r="T449" t="s">
        <v>275</v>
      </c>
      <c r="U449" t="s">
        <v>275</v>
      </c>
      <c r="V449" t="s">
        <v>275</v>
      </c>
    </row>
    <row r="450" spans="1:22">
      <c r="A450">
        <v>448</v>
      </c>
      <c r="B450" t="s">
        <v>1276</v>
      </c>
      <c r="C450" t="s">
        <v>1277</v>
      </c>
      <c r="D450" t="str">
        <f>IF(VLOOKUP(C450,'Capabilities Overview'!$A$2:$A$587,1)=C450,"","Not in IOE")</f>
        <v/>
      </c>
      <c r="E450" t="s">
        <v>1</v>
      </c>
      <c r="F450" t="s">
        <v>1</v>
      </c>
      <c r="G450" t="s">
        <v>275</v>
      </c>
      <c r="H450" t="s">
        <v>1</v>
      </c>
      <c r="I450" t="s">
        <v>1</v>
      </c>
      <c r="J450" t="s">
        <v>1</v>
      </c>
      <c r="K450" t="s">
        <v>1</v>
      </c>
      <c r="L450" t="s">
        <v>275</v>
      </c>
      <c r="M450" t="s">
        <v>275</v>
      </c>
      <c r="N450" t="s">
        <v>275</v>
      </c>
      <c r="O450" t="s">
        <v>275</v>
      </c>
      <c r="P450" t="s">
        <v>275</v>
      </c>
      <c r="Q450" t="s">
        <v>275</v>
      </c>
      <c r="R450" t="s">
        <v>275</v>
      </c>
      <c r="S450" t="s">
        <v>275</v>
      </c>
      <c r="T450" t="s">
        <v>1</v>
      </c>
      <c r="U450" t="s">
        <v>275</v>
      </c>
      <c r="V450" t="s">
        <v>275</v>
      </c>
    </row>
    <row r="451" spans="1:22">
      <c r="A451">
        <v>449</v>
      </c>
      <c r="B451" t="s">
        <v>1288</v>
      </c>
      <c r="C451" t="s">
        <v>1289</v>
      </c>
      <c r="D451" t="str">
        <f>IF(VLOOKUP(C451,'Capabilities Overview'!$A$2:$A$587,1)=C451,"","Not in IOE")</f>
        <v/>
      </c>
      <c r="E451" t="s">
        <v>1</v>
      </c>
      <c r="F451" t="s">
        <v>1</v>
      </c>
      <c r="G451" t="s">
        <v>275</v>
      </c>
      <c r="H451" t="s">
        <v>1</v>
      </c>
      <c r="I451" t="s">
        <v>1</v>
      </c>
      <c r="J451" t="s">
        <v>1</v>
      </c>
      <c r="K451" t="s">
        <v>1</v>
      </c>
      <c r="L451" t="s">
        <v>275</v>
      </c>
      <c r="M451" t="s">
        <v>275</v>
      </c>
      <c r="N451" t="s">
        <v>275</v>
      </c>
      <c r="O451" t="s">
        <v>275</v>
      </c>
      <c r="P451" t="s">
        <v>275</v>
      </c>
      <c r="Q451" t="s">
        <v>275</v>
      </c>
      <c r="R451" t="s">
        <v>275</v>
      </c>
      <c r="S451" t="s">
        <v>275</v>
      </c>
      <c r="T451" t="s">
        <v>1</v>
      </c>
      <c r="U451" t="s">
        <v>275</v>
      </c>
      <c r="V451" t="s">
        <v>275</v>
      </c>
    </row>
    <row r="452" spans="1:22">
      <c r="A452">
        <v>450</v>
      </c>
      <c r="B452" t="s">
        <v>1290</v>
      </c>
      <c r="C452" t="s">
        <v>1291</v>
      </c>
      <c r="D452" t="str">
        <f>IF(VLOOKUP(C452,'Capabilities Overview'!$A$2:$A$587,1)=C452,"","Not in IOE")</f>
        <v/>
      </c>
      <c r="E452" t="s">
        <v>1</v>
      </c>
      <c r="F452" t="s">
        <v>1</v>
      </c>
      <c r="G452" t="s">
        <v>275</v>
      </c>
      <c r="H452" t="s">
        <v>1</v>
      </c>
      <c r="I452" t="s">
        <v>1</v>
      </c>
      <c r="J452" t="s">
        <v>1</v>
      </c>
      <c r="K452" t="s">
        <v>1</v>
      </c>
      <c r="L452" t="s">
        <v>275</v>
      </c>
      <c r="M452" t="s">
        <v>275</v>
      </c>
      <c r="N452" t="s">
        <v>275</v>
      </c>
      <c r="O452" t="s">
        <v>275</v>
      </c>
      <c r="P452" t="s">
        <v>275</v>
      </c>
      <c r="Q452" t="s">
        <v>275</v>
      </c>
      <c r="R452" t="s">
        <v>275</v>
      </c>
      <c r="S452" t="s">
        <v>275</v>
      </c>
      <c r="T452" t="s">
        <v>1</v>
      </c>
      <c r="U452" t="s">
        <v>275</v>
      </c>
      <c r="V452" t="s">
        <v>275</v>
      </c>
    </row>
    <row r="453" spans="1:22">
      <c r="A453">
        <v>451</v>
      </c>
      <c r="B453" t="s">
        <v>1292</v>
      </c>
      <c r="C453" t="s">
        <v>1293</v>
      </c>
      <c r="D453" t="str">
        <f>IF(VLOOKUP(C453,'Capabilities Overview'!$A$2:$A$587,1)=C453,"","Not in IOE")</f>
        <v/>
      </c>
      <c r="E453" t="s">
        <v>1</v>
      </c>
      <c r="F453" t="s">
        <v>1</v>
      </c>
      <c r="G453" t="s">
        <v>275</v>
      </c>
      <c r="H453" t="s">
        <v>1</v>
      </c>
      <c r="I453" t="s">
        <v>1</v>
      </c>
      <c r="J453" t="s">
        <v>1</v>
      </c>
      <c r="K453" t="s">
        <v>1</v>
      </c>
      <c r="L453" t="s">
        <v>1</v>
      </c>
      <c r="M453" t="s">
        <v>1</v>
      </c>
      <c r="N453" t="s">
        <v>1</v>
      </c>
      <c r="O453" t="s">
        <v>1</v>
      </c>
      <c r="P453" t="s">
        <v>275</v>
      </c>
      <c r="Q453" t="s">
        <v>275</v>
      </c>
      <c r="R453" t="s">
        <v>275</v>
      </c>
      <c r="S453" t="s">
        <v>275</v>
      </c>
      <c r="T453" t="s">
        <v>1</v>
      </c>
      <c r="U453" t="s">
        <v>275</v>
      </c>
      <c r="V453" t="s">
        <v>275</v>
      </c>
    </row>
    <row r="454" spans="1:22">
      <c r="A454">
        <v>452</v>
      </c>
      <c r="B454" t="s">
        <v>164</v>
      </c>
      <c r="C454" t="s">
        <v>165</v>
      </c>
      <c r="D454" t="str">
        <f>IF(VLOOKUP(C454,'Capabilities Overview'!$A$2:$A$587,1)=C454,"","Not in IOE")</f>
        <v/>
      </c>
      <c r="E454" t="s">
        <v>1</v>
      </c>
      <c r="F454" t="s">
        <v>275</v>
      </c>
      <c r="G454" t="s">
        <v>275</v>
      </c>
      <c r="H454" t="s">
        <v>275</v>
      </c>
      <c r="I454" t="s">
        <v>275</v>
      </c>
      <c r="J454" t="s">
        <v>275</v>
      </c>
      <c r="K454" t="s">
        <v>275</v>
      </c>
      <c r="L454" t="s">
        <v>275</v>
      </c>
      <c r="M454" t="s">
        <v>275</v>
      </c>
      <c r="N454" t="s">
        <v>275</v>
      </c>
      <c r="O454" t="s">
        <v>1</v>
      </c>
      <c r="P454" t="s">
        <v>1</v>
      </c>
      <c r="Q454" t="s">
        <v>275</v>
      </c>
      <c r="R454" t="s">
        <v>275</v>
      </c>
      <c r="S454" t="s">
        <v>275</v>
      </c>
      <c r="T454" t="s">
        <v>275</v>
      </c>
      <c r="U454" t="s">
        <v>275</v>
      </c>
      <c r="V454" t="s">
        <v>275</v>
      </c>
    </row>
    <row r="455" spans="1:22">
      <c r="A455">
        <v>453</v>
      </c>
      <c r="B455" t="s">
        <v>1345</v>
      </c>
      <c r="C455" t="s">
        <v>1346</v>
      </c>
      <c r="D455" t="str">
        <f>IF(VLOOKUP(C455,'Capabilities Overview'!$A$2:$A$587,1)=C455,"","Not in IOE")</f>
        <v/>
      </c>
      <c r="E455" t="s">
        <v>1</v>
      </c>
      <c r="F455" t="s">
        <v>1</v>
      </c>
      <c r="G455" t="s">
        <v>1</v>
      </c>
      <c r="H455" t="s">
        <v>275</v>
      </c>
      <c r="I455" t="s">
        <v>1</v>
      </c>
      <c r="J455" t="s">
        <v>1</v>
      </c>
      <c r="K455" t="s">
        <v>275</v>
      </c>
      <c r="L455" t="s">
        <v>275</v>
      </c>
      <c r="M455" t="s">
        <v>275</v>
      </c>
      <c r="N455" t="s">
        <v>275</v>
      </c>
      <c r="O455" t="s">
        <v>275</v>
      </c>
      <c r="P455" t="s">
        <v>275</v>
      </c>
      <c r="Q455" t="s">
        <v>275</v>
      </c>
      <c r="R455" t="s">
        <v>275</v>
      </c>
      <c r="S455" t="s">
        <v>275</v>
      </c>
      <c r="T455" t="s">
        <v>275</v>
      </c>
      <c r="U455" t="s">
        <v>275</v>
      </c>
      <c r="V455" t="s">
        <v>275</v>
      </c>
    </row>
    <row r="456" spans="1:22">
      <c r="A456">
        <v>454</v>
      </c>
      <c r="B456" t="s">
        <v>1347</v>
      </c>
      <c r="C456" t="s">
        <v>1348</v>
      </c>
      <c r="D456" t="str">
        <f>IF(VLOOKUP(C456,'Capabilities Overview'!$A$2:$A$587,1)=C456,"","Not in IOE")</f>
        <v/>
      </c>
      <c r="E456" t="s">
        <v>1</v>
      </c>
      <c r="F456" t="s">
        <v>1</v>
      </c>
      <c r="G456" t="s">
        <v>1</v>
      </c>
      <c r="H456" t="s">
        <v>275</v>
      </c>
      <c r="I456" t="s">
        <v>1</v>
      </c>
      <c r="J456" t="s">
        <v>1</v>
      </c>
      <c r="K456" t="s">
        <v>275</v>
      </c>
      <c r="L456" t="s">
        <v>275</v>
      </c>
      <c r="M456" t="s">
        <v>275</v>
      </c>
      <c r="N456" t="s">
        <v>275</v>
      </c>
      <c r="O456" t="s">
        <v>275</v>
      </c>
      <c r="P456" t="s">
        <v>275</v>
      </c>
      <c r="Q456" t="s">
        <v>275</v>
      </c>
      <c r="R456" t="s">
        <v>275</v>
      </c>
      <c r="S456" t="s">
        <v>275</v>
      </c>
      <c r="T456" t="s">
        <v>275</v>
      </c>
      <c r="U456" t="s">
        <v>275</v>
      </c>
      <c r="V456" t="s">
        <v>275</v>
      </c>
    </row>
    <row r="457" spans="1:22">
      <c r="A457">
        <v>455</v>
      </c>
      <c r="B457" t="s">
        <v>1349</v>
      </c>
      <c r="C457" t="s">
        <v>1350</v>
      </c>
      <c r="D457" t="str">
        <f>IF(VLOOKUP(C457,'Capabilities Overview'!$A$2:$A$587,1)=C457,"","Not in IOE")</f>
        <v/>
      </c>
      <c r="E457" t="s">
        <v>1</v>
      </c>
      <c r="F457" t="s">
        <v>1</v>
      </c>
      <c r="G457" t="s">
        <v>275</v>
      </c>
      <c r="H457" t="s">
        <v>275</v>
      </c>
      <c r="I457" t="s">
        <v>1</v>
      </c>
      <c r="J457" t="s">
        <v>1</v>
      </c>
      <c r="K457" t="s">
        <v>275</v>
      </c>
      <c r="L457" t="s">
        <v>275</v>
      </c>
      <c r="M457" t="s">
        <v>275</v>
      </c>
      <c r="N457" t="s">
        <v>275</v>
      </c>
      <c r="O457" t="s">
        <v>275</v>
      </c>
      <c r="P457" t="s">
        <v>275</v>
      </c>
      <c r="Q457" t="s">
        <v>275</v>
      </c>
      <c r="R457" t="s">
        <v>275</v>
      </c>
      <c r="S457" t="s">
        <v>275</v>
      </c>
      <c r="T457" t="s">
        <v>275</v>
      </c>
      <c r="U457" t="s">
        <v>275</v>
      </c>
      <c r="V457" t="s">
        <v>275</v>
      </c>
    </row>
    <row r="458" spans="1:22">
      <c r="A458">
        <v>456</v>
      </c>
      <c r="B458" t="s">
        <v>1351</v>
      </c>
      <c r="C458" t="s">
        <v>1352</v>
      </c>
      <c r="D458" t="str">
        <f>IF(VLOOKUP(C458,'Capabilities Overview'!$A$2:$A$587,1)=C458,"","Not in IOE")</f>
        <v/>
      </c>
      <c r="E458" t="s">
        <v>1</v>
      </c>
      <c r="F458" t="s">
        <v>1</v>
      </c>
      <c r="G458" t="s">
        <v>275</v>
      </c>
      <c r="H458" t="s">
        <v>1</v>
      </c>
      <c r="I458" t="s">
        <v>1</v>
      </c>
      <c r="J458" t="s">
        <v>1</v>
      </c>
      <c r="K458" t="s">
        <v>1</v>
      </c>
      <c r="L458" t="s">
        <v>275</v>
      </c>
      <c r="M458" t="s">
        <v>275</v>
      </c>
      <c r="N458" t="s">
        <v>275</v>
      </c>
      <c r="O458" t="s">
        <v>275</v>
      </c>
      <c r="P458" t="s">
        <v>275</v>
      </c>
      <c r="Q458" t="s">
        <v>275</v>
      </c>
      <c r="R458" t="s">
        <v>275</v>
      </c>
      <c r="S458" t="s">
        <v>275</v>
      </c>
      <c r="T458" t="s">
        <v>1</v>
      </c>
      <c r="U458" t="s">
        <v>275</v>
      </c>
      <c r="V458" t="s">
        <v>275</v>
      </c>
    </row>
    <row r="459" spans="1:22">
      <c r="A459">
        <v>457</v>
      </c>
      <c r="B459" t="s">
        <v>1353</v>
      </c>
      <c r="C459" t="s">
        <v>1354</v>
      </c>
      <c r="D459" t="str">
        <f>IF(VLOOKUP(C459,'Capabilities Overview'!$A$2:$A$587,1)=C459,"","Not in IOE")</f>
        <v/>
      </c>
      <c r="E459" t="s">
        <v>1</v>
      </c>
      <c r="F459" t="s">
        <v>1</v>
      </c>
      <c r="G459" t="s">
        <v>1</v>
      </c>
      <c r="H459" t="s">
        <v>275</v>
      </c>
      <c r="I459" t="s">
        <v>1</v>
      </c>
      <c r="J459" t="s">
        <v>1</v>
      </c>
      <c r="K459" t="s">
        <v>275</v>
      </c>
      <c r="L459" t="s">
        <v>275</v>
      </c>
      <c r="M459" t="s">
        <v>275</v>
      </c>
      <c r="N459" t="s">
        <v>275</v>
      </c>
      <c r="O459" t="s">
        <v>275</v>
      </c>
      <c r="P459" t="s">
        <v>275</v>
      </c>
      <c r="Q459" t="s">
        <v>275</v>
      </c>
      <c r="R459" t="s">
        <v>275</v>
      </c>
      <c r="S459" t="s">
        <v>275</v>
      </c>
      <c r="T459" t="s">
        <v>275</v>
      </c>
      <c r="U459" t="s">
        <v>275</v>
      </c>
      <c r="V459" t="s">
        <v>275</v>
      </c>
    </row>
    <row r="460" spans="1:22">
      <c r="A460">
        <v>458</v>
      </c>
      <c r="B460" t="s">
        <v>1355</v>
      </c>
      <c r="C460" t="s">
        <v>1356</v>
      </c>
      <c r="D460" t="str">
        <f>IF(VLOOKUP(C460,'Capabilities Overview'!$A$2:$A$587,1)=C460,"","Not in IOE")</f>
        <v/>
      </c>
      <c r="E460" t="s">
        <v>1</v>
      </c>
      <c r="F460" t="s">
        <v>1</v>
      </c>
      <c r="G460" t="s">
        <v>1</v>
      </c>
      <c r="H460" t="s">
        <v>275</v>
      </c>
      <c r="I460" t="s">
        <v>1</v>
      </c>
      <c r="J460" t="s">
        <v>1</v>
      </c>
      <c r="K460" t="s">
        <v>275</v>
      </c>
      <c r="L460" t="s">
        <v>275</v>
      </c>
      <c r="M460" t="s">
        <v>275</v>
      </c>
      <c r="N460" t="s">
        <v>275</v>
      </c>
      <c r="O460" t="s">
        <v>275</v>
      </c>
      <c r="P460" t="s">
        <v>275</v>
      </c>
      <c r="Q460" t="s">
        <v>275</v>
      </c>
      <c r="R460" t="s">
        <v>275</v>
      </c>
      <c r="S460" t="s">
        <v>275</v>
      </c>
      <c r="T460" t="s">
        <v>275</v>
      </c>
      <c r="U460" t="s">
        <v>275</v>
      </c>
      <c r="V460" t="s">
        <v>275</v>
      </c>
    </row>
    <row r="461" spans="1:22">
      <c r="A461">
        <v>459</v>
      </c>
      <c r="B461" t="s">
        <v>1357</v>
      </c>
      <c r="C461" t="s">
        <v>1358</v>
      </c>
      <c r="D461" t="str">
        <f>IF(VLOOKUP(C461,'Capabilities Overview'!$A$2:$A$587,1)=C461,"","Not in IOE")</f>
        <v/>
      </c>
      <c r="E461" t="s">
        <v>275</v>
      </c>
      <c r="F461" t="s">
        <v>1</v>
      </c>
      <c r="G461" t="s">
        <v>275</v>
      </c>
      <c r="H461" t="s">
        <v>1</v>
      </c>
      <c r="I461" t="s">
        <v>1</v>
      </c>
      <c r="J461" t="s">
        <v>1</v>
      </c>
      <c r="K461" t="s">
        <v>1</v>
      </c>
      <c r="L461" t="s">
        <v>275</v>
      </c>
      <c r="M461" t="s">
        <v>275</v>
      </c>
      <c r="N461" t="s">
        <v>275</v>
      </c>
      <c r="O461" t="s">
        <v>275</v>
      </c>
      <c r="P461" t="s">
        <v>275</v>
      </c>
      <c r="Q461" t="s">
        <v>275</v>
      </c>
      <c r="R461" t="s">
        <v>275</v>
      </c>
      <c r="S461" t="s">
        <v>275</v>
      </c>
      <c r="T461" t="s">
        <v>1</v>
      </c>
      <c r="U461" t="s">
        <v>275</v>
      </c>
      <c r="V461" t="s">
        <v>275</v>
      </c>
    </row>
    <row r="462" spans="1:22">
      <c r="A462">
        <v>460</v>
      </c>
      <c r="B462" t="s">
        <v>1359</v>
      </c>
      <c r="C462" t="s">
        <v>1360</v>
      </c>
      <c r="D462" t="str">
        <f>IF(VLOOKUP(C462,'Capabilities Overview'!$A$2:$A$587,1)=C462,"","Not in IOE")</f>
        <v/>
      </c>
      <c r="E462" t="s">
        <v>275</v>
      </c>
      <c r="F462" t="s">
        <v>1</v>
      </c>
      <c r="G462" t="s">
        <v>1</v>
      </c>
      <c r="H462" t="s">
        <v>1</v>
      </c>
      <c r="I462" t="s">
        <v>1</v>
      </c>
      <c r="J462" t="s">
        <v>1</v>
      </c>
      <c r="K462" t="s">
        <v>1</v>
      </c>
      <c r="L462" t="s">
        <v>275</v>
      </c>
      <c r="M462" t="s">
        <v>275</v>
      </c>
      <c r="N462" t="s">
        <v>275</v>
      </c>
      <c r="O462" t="s">
        <v>275</v>
      </c>
      <c r="P462" t="s">
        <v>275</v>
      </c>
      <c r="Q462" t="s">
        <v>275</v>
      </c>
      <c r="R462" t="s">
        <v>1</v>
      </c>
      <c r="S462" t="s">
        <v>275</v>
      </c>
      <c r="T462" t="s">
        <v>1</v>
      </c>
      <c r="U462" t="s">
        <v>275</v>
      </c>
      <c r="V462" t="s">
        <v>275</v>
      </c>
    </row>
    <row r="463" spans="1:22">
      <c r="A463">
        <v>461</v>
      </c>
      <c r="B463" t="s">
        <v>1361</v>
      </c>
      <c r="C463" t="s">
        <v>1362</v>
      </c>
      <c r="D463" t="str">
        <f>IF(VLOOKUP(C463,'Capabilities Overview'!$A$2:$A$587,1)=C463,"","Not in IOE")</f>
        <v/>
      </c>
      <c r="E463" t="s">
        <v>1</v>
      </c>
      <c r="F463" t="s">
        <v>1</v>
      </c>
      <c r="G463" t="s">
        <v>1</v>
      </c>
      <c r="H463" t="s">
        <v>1</v>
      </c>
      <c r="I463" t="s">
        <v>1</v>
      </c>
      <c r="J463" t="s">
        <v>1</v>
      </c>
      <c r="K463" t="s">
        <v>1</v>
      </c>
      <c r="L463" t="s">
        <v>1</v>
      </c>
      <c r="M463" t="s">
        <v>1</v>
      </c>
      <c r="N463" t="s">
        <v>1</v>
      </c>
      <c r="O463" t="s">
        <v>275</v>
      </c>
      <c r="P463" t="s">
        <v>275</v>
      </c>
      <c r="Q463" t="s">
        <v>275</v>
      </c>
      <c r="R463" t="s">
        <v>275</v>
      </c>
      <c r="S463" t="s">
        <v>275</v>
      </c>
      <c r="T463" t="s">
        <v>1</v>
      </c>
      <c r="U463" t="s">
        <v>275</v>
      </c>
      <c r="V463" t="s">
        <v>275</v>
      </c>
    </row>
    <row r="464" spans="1:22">
      <c r="A464">
        <v>462</v>
      </c>
      <c r="B464" t="s">
        <v>1363</v>
      </c>
      <c r="C464" t="s">
        <v>1364</v>
      </c>
      <c r="D464" t="str">
        <f>IF(VLOOKUP(C464,'Capabilities Overview'!$A$2:$A$587,1)=C464,"","Not in IOE")</f>
        <v/>
      </c>
      <c r="E464" t="s">
        <v>1</v>
      </c>
      <c r="F464" t="s">
        <v>1</v>
      </c>
      <c r="G464" t="s">
        <v>275</v>
      </c>
      <c r="H464" t="s">
        <v>1</v>
      </c>
      <c r="I464" t="s">
        <v>1</v>
      </c>
      <c r="J464" t="s">
        <v>1</v>
      </c>
      <c r="K464" t="s">
        <v>1</v>
      </c>
      <c r="L464" t="s">
        <v>275</v>
      </c>
      <c r="M464" t="s">
        <v>275</v>
      </c>
      <c r="N464" t="s">
        <v>275</v>
      </c>
      <c r="O464" t="s">
        <v>275</v>
      </c>
      <c r="P464" t="s">
        <v>275</v>
      </c>
      <c r="Q464" t="s">
        <v>275</v>
      </c>
      <c r="R464" t="s">
        <v>275</v>
      </c>
      <c r="S464" t="s">
        <v>275</v>
      </c>
      <c r="T464" t="s">
        <v>1</v>
      </c>
      <c r="U464" t="s">
        <v>275</v>
      </c>
      <c r="V464" t="s">
        <v>275</v>
      </c>
    </row>
    <row r="465" spans="1:22">
      <c r="A465">
        <v>463</v>
      </c>
      <c r="B465" t="s">
        <v>1365</v>
      </c>
      <c r="C465" t="s">
        <v>1366</v>
      </c>
      <c r="D465" t="str">
        <f>IF(VLOOKUP(C465,'Capabilities Overview'!$A$2:$A$587,1)=C465,"","Not in IOE")</f>
        <v/>
      </c>
      <c r="E465" t="s">
        <v>1</v>
      </c>
      <c r="F465" t="s">
        <v>1</v>
      </c>
      <c r="G465" t="s">
        <v>275</v>
      </c>
      <c r="H465" t="s">
        <v>1</v>
      </c>
      <c r="I465" t="s">
        <v>1</v>
      </c>
      <c r="J465" t="s">
        <v>1</v>
      </c>
      <c r="K465" t="s">
        <v>1</v>
      </c>
      <c r="L465" t="s">
        <v>275</v>
      </c>
      <c r="M465" t="s">
        <v>275</v>
      </c>
      <c r="N465" t="s">
        <v>275</v>
      </c>
      <c r="O465" t="s">
        <v>275</v>
      </c>
      <c r="P465" t="s">
        <v>275</v>
      </c>
      <c r="Q465" t="s">
        <v>275</v>
      </c>
      <c r="R465" t="s">
        <v>275</v>
      </c>
      <c r="S465" t="s">
        <v>275</v>
      </c>
      <c r="T465" t="s">
        <v>1</v>
      </c>
      <c r="U465" t="s">
        <v>275</v>
      </c>
      <c r="V465" t="s">
        <v>275</v>
      </c>
    </row>
    <row r="466" spans="1:22">
      <c r="A466">
        <v>464</v>
      </c>
      <c r="B466" t="s">
        <v>1367</v>
      </c>
      <c r="C466" t="s">
        <v>1368</v>
      </c>
      <c r="D466" t="str">
        <f>IF(VLOOKUP(C466,'Capabilities Overview'!$A$2:$A$587,1)=C466,"","Not in IOE")</f>
        <v/>
      </c>
      <c r="E466" t="s">
        <v>1</v>
      </c>
      <c r="F466" t="s">
        <v>1</v>
      </c>
      <c r="G466" t="s">
        <v>275</v>
      </c>
      <c r="H466" t="s">
        <v>275</v>
      </c>
      <c r="I466" t="s">
        <v>275</v>
      </c>
      <c r="J466" t="s">
        <v>275</v>
      </c>
      <c r="K466" t="s">
        <v>275</v>
      </c>
      <c r="L466" t="s">
        <v>1</v>
      </c>
      <c r="M466" t="s">
        <v>1</v>
      </c>
      <c r="N466" t="s">
        <v>1</v>
      </c>
      <c r="O466" t="s">
        <v>275</v>
      </c>
      <c r="P466" t="s">
        <v>275</v>
      </c>
      <c r="Q466" t="s">
        <v>275</v>
      </c>
      <c r="R466" t="s">
        <v>275</v>
      </c>
      <c r="S466" t="s">
        <v>275</v>
      </c>
      <c r="T466" t="s">
        <v>275</v>
      </c>
      <c r="U466" t="s">
        <v>275</v>
      </c>
      <c r="V466" t="s">
        <v>275</v>
      </c>
    </row>
    <row r="467" spans="1:22">
      <c r="A467">
        <v>465</v>
      </c>
      <c r="B467" t="s">
        <v>1369</v>
      </c>
      <c r="C467" t="s">
        <v>1370</v>
      </c>
      <c r="D467" t="str">
        <f>IF(VLOOKUP(C467,'Capabilities Overview'!$A$2:$A$587,1)=C467,"","Not in IOE")</f>
        <v/>
      </c>
      <c r="E467" t="s">
        <v>1</v>
      </c>
      <c r="F467" t="s">
        <v>1</v>
      </c>
      <c r="G467" t="s">
        <v>275</v>
      </c>
      <c r="H467" t="s">
        <v>275</v>
      </c>
      <c r="I467" t="s">
        <v>275</v>
      </c>
      <c r="J467" t="s">
        <v>275</v>
      </c>
      <c r="K467" t="s">
        <v>275</v>
      </c>
      <c r="L467" t="s">
        <v>1</v>
      </c>
      <c r="M467" t="s">
        <v>1</v>
      </c>
      <c r="N467" t="s">
        <v>1</v>
      </c>
      <c r="O467" t="s">
        <v>275</v>
      </c>
      <c r="P467" t="s">
        <v>275</v>
      </c>
      <c r="Q467" t="s">
        <v>275</v>
      </c>
      <c r="R467" t="s">
        <v>275</v>
      </c>
      <c r="S467" t="s">
        <v>275</v>
      </c>
      <c r="T467" t="s">
        <v>275</v>
      </c>
      <c r="U467" t="s">
        <v>275</v>
      </c>
      <c r="V467" t="s">
        <v>275</v>
      </c>
    </row>
    <row r="468" spans="1:22">
      <c r="A468">
        <v>466</v>
      </c>
      <c r="B468" t="s">
        <v>1371</v>
      </c>
      <c r="C468" t="s">
        <v>1372</v>
      </c>
      <c r="D468" t="str">
        <f>IF(VLOOKUP(C468,'Capabilities Overview'!$A$2:$A$587,1)=C468,"","Not in IOE")</f>
        <v/>
      </c>
      <c r="E468" t="s">
        <v>1</v>
      </c>
      <c r="F468" t="s">
        <v>1</v>
      </c>
      <c r="G468" t="s">
        <v>1</v>
      </c>
      <c r="H468" t="s">
        <v>1</v>
      </c>
      <c r="I468" t="s">
        <v>1</v>
      </c>
      <c r="J468" t="s">
        <v>1</v>
      </c>
      <c r="K468" t="s">
        <v>1</v>
      </c>
      <c r="L468" t="s">
        <v>1</v>
      </c>
      <c r="M468" t="s">
        <v>1</v>
      </c>
      <c r="N468" t="s">
        <v>1</v>
      </c>
      <c r="O468" t="s">
        <v>275</v>
      </c>
      <c r="P468" t="s">
        <v>275</v>
      </c>
      <c r="Q468" t="s">
        <v>275</v>
      </c>
      <c r="R468" t="s">
        <v>275</v>
      </c>
      <c r="S468" t="s">
        <v>275</v>
      </c>
      <c r="T468" t="s">
        <v>1</v>
      </c>
      <c r="U468" t="s">
        <v>275</v>
      </c>
      <c r="V468" t="s">
        <v>275</v>
      </c>
    </row>
    <row r="469" spans="1:22">
      <c r="A469">
        <v>467</v>
      </c>
      <c r="B469" t="s">
        <v>1373</v>
      </c>
      <c r="C469" t="s">
        <v>1374</v>
      </c>
      <c r="D469" t="str">
        <f>IF(VLOOKUP(C469,'Capabilities Overview'!$A$2:$A$587,1)=C469,"","Not in IOE")</f>
        <v/>
      </c>
      <c r="E469" t="s">
        <v>1</v>
      </c>
      <c r="F469" t="s">
        <v>1</v>
      </c>
      <c r="G469" t="s">
        <v>275</v>
      </c>
      <c r="H469" t="s">
        <v>1</v>
      </c>
      <c r="I469" t="s">
        <v>1</v>
      </c>
      <c r="J469" t="s">
        <v>1</v>
      </c>
      <c r="K469" t="s">
        <v>1</v>
      </c>
      <c r="L469" t="s">
        <v>275</v>
      </c>
      <c r="M469" t="s">
        <v>275</v>
      </c>
      <c r="N469" t="s">
        <v>275</v>
      </c>
      <c r="O469" t="s">
        <v>275</v>
      </c>
      <c r="P469" t="s">
        <v>275</v>
      </c>
      <c r="Q469" t="s">
        <v>275</v>
      </c>
      <c r="R469" t="s">
        <v>275</v>
      </c>
      <c r="S469" t="s">
        <v>275</v>
      </c>
      <c r="T469" t="s">
        <v>1</v>
      </c>
      <c r="U469" t="s">
        <v>275</v>
      </c>
      <c r="V469" t="s">
        <v>275</v>
      </c>
    </row>
    <row r="470" spans="1:22">
      <c r="A470">
        <v>468</v>
      </c>
      <c r="B470" t="s">
        <v>1375</v>
      </c>
      <c r="C470" t="s">
        <v>1376</v>
      </c>
      <c r="D470" t="str">
        <f>IF(VLOOKUP(C470,'Capabilities Overview'!$A$2:$A$587,1)=C470,"","Not in IOE")</f>
        <v/>
      </c>
      <c r="E470" t="s">
        <v>1</v>
      </c>
      <c r="F470" t="s">
        <v>275</v>
      </c>
      <c r="G470" t="s">
        <v>275</v>
      </c>
      <c r="H470" t="s">
        <v>275</v>
      </c>
      <c r="I470" t="s">
        <v>275</v>
      </c>
      <c r="J470" t="s">
        <v>275</v>
      </c>
      <c r="K470" t="s">
        <v>275</v>
      </c>
      <c r="L470" t="s">
        <v>1</v>
      </c>
      <c r="M470" t="s">
        <v>1</v>
      </c>
      <c r="N470" t="s">
        <v>275</v>
      </c>
      <c r="O470" t="s">
        <v>275</v>
      </c>
      <c r="P470" t="s">
        <v>275</v>
      </c>
      <c r="Q470" t="s">
        <v>275</v>
      </c>
      <c r="R470" t="s">
        <v>275</v>
      </c>
      <c r="S470" t="s">
        <v>275</v>
      </c>
      <c r="T470" t="s">
        <v>275</v>
      </c>
      <c r="U470" t="s">
        <v>275</v>
      </c>
      <c r="V470" t="s">
        <v>275</v>
      </c>
    </row>
    <row r="471" spans="1:22">
      <c r="A471">
        <v>469</v>
      </c>
      <c r="B471" t="s">
        <v>1377</v>
      </c>
      <c r="C471" t="s">
        <v>1378</v>
      </c>
      <c r="D471" t="str">
        <f>IF(VLOOKUP(C471,'Capabilities Overview'!$A$2:$A$587,1)=C471,"","Not in IOE")</f>
        <v/>
      </c>
      <c r="E471" t="s">
        <v>1</v>
      </c>
      <c r="F471" t="s">
        <v>1</v>
      </c>
      <c r="G471" t="s">
        <v>275</v>
      </c>
      <c r="H471" t="s">
        <v>275</v>
      </c>
      <c r="I471" t="s">
        <v>1</v>
      </c>
      <c r="J471" t="s">
        <v>1</v>
      </c>
      <c r="K471" t="s">
        <v>275</v>
      </c>
      <c r="L471" t="s">
        <v>275</v>
      </c>
      <c r="M471" t="s">
        <v>275</v>
      </c>
      <c r="N471" t="s">
        <v>275</v>
      </c>
      <c r="O471" t="s">
        <v>275</v>
      </c>
      <c r="P471" t="s">
        <v>275</v>
      </c>
      <c r="Q471" t="s">
        <v>275</v>
      </c>
      <c r="R471" t="s">
        <v>275</v>
      </c>
      <c r="S471" t="s">
        <v>275</v>
      </c>
      <c r="T471" t="s">
        <v>275</v>
      </c>
      <c r="U471" t="s">
        <v>275</v>
      </c>
      <c r="V471" t="s">
        <v>275</v>
      </c>
    </row>
    <row r="472" spans="1:22">
      <c r="A472">
        <v>470</v>
      </c>
      <c r="B472" t="s">
        <v>1379</v>
      </c>
      <c r="C472" t="s">
        <v>1380</v>
      </c>
      <c r="D472" t="str">
        <f>IF(VLOOKUP(C472,'Capabilities Overview'!$A$2:$A$587,1)=C472,"","Not in IOE")</f>
        <v/>
      </c>
      <c r="E472" t="s">
        <v>1</v>
      </c>
      <c r="F472" t="s">
        <v>275</v>
      </c>
      <c r="G472" t="s">
        <v>275</v>
      </c>
      <c r="H472" t="s">
        <v>275</v>
      </c>
      <c r="I472" t="s">
        <v>275</v>
      </c>
      <c r="J472" t="s">
        <v>275</v>
      </c>
      <c r="K472" t="s">
        <v>275</v>
      </c>
      <c r="L472" t="s">
        <v>275</v>
      </c>
      <c r="M472" t="s">
        <v>275</v>
      </c>
      <c r="N472" t="s">
        <v>275</v>
      </c>
      <c r="O472" t="s">
        <v>275</v>
      </c>
      <c r="P472" t="s">
        <v>275</v>
      </c>
      <c r="Q472" t="s">
        <v>275</v>
      </c>
      <c r="R472" t="s">
        <v>275</v>
      </c>
      <c r="S472" t="s">
        <v>275</v>
      </c>
      <c r="T472" t="s">
        <v>275</v>
      </c>
      <c r="U472" t="s">
        <v>275</v>
      </c>
      <c r="V472" t="s">
        <v>275</v>
      </c>
    </row>
    <row r="473" spans="1:22">
      <c r="A473">
        <v>471</v>
      </c>
      <c r="B473" t="s">
        <v>1381</v>
      </c>
      <c r="C473" t="s">
        <v>1382</v>
      </c>
      <c r="D473" t="str">
        <f>IF(VLOOKUP(C473,'Capabilities Overview'!$A$2:$A$587,1)=C473,"","Not in IOE")</f>
        <v/>
      </c>
      <c r="E473" t="s">
        <v>275</v>
      </c>
      <c r="F473" t="s">
        <v>275</v>
      </c>
      <c r="G473" t="s">
        <v>275</v>
      </c>
      <c r="H473" t="s">
        <v>275</v>
      </c>
      <c r="I473" t="s">
        <v>275</v>
      </c>
      <c r="J473" t="s">
        <v>275</v>
      </c>
      <c r="K473" t="s">
        <v>275</v>
      </c>
      <c r="L473" t="s">
        <v>275</v>
      </c>
      <c r="M473" t="s">
        <v>275</v>
      </c>
      <c r="N473" t="s">
        <v>275</v>
      </c>
      <c r="O473" t="s">
        <v>275</v>
      </c>
      <c r="P473" t="s">
        <v>275</v>
      </c>
      <c r="Q473" t="s">
        <v>275</v>
      </c>
      <c r="R473" t="s">
        <v>275</v>
      </c>
      <c r="S473" t="s">
        <v>275</v>
      </c>
      <c r="T473" t="s">
        <v>275</v>
      </c>
      <c r="U473" t="s">
        <v>275</v>
      </c>
      <c r="V473" t="s">
        <v>275</v>
      </c>
    </row>
    <row r="474" spans="1:22">
      <c r="A474">
        <v>472</v>
      </c>
      <c r="B474" t="s">
        <v>1383</v>
      </c>
      <c r="C474" t="s">
        <v>1384</v>
      </c>
      <c r="D474" t="str">
        <f>IF(VLOOKUP(C474,'Capabilities Overview'!$A$2:$A$587,1)=C474,"","Not in IOE")</f>
        <v/>
      </c>
      <c r="E474" t="s">
        <v>275</v>
      </c>
      <c r="F474" t="s">
        <v>275</v>
      </c>
      <c r="G474" t="s">
        <v>275</v>
      </c>
      <c r="H474" t="s">
        <v>275</v>
      </c>
      <c r="I474" t="s">
        <v>275</v>
      </c>
      <c r="J474" t="s">
        <v>275</v>
      </c>
      <c r="K474" t="s">
        <v>275</v>
      </c>
      <c r="L474" t="s">
        <v>275</v>
      </c>
      <c r="M474" t="s">
        <v>275</v>
      </c>
      <c r="N474" t="s">
        <v>275</v>
      </c>
      <c r="O474" t="s">
        <v>275</v>
      </c>
      <c r="P474" t="s">
        <v>275</v>
      </c>
      <c r="Q474" t="s">
        <v>275</v>
      </c>
      <c r="R474" t="s">
        <v>275</v>
      </c>
      <c r="S474" t="s">
        <v>275</v>
      </c>
      <c r="T474" t="s">
        <v>275</v>
      </c>
      <c r="U474" t="s">
        <v>275</v>
      </c>
      <c r="V474" t="s">
        <v>275</v>
      </c>
    </row>
    <row r="475" spans="1:22">
      <c r="A475">
        <v>473</v>
      </c>
      <c r="B475" t="s">
        <v>1385</v>
      </c>
      <c r="C475" t="s">
        <v>1386</v>
      </c>
      <c r="D475" t="str">
        <f>IF(VLOOKUP(C475,'Capabilities Overview'!$A$2:$A$587,1)=C475,"","Not in IOE")</f>
        <v/>
      </c>
      <c r="E475" t="s">
        <v>1</v>
      </c>
      <c r="F475" t="s">
        <v>1</v>
      </c>
      <c r="G475" t="s">
        <v>275</v>
      </c>
      <c r="H475" t="s">
        <v>41</v>
      </c>
      <c r="I475" t="s">
        <v>1</v>
      </c>
      <c r="J475" t="s">
        <v>1</v>
      </c>
      <c r="K475" t="s">
        <v>1</v>
      </c>
      <c r="L475" t="s">
        <v>275</v>
      </c>
      <c r="M475" t="s">
        <v>275</v>
      </c>
      <c r="N475" t="s">
        <v>275</v>
      </c>
      <c r="O475" t="s">
        <v>275</v>
      </c>
      <c r="P475" t="s">
        <v>275</v>
      </c>
      <c r="Q475" t="s">
        <v>275</v>
      </c>
      <c r="R475" t="s">
        <v>275</v>
      </c>
      <c r="S475" t="s">
        <v>275</v>
      </c>
      <c r="T475" t="s">
        <v>1</v>
      </c>
      <c r="U475" t="s">
        <v>275</v>
      </c>
      <c r="V475" t="s">
        <v>275</v>
      </c>
    </row>
    <row r="476" spans="1:22">
      <c r="A476">
        <v>474</v>
      </c>
      <c r="B476" t="s">
        <v>1387</v>
      </c>
      <c r="C476" t="s">
        <v>1388</v>
      </c>
      <c r="D476" t="str">
        <f>IF(VLOOKUP(C476,'Capabilities Overview'!$A$2:$A$587,1)=C476,"","Not in IOE")</f>
        <v/>
      </c>
      <c r="E476" t="s">
        <v>1</v>
      </c>
      <c r="F476" t="s">
        <v>275</v>
      </c>
      <c r="G476" t="s">
        <v>275</v>
      </c>
      <c r="H476" t="s">
        <v>275</v>
      </c>
      <c r="I476" t="s">
        <v>275</v>
      </c>
      <c r="J476" t="s">
        <v>275</v>
      </c>
      <c r="K476" t="s">
        <v>275</v>
      </c>
      <c r="L476" t="s">
        <v>275</v>
      </c>
      <c r="M476" t="s">
        <v>275</v>
      </c>
      <c r="N476" t="s">
        <v>275</v>
      </c>
      <c r="O476" t="s">
        <v>275</v>
      </c>
      <c r="P476" t="s">
        <v>275</v>
      </c>
      <c r="Q476" t="s">
        <v>275</v>
      </c>
      <c r="R476" t="s">
        <v>275</v>
      </c>
      <c r="S476" t="s">
        <v>275</v>
      </c>
      <c r="T476" t="s">
        <v>275</v>
      </c>
      <c r="U476" t="s">
        <v>275</v>
      </c>
      <c r="V476" t="s">
        <v>275</v>
      </c>
    </row>
    <row r="477" spans="1:22">
      <c r="A477">
        <v>475</v>
      </c>
      <c r="B477" t="s">
        <v>1389</v>
      </c>
      <c r="C477" t="s">
        <v>1390</v>
      </c>
      <c r="D477" t="str">
        <f>IF(VLOOKUP(C477,'Capabilities Overview'!$A$2:$A$587,1)=C477,"","Not in IOE")</f>
        <v/>
      </c>
      <c r="E477" t="s">
        <v>1</v>
      </c>
      <c r="F477" t="s">
        <v>1</v>
      </c>
      <c r="G477" t="s">
        <v>275</v>
      </c>
      <c r="H477" t="s">
        <v>275</v>
      </c>
      <c r="I477" t="s">
        <v>1</v>
      </c>
      <c r="J477" t="s">
        <v>1</v>
      </c>
      <c r="K477" t="s">
        <v>275</v>
      </c>
      <c r="L477" t="s">
        <v>275</v>
      </c>
      <c r="M477" t="s">
        <v>275</v>
      </c>
      <c r="N477" t="s">
        <v>275</v>
      </c>
      <c r="O477" t="s">
        <v>275</v>
      </c>
      <c r="P477" t="s">
        <v>275</v>
      </c>
      <c r="Q477" t="s">
        <v>275</v>
      </c>
      <c r="R477" t="s">
        <v>275</v>
      </c>
      <c r="S477" t="s">
        <v>275</v>
      </c>
      <c r="T477" t="s">
        <v>275</v>
      </c>
      <c r="U477" t="s">
        <v>275</v>
      </c>
      <c r="V477" t="s">
        <v>275</v>
      </c>
    </row>
    <row r="478" spans="1:22">
      <c r="A478">
        <v>476</v>
      </c>
      <c r="B478" t="s">
        <v>1391</v>
      </c>
      <c r="C478" t="s">
        <v>1392</v>
      </c>
      <c r="D478" t="str">
        <f>IF(VLOOKUP(C478,'Capabilities Overview'!$A$2:$A$587,1)=C478,"","Not in IOE")</f>
        <v/>
      </c>
      <c r="E478" t="s">
        <v>1</v>
      </c>
      <c r="F478" t="s">
        <v>1</v>
      </c>
      <c r="G478" t="s">
        <v>275</v>
      </c>
      <c r="H478" t="s">
        <v>275</v>
      </c>
      <c r="I478" t="s">
        <v>1</v>
      </c>
      <c r="J478" t="s">
        <v>1</v>
      </c>
      <c r="K478" t="s">
        <v>275</v>
      </c>
      <c r="L478" t="s">
        <v>275</v>
      </c>
      <c r="M478" t="s">
        <v>275</v>
      </c>
      <c r="N478" t="s">
        <v>275</v>
      </c>
      <c r="O478" t="s">
        <v>275</v>
      </c>
      <c r="P478" t="s">
        <v>275</v>
      </c>
      <c r="Q478" t="s">
        <v>275</v>
      </c>
      <c r="R478" t="s">
        <v>275</v>
      </c>
      <c r="S478" t="s">
        <v>275</v>
      </c>
      <c r="T478" t="s">
        <v>275</v>
      </c>
      <c r="U478" t="s">
        <v>275</v>
      </c>
      <c r="V478" t="s">
        <v>275</v>
      </c>
    </row>
    <row r="479" spans="1:22">
      <c r="A479">
        <v>477</v>
      </c>
      <c r="B479" t="s">
        <v>1393</v>
      </c>
      <c r="C479" t="s">
        <v>1394</v>
      </c>
      <c r="D479" t="str">
        <f>IF(VLOOKUP(C479,'Capabilities Overview'!$A$2:$A$587,1)=C479,"","Not in IOE")</f>
        <v/>
      </c>
      <c r="E479" t="s">
        <v>1</v>
      </c>
      <c r="F479" t="s">
        <v>1</v>
      </c>
      <c r="G479" t="s">
        <v>275</v>
      </c>
      <c r="H479" t="s">
        <v>1</v>
      </c>
      <c r="I479" t="s">
        <v>1</v>
      </c>
      <c r="J479" t="s">
        <v>1</v>
      </c>
      <c r="K479" t="s">
        <v>1</v>
      </c>
      <c r="L479" t="s">
        <v>275</v>
      </c>
      <c r="M479" t="s">
        <v>275</v>
      </c>
      <c r="N479" t="s">
        <v>275</v>
      </c>
      <c r="O479" t="s">
        <v>275</v>
      </c>
      <c r="P479" t="s">
        <v>275</v>
      </c>
      <c r="Q479" t="s">
        <v>275</v>
      </c>
      <c r="R479" t="s">
        <v>275</v>
      </c>
      <c r="S479" t="s">
        <v>275</v>
      </c>
      <c r="T479" t="s">
        <v>1</v>
      </c>
      <c r="U479" t="s">
        <v>275</v>
      </c>
      <c r="V479" t="s">
        <v>275</v>
      </c>
    </row>
    <row r="480" spans="1:22">
      <c r="A480">
        <v>478</v>
      </c>
      <c r="B480" t="s">
        <v>1395</v>
      </c>
      <c r="C480" t="s">
        <v>1396</v>
      </c>
      <c r="D480" t="str">
        <f>IF(VLOOKUP(C480,'Capabilities Overview'!$A$2:$A$587,1)=C480,"","Not in IOE")</f>
        <v/>
      </c>
      <c r="E480" t="s">
        <v>1</v>
      </c>
      <c r="F480" t="s">
        <v>275</v>
      </c>
      <c r="G480" t="s">
        <v>275</v>
      </c>
      <c r="H480" t="s">
        <v>41</v>
      </c>
      <c r="I480" t="s">
        <v>1</v>
      </c>
      <c r="J480" t="s">
        <v>1</v>
      </c>
      <c r="K480" t="s">
        <v>275</v>
      </c>
      <c r="L480" t="s">
        <v>275</v>
      </c>
      <c r="M480" t="s">
        <v>275</v>
      </c>
      <c r="N480" t="s">
        <v>275</v>
      </c>
      <c r="O480" t="s">
        <v>275</v>
      </c>
      <c r="P480" t="s">
        <v>275</v>
      </c>
      <c r="Q480" t="s">
        <v>275</v>
      </c>
      <c r="R480" t="s">
        <v>275</v>
      </c>
      <c r="S480" t="s">
        <v>275</v>
      </c>
      <c r="T480" t="s">
        <v>275</v>
      </c>
      <c r="U480" t="s">
        <v>275</v>
      </c>
      <c r="V480" t="s">
        <v>275</v>
      </c>
    </row>
    <row r="481" spans="1:22">
      <c r="A481">
        <v>479</v>
      </c>
      <c r="B481" t="s">
        <v>1397</v>
      </c>
      <c r="C481" t="s">
        <v>1398</v>
      </c>
      <c r="D481" t="str">
        <f>IF(VLOOKUP(C481,'Capabilities Overview'!$A$2:$A$587,1)=C481,"","Not in IOE")</f>
        <v/>
      </c>
      <c r="E481" t="s">
        <v>1</v>
      </c>
      <c r="F481" t="s">
        <v>275</v>
      </c>
      <c r="G481" t="s">
        <v>275</v>
      </c>
      <c r="H481" t="s">
        <v>275</v>
      </c>
      <c r="I481" t="s">
        <v>275</v>
      </c>
      <c r="J481" t="s">
        <v>275</v>
      </c>
      <c r="K481" t="s">
        <v>275</v>
      </c>
      <c r="L481" t="s">
        <v>1</v>
      </c>
      <c r="M481" t="s">
        <v>1</v>
      </c>
      <c r="N481" t="s">
        <v>1</v>
      </c>
      <c r="O481" t="s">
        <v>275</v>
      </c>
      <c r="P481" t="s">
        <v>275</v>
      </c>
      <c r="Q481" t="s">
        <v>275</v>
      </c>
      <c r="R481" t="s">
        <v>275</v>
      </c>
      <c r="S481" t="s">
        <v>275</v>
      </c>
      <c r="T481" t="s">
        <v>275</v>
      </c>
      <c r="U481" t="s">
        <v>275</v>
      </c>
      <c r="V481" t="s">
        <v>275</v>
      </c>
    </row>
    <row r="482" spans="1:22">
      <c r="A482">
        <v>480</v>
      </c>
      <c r="B482" t="s">
        <v>1399</v>
      </c>
      <c r="C482" t="s">
        <v>1400</v>
      </c>
      <c r="D482" t="str">
        <f>IF(VLOOKUP(C482,'Capabilities Overview'!$A$2:$A$587,1)=C482,"","Not in IOE")</f>
        <v/>
      </c>
      <c r="E482" t="s">
        <v>1</v>
      </c>
      <c r="F482" t="s">
        <v>1</v>
      </c>
      <c r="G482" t="s">
        <v>275</v>
      </c>
      <c r="H482" t="s">
        <v>1</v>
      </c>
      <c r="I482" t="s">
        <v>1</v>
      </c>
      <c r="J482" t="s">
        <v>1</v>
      </c>
      <c r="K482" t="s">
        <v>1</v>
      </c>
      <c r="L482" t="s">
        <v>1</v>
      </c>
      <c r="M482" t="s">
        <v>1</v>
      </c>
      <c r="N482" t="s">
        <v>1</v>
      </c>
      <c r="O482" t="s">
        <v>1</v>
      </c>
      <c r="P482" t="s">
        <v>275</v>
      </c>
      <c r="Q482" t="s">
        <v>275</v>
      </c>
      <c r="R482" t="s">
        <v>275</v>
      </c>
      <c r="S482" t="s">
        <v>275</v>
      </c>
      <c r="T482" t="s">
        <v>1</v>
      </c>
      <c r="U482" t="s">
        <v>275</v>
      </c>
      <c r="V482" t="s">
        <v>275</v>
      </c>
    </row>
    <row r="483" spans="1:22">
      <c r="A483">
        <v>481</v>
      </c>
      <c r="B483" t="s">
        <v>1401</v>
      </c>
      <c r="C483" t="s">
        <v>1402</v>
      </c>
      <c r="D483" t="str">
        <f>IF(VLOOKUP(C483,'Capabilities Overview'!$A$2:$A$587,1)=C483,"","Not in IOE")</f>
        <v/>
      </c>
      <c r="E483" t="s">
        <v>1</v>
      </c>
      <c r="F483" t="s">
        <v>1</v>
      </c>
      <c r="G483" t="s">
        <v>275</v>
      </c>
      <c r="H483" t="s">
        <v>1</v>
      </c>
      <c r="I483" t="s">
        <v>1</v>
      </c>
      <c r="J483" t="s">
        <v>1</v>
      </c>
      <c r="K483" t="s">
        <v>1</v>
      </c>
      <c r="L483" t="s">
        <v>275</v>
      </c>
      <c r="M483" t="s">
        <v>275</v>
      </c>
      <c r="N483" t="s">
        <v>275</v>
      </c>
      <c r="O483" t="s">
        <v>275</v>
      </c>
      <c r="P483" t="s">
        <v>275</v>
      </c>
      <c r="Q483" t="s">
        <v>275</v>
      </c>
      <c r="R483" t="s">
        <v>275</v>
      </c>
      <c r="S483" t="s">
        <v>275</v>
      </c>
      <c r="T483" t="s">
        <v>1</v>
      </c>
      <c r="U483" t="s">
        <v>275</v>
      </c>
      <c r="V483" t="s">
        <v>275</v>
      </c>
    </row>
    <row r="484" spans="1:22">
      <c r="A484">
        <v>482</v>
      </c>
      <c r="B484" t="s">
        <v>166</v>
      </c>
      <c r="C484" t="s">
        <v>167</v>
      </c>
      <c r="D484" t="str">
        <f>IF(VLOOKUP(C484,'Capabilities Overview'!$A$2:$A$587,1)=C484,"","Not in IOE")</f>
        <v/>
      </c>
      <c r="E484" t="s">
        <v>1</v>
      </c>
      <c r="F484" t="s">
        <v>275</v>
      </c>
      <c r="G484" t="s">
        <v>275</v>
      </c>
      <c r="H484" t="s">
        <v>275</v>
      </c>
      <c r="I484" t="s">
        <v>275</v>
      </c>
      <c r="J484" t="s">
        <v>275</v>
      </c>
      <c r="K484" t="s">
        <v>275</v>
      </c>
      <c r="L484" t="s">
        <v>275</v>
      </c>
      <c r="M484" t="s">
        <v>275</v>
      </c>
      <c r="N484" t="s">
        <v>275</v>
      </c>
      <c r="O484" t="s">
        <v>1</v>
      </c>
      <c r="P484" t="s">
        <v>1</v>
      </c>
      <c r="Q484" t="s">
        <v>275</v>
      </c>
      <c r="R484" t="s">
        <v>275</v>
      </c>
      <c r="S484" t="s">
        <v>275</v>
      </c>
      <c r="T484" t="s">
        <v>275</v>
      </c>
      <c r="U484" t="s">
        <v>275</v>
      </c>
      <c r="V484" t="s">
        <v>275</v>
      </c>
    </row>
    <row r="485" spans="1:22">
      <c r="A485">
        <v>483</v>
      </c>
      <c r="B485" t="s">
        <v>1403</v>
      </c>
      <c r="C485" t="s">
        <v>1404</v>
      </c>
      <c r="D485" t="str">
        <f>IF(VLOOKUP(C485,'Capabilities Overview'!$A$2:$A$587,1)=C485,"","Not in IOE")</f>
        <v/>
      </c>
      <c r="E485" t="s">
        <v>1</v>
      </c>
      <c r="F485" t="s">
        <v>41</v>
      </c>
      <c r="G485" t="s">
        <v>41</v>
      </c>
      <c r="H485" t="s">
        <v>41</v>
      </c>
      <c r="I485" t="s">
        <v>41</v>
      </c>
      <c r="J485" t="s">
        <v>41</v>
      </c>
      <c r="K485" t="s">
        <v>41</v>
      </c>
      <c r="L485" t="s">
        <v>1</v>
      </c>
      <c r="M485" t="s">
        <v>1</v>
      </c>
      <c r="N485" t="s">
        <v>1</v>
      </c>
      <c r="O485" t="s">
        <v>275</v>
      </c>
      <c r="P485" t="s">
        <v>275</v>
      </c>
      <c r="Q485" t="s">
        <v>275</v>
      </c>
      <c r="R485" t="s">
        <v>275</v>
      </c>
      <c r="S485" t="s">
        <v>275</v>
      </c>
      <c r="T485" t="s">
        <v>41</v>
      </c>
      <c r="U485" t="s">
        <v>275</v>
      </c>
      <c r="V485" t="s">
        <v>275</v>
      </c>
    </row>
    <row r="486" spans="1:22">
      <c r="A486">
        <v>484</v>
      </c>
      <c r="B486" t="s">
        <v>1405</v>
      </c>
      <c r="C486" t="s">
        <v>1406</v>
      </c>
      <c r="D486" t="str">
        <f>IF(VLOOKUP(C486,'Capabilities Overview'!$A$2:$A$587,1)=C486,"","Not in IOE")</f>
        <v/>
      </c>
      <c r="E486" t="s">
        <v>1</v>
      </c>
      <c r="F486" t="s">
        <v>41</v>
      </c>
      <c r="G486" t="s">
        <v>41</v>
      </c>
      <c r="H486" t="s">
        <v>1</v>
      </c>
      <c r="I486" t="s">
        <v>1</v>
      </c>
      <c r="J486" t="s">
        <v>1</v>
      </c>
      <c r="K486" t="s">
        <v>1</v>
      </c>
      <c r="L486" t="s">
        <v>41</v>
      </c>
      <c r="M486" t="s">
        <v>41</v>
      </c>
      <c r="N486" t="s">
        <v>41</v>
      </c>
      <c r="O486" t="s">
        <v>275</v>
      </c>
      <c r="P486" t="s">
        <v>275</v>
      </c>
      <c r="Q486" t="s">
        <v>275</v>
      </c>
      <c r="R486" t="s">
        <v>275</v>
      </c>
      <c r="S486" t="s">
        <v>275</v>
      </c>
      <c r="T486" t="s">
        <v>1</v>
      </c>
      <c r="U486" t="s">
        <v>275</v>
      </c>
      <c r="V486" t="s">
        <v>275</v>
      </c>
    </row>
    <row r="487" spans="1:22">
      <c r="A487">
        <v>485</v>
      </c>
      <c r="B487" t="s">
        <v>1407</v>
      </c>
      <c r="C487" t="s">
        <v>1408</v>
      </c>
      <c r="D487" t="str">
        <f>IF(VLOOKUP(C487,'Capabilities Overview'!$A$2:$A$587,1)=C487,"","Not in IOE")</f>
        <v/>
      </c>
      <c r="E487" t="s">
        <v>1</v>
      </c>
      <c r="F487" t="s">
        <v>1</v>
      </c>
      <c r="G487" t="s">
        <v>1</v>
      </c>
      <c r="H487" t="s">
        <v>41</v>
      </c>
      <c r="I487" t="s">
        <v>1</v>
      </c>
      <c r="J487" t="s">
        <v>1</v>
      </c>
      <c r="K487" t="s">
        <v>41</v>
      </c>
      <c r="L487" t="s">
        <v>10</v>
      </c>
      <c r="M487" t="s">
        <v>10</v>
      </c>
      <c r="N487" t="s">
        <v>10</v>
      </c>
      <c r="O487" t="s">
        <v>275</v>
      </c>
      <c r="P487" t="s">
        <v>275</v>
      </c>
      <c r="Q487" t="s">
        <v>275</v>
      </c>
      <c r="R487" t="s">
        <v>275</v>
      </c>
      <c r="S487" t="s">
        <v>275</v>
      </c>
      <c r="T487" t="s">
        <v>41</v>
      </c>
      <c r="U487" t="s">
        <v>275</v>
      </c>
      <c r="V487" t="s">
        <v>275</v>
      </c>
    </row>
    <row r="488" spans="1:22">
      <c r="A488">
        <v>486</v>
      </c>
      <c r="B488" t="s">
        <v>1409</v>
      </c>
      <c r="C488" t="s">
        <v>1410</v>
      </c>
      <c r="D488" t="str">
        <f>IF(VLOOKUP(C488,'Capabilities Overview'!$A$2:$A$587,1)=C488,"","Not in IOE")</f>
        <v/>
      </c>
      <c r="E488" t="s">
        <v>1</v>
      </c>
      <c r="F488" t="s">
        <v>1</v>
      </c>
      <c r="G488" t="s">
        <v>1</v>
      </c>
      <c r="H488" t="s">
        <v>41</v>
      </c>
      <c r="I488" t="s">
        <v>1</v>
      </c>
      <c r="J488" t="s">
        <v>1</v>
      </c>
      <c r="K488" t="s">
        <v>41</v>
      </c>
      <c r="L488" t="s">
        <v>10</v>
      </c>
      <c r="M488" t="s">
        <v>10</v>
      </c>
      <c r="N488" t="s">
        <v>10</v>
      </c>
      <c r="O488" t="s">
        <v>275</v>
      </c>
      <c r="P488" t="s">
        <v>275</v>
      </c>
      <c r="Q488" t="s">
        <v>275</v>
      </c>
      <c r="R488" t="s">
        <v>275</v>
      </c>
      <c r="S488" t="s">
        <v>275</v>
      </c>
      <c r="T488" t="s">
        <v>41</v>
      </c>
      <c r="U488" t="s">
        <v>275</v>
      </c>
      <c r="V488" t="s">
        <v>275</v>
      </c>
    </row>
    <row r="489" spans="1:22">
      <c r="A489">
        <v>487</v>
      </c>
      <c r="B489" t="s">
        <v>1411</v>
      </c>
      <c r="C489" t="s">
        <v>1412</v>
      </c>
      <c r="D489" t="str">
        <f>IF(VLOOKUP(C489,'Capabilities Overview'!$A$2:$A$587,1)=C489,"","Not in IOE")</f>
        <v/>
      </c>
      <c r="E489" t="s">
        <v>1</v>
      </c>
      <c r="F489" t="s">
        <v>1</v>
      </c>
      <c r="G489" t="s">
        <v>1</v>
      </c>
      <c r="H489" t="s">
        <v>1</v>
      </c>
      <c r="I489" t="s">
        <v>1</v>
      </c>
      <c r="J489" t="s">
        <v>1</v>
      </c>
      <c r="K489" t="s">
        <v>1</v>
      </c>
      <c r="L489" t="s">
        <v>1</v>
      </c>
      <c r="M489" t="s">
        <v>1</v>
      </c>
      <c r="N489" t="s">
        <v>1</v>
      </c>
      <c r="O489" t="s">
        <v>275</v>
      </c>
      <c r="P489" t="s">
        <v>275</v>
      </c>
      <c r="Q489" t="s">
        <v>275</v>
      </c>
      <c r="R489" t="s">
        <v>275</v>
      </c>
      <c r="S489" t="s">
        <v>275</v>
      </c>
      <c r="T489" t="s">
        <v>1</v>
      </c>
      <c r="U489" t="s">
        <v>275</v>
      </c>
      <c r="V489" t="s">
        <v>275</v>
      </c>
    </row>
    <row r="490" spans="1:22">
      <c r="A490">
        <v>488</v>
      </c>
      <c r="B490" t="s">
        <v>1413</v>
      </c>
      <c r="C490" t="s">
        <v>1414</v>
      </c>
      <c r="D490" t="str">
        <f>IF(VLOOKUP(C490,'Capabilities Overview'!$A$2:$A$587,1)=C490,"","Not in IOE")</f>
        <v/>
      </c>
      <c r="E490" t="s">
        <v>1</v>
      </c>
      <c r="F490" t="s">
        <v>1</v>
      </c>
      <c r="G490" t="s">
        <v>1</v>
      </c>
      <c r="H490" t="s">
        <v>1</v>
      </c>
      <c r="I490" t="s">
        <v>1</v>
      </c>
      <c r="J490" t="s">
        <v>1</v>
      </c>
      <c r="K490" t="s">
        <v>1</v>
      </c>
      <c r="L490" t="s">
        <v>10</v>
      </c>
      <c r="M490" t="s">
        <v>10</v>
      </c>
      <c r="N490" t="s">
        <v>10</v>
      </c>
      <c r="O490" t="s">
        <v>275</v>
      </c>
      <c r="P490" t="s">
        <v>275</v>
      </c>
      <c r="Q490" t="s">
        <v>275</v>
      </c>
      <c r="R490" t="s">
        <v>275</v>
      </c>
      <c r="S490" t="s">
        <v>275</v>
      </c>
      <c r="T490" t="s">
        <v>1</v>
      </c>
      <c r="U490" t="s">
        <v>275</v>
      </c>
      <c r="V490" t="s">
        <v>275</v>
      </c>
    </row>
    <row r="491" spans="1:22">
      <c r="A491">
        <v>489</v>
      </c>
      <c r="B491" t="s">
        <v>1415</v>
      </c>
      <c r="C491" t="s">
        <v>1416</v>
      </c>
      <c r="D491" t="str">
        <f>IF(VLOOKUP(C491,'Capabilities Overview'!$A$2:$A$587,1)=C491,"","Not in IOE")</f>
        <v/>
      </c>
      <c r="E491" t="s">
        <v>1</v>
      </c>
      <c r="F491" t="s">
        <v>1</v>
      </c>
      <c r="G491" t="s">
        <v>1</v>
      </c>
      <c r="H491" t="s">
        <v>41</v>
      </c>
      <c r="I491" t="s">
        <v>1</v>
      </c>
      <c r="J491" t="s">
        <v>1</v>
      </c>
      <c r="K491" t="s">
        <v>41</v>
      </c>
      <c r="L491" t="s">
        <v>10</v>
      </c>
      <c r="M491" t="s">
        <v>10</v>
      </c>
      <c r="N491" t="s">
        <v>10</v>
      </c>
      <c r="O491" t="s">
        <v>275</v>
      </c>
      <c r="P491" t="s">
        <v>275</v>
      </c>
      <c r="Q491" t="s">
        <v>275</v>
      </c>
      <c r="R491" t="s">
        <v>275</v>
      </c>
      <c r="S491" t="s">
        <v>275</v>
      </c>
      <c r="T491" t="s">
        <v>41</v>
      </c>
      <c r="U491" t="s">
        <v>275</v>
      </c>
      <c r="V491" t="s">
        <v>275</v>
      </c>
    </row>
    <row r="492" spans="1:22">
      <c r="A492">
        <v>490</v>
      </c>
      <c r="B492" t="s">
        <v>1417</v>
      </c>
      <c r="C492" t="s">
        <v>1418</v>
      </c>
      <c r="D492" t="str">
        <f>IF(VLOOKUP(C492,'Capabilities Overview'!$A$2:$A$587,1)=C492,"","Not in IOE")</f>
        <v/>
      </c>
      <c r="E492" t="s">
        <v>1</v>
      </c>
      <c r="F492" t="s">
        <v>1</v>
      </c>
      <c r="G492" t="s">
        <v>1</v>
      </c>
      <c r="H492" t="s">
        <v>1</v>
      </c>
      <c r="I492" t="s">
        <v>1</v>
      </c>
      <c r="J492" t="s">
        <v>1</v>
      </c>
      <c r="K492" t="s">
        <v>1</v>
      </c>
      <c r="L492" t="s">
        <v>1</v>
      </c>
      <c r="M492" t="s">
        <v>1</v>
      </c>
      <c r="N492" t="s">
        <v>1</v>
      </c>
      <c r="O492" t="s">
        <v>275</v>
      </c>
      <c r="P492" t="s">
        <v>275</v>
      </c>
      <c r="Q492" t="s">
        <v>275</v>
      </c>
      <c r="R492" t="s">
        <v>275</v>
      </c>
      <c r="S492" t="s">
        <v>275</v>
      </c>
      <c r="T492" t="s">
        <v>1</v>
      </c>
      <c r="U492" t="s">
        <v>275</v>
      </c>
      <c r="V492" t="s">
        <v>275</v>
      </c>
    </row>
    <row r="493" spans="1:22">
      <c r="A493">
        <v>491</v>
      </c>
      <c r="B493" t="s">
        <v>1419</v>
      </c>
      <c r="C493" t="s">
        <v>1420</v>
      </c>
      <c r="D493" t="str">
        <f>IF(VLOOKUP(C493,'Capabilities Overview'!$A$2:$A$587,1)=C493,"","Not in IOE")</f>
        <v/>
      </c>
      <c r="E493" t="s">
        <v>1</v>
      </c>
      <c r="F493" t="s">
        <v>1</v>
      </c>
      <c r="G493" t="s">
        <v>1</v>
      </c>
      <c r="H493" t="s">
        <v>1</v>
      </c>
      <c r="I493" t="s">
        <v>1</v>
      </c>
      <c r="J493" t="s">
        <v>1</v>
      </c>
      <c r="K493" t="s">
        <v>1</v>
      </c>
      <c r="L493" t="s">
        <v>41</v>
      </c>
      <c r="M493" t="s">
        <v>41</v>
      </c>
      <c r="N493" t="s">
        <v>41</v>
      </c>
      <c r="O493" t="s">
        <v>275</v>
      </c>
      <c r="P493" t="s">
        <v>275</v>
      </c>
      <c r="Q493" t="s">
        <v>275</v>
      </c>
      <c r="R493" t="s">
        <v>275</v>
      </c>
      <c r="S493" t="s">
        <v>275</v>
      </c>
      <c r="T493" t="s">
        <v>1</v>
      </c>
      <c r="U493" t="s">
        <v>275</v>
      </c>
      <c r="V493" t="s">
        <v>275</v>
      </c>
    </row>
    <row r="494" spans="1:22">
      <c r="A494">
        <v>492</v>
      </c>
      <c r="B494" t="s">
        <v>1421</v>
      </c>
      <c r="C494" t="s">
        <v>1422</v>
      </c>
      <c r="D494" t="str">
        <f>IF(VLOOKUP(C494,'Capabilities Overview'!$A$2:$A$587,1)=C494,"","Not in IOE")</f>
        <v/>
      </c>
      <c r="E494" t="s">
        <v>1</v>
      </c>
      <c r="F494" t="s">
        <v>275</v>
      </c>
      <c r="G494" t="s">
        <v>275</v>
      </c>
      <c r="H494" t="s">
        <v>275</v>
      </c>
      <c r="I494" t="s">
        <v>275</v>
      </c>
      <c r="J494" t="s">
        <v>275</v>
      </c>
      <c r="K494" t="s">
        <v>275</v>
      </c>
      <c r="L494" t="s">
        <v>275</v>
      </c>
      <c r="M494" t="s">
        <v>275</v>
      </c>
      <c r="N494" t="s">
        <v>275</v>
      </c>
      <c r="O494" t="s">
        <v>275</v>
      </c>
      <c r="P494" t="s">
        <v>275</v>
      </c>
      <c r="Q494" t="s">
        <v>275</v>
      </c>
      <c r="R494" t="s">
        <v>275</v>
      </c>
      <c r="S494" t="s">
        <v>275</v>
      </c>
      <c r="T494" t="s">
        <v>275</v>
      </c>
      <c r="U494" t="s">
        <v>275</v>
      </c>
      <c r="V494" t="s">
        <v>275</v>
      </c>
    </row>
    <row r="495" spans="1:22">
      <c r="A495">
        <v>493</v>
      </c>
      <c r="B495" t="s">
        <v>1423</v>
      </c>
      <c r="C495" t="s">
        <v>1424</v>
      </c>
      <c r="D495" t="str">
        <f>IF(VLOOKUP(C495,'Capabilities Overview'!$A$2:$A$587,1)=C495,"","Not in IOE")</f>
        <v/>
      </c>
      <c r="E495" t="s">
        <v>1</v>
      </c>
      <c r="F495" t="s">
        <v>1</v>
      </c>
      <c r="G495" t="s">
        <v>275</v>
      </c>
      <c r="H495" t="s">
        <v>1</v>
      </c>
      <c r="I495" t="s">
        <v>1</v>
      </c>
      <c r="J495" t="s">
        <v>1</v>
      </c>
      <c r="K495" t="s">
        <v>1</v>
      </c>
      <c r="L495" t="s">
        <v>275</v>
      </c>
      <c r="M495" t="s">
        <v>275</v>
      </c>
      <c r="N495" t="s">
        <v>275</v>
      </c>
      <c r="O495" t="s">
        <v>275</v>
      </c>
      <c r="P495" t="s">
        <v>275</v>
      </c>
      <c r="Q495" t="s">
        <v>275</v>
      </c>
      <c r="R495" t="s">
        <v>275</v>
      </c>
      <c r="S495" t="s">
        <v>275</v>
      </c>
      <c r="T495" t="s">
        <v>1</v>
      </c>
      <c r="U495" t="s">
        <v>275</v>
      </c>
      <c r="V495" t="s">
        <v>275</v>
      </c>
    </row>
    <row r="496" spans="1:22">
      <c r="A496">
        <v>494</v>
      </c>
      <c r="B496" t="s">
        <v>1425</v>
      </c>
      <c r="C496" t="s">
        <v>1426</v>
      </c>
      <c r="D496" t="str">
        <f>IF(VLOOKUP(C496,'Capabilities Overview'!$A$2:$A$587,1)=C496,"","Not in IOE")</f>
        <v/>
      </c>
      <c r="E496" t="s">
        <v>1</v>
      </c>
      <c r="F496" t="s">
        <v>1</v>
      </c>
      <c r="G496" t="s">
        <v>275</v>
      </c>
      <c r="H496" t="s">
        <v>1</v>
      </c>
      <c r="I496" t="s">
        <v>1</v>
      </c>
      <c r="J496" t="s">
        <v>1</v>
      </c>
      <c r="K496" t="s">
        <v>1</v>
      </c>
      <c r="L496" t="s">
        <v>1</v>
      </c>
      <c r="M496" t="s">
        <v>1</v>
      </c>
      <c r="N496" t="s">
        <v>275</v>
      </c>
      <c r="O496" t="s">
        <v>275</v>
      </c>
      <c r="P496" t="s">
        <v>275</v>
      </c>
      <c r="Q496" t="s">
        <v>275</v>
      </c>
      <c r="R496" t="s">
        <v>275</v>
      </c>
      <c r="S496" t="s">
        <v>275</v>
      </c>
      <c r="T496" t="s">
        <v>1</v>
      </c>
      <c r="U496" t="s">
        <v>275</v>
      </c>
      <c r="V496" t="s">
        <v>275</v>
      </c>
    </row>
    <row r="497" spans="1:22">
      <c r="A497">
        <v>495</v>
      </c>
      <c r="B497" t="s">
        <v>1427</v>
      </c>
      <c r="C497" t="s">
        <v>1428</v>
      </c>
      <c r="D497" t="str">
        <f>IF(VLOOKUP(C497,'Capabilities Overview'!$A$2:$A$587,1)=C497,"","Not in IOE")</f>
        <v/>
      </c>
      <c r="E497" t="s">
        <v>1</v>
      </c>
      <c r="F497" t="s">
        <v>275</v>
      </c>
      <c r="G497" t="s">
        <v>275</v>
      </c>
      <c r="H497" t="s">
        <v>275</v>
      </c>
      <c r="I497" t="s">
        <v>275</v>
      </c>
      <c r="J497" t="s">
        <v>275</v>
      </c>
      <c r="K497" t="s">
        <v>275</v>
      </c>
      <c r="L497" t="s">
        <v>1</v>
      </c>
      <c r="M497" t="s">
        <v>1</v>
      </c>
      <c r="N497" t="s">
        <v>275</v>
      </c>
      <c r="O497" t="s">
        <v>275</v>
      </c>
      <c r="P497" t="s">
        <v>275</v>
      </c>
      <c r="Q497" t="s">
        <v>275</v>
      </c>
      <c r="R497" t="s">
        <v>275</v>
      </c>
      <c r="S497" t="s">
        <v>275</v>
      </c>
      <c r="T497" t="s">
        <v>275</v>
      </c>
      <c r="U497" t="s">
        <v>275</v>
      </c>
      <c r="V497" t="s">
        <v>275</v>
      </c>
    </row>
    <row r="498" spans="1:22">
      <c r="A498">
        <v>496</v>
      </c>
      <c r="B498" t="s">
        <v>839</v>
      </c>
      <c r="C498" t="s">
        <v>1429</v>
      </c>
      <c r="D498" t="str">
        <f>IF(VLOOKUP(C498,'Capabilities Overview'!$A$2:$A$587,1)=C498,"","Not in IOE")</f>
        <v/>
      </c>
      <c r="E498" t="s">
        <v>1</v>
      </c>
      <c r="F498" t="s">
        <v>1</v>
      </c>
      <c r="G498" t="s">
        <v>275</v>
      </c>
      <c r="H498" t="s">
        <v>1</v>
      </c>
      <c r="I498" t="s">
        <v>1</v>
      </c>
      <c r="J498" t="s">
        <v>1</v>
      </c>
      <c r="K498" t="s">
        <v>1</v>
      </c>
      <c r="L498" t="s">
        <v>275</v>
      </c>
      <c r="M498" t="s">
        <v>1</v>
      </c>
      <c r="N498" t="s">
        <v>275</v>
      </c>
      <c r="O498" t="s">
        <v>275</v>
      </c>
      <c r="P498" t="s">
        <v>275</v>
      </c>
      <c r="Q498" t="s">
        <v>275</v>
      </c>
      <c r="R498" t="s">
        <v>275</v>
      </c>
      <c r="S498" t="s">
        <v>275</v>
      </c>
      <c r="T498" t="s">
        <v>1</v>
      </c>
      <c r="U498" t="s">
        <v>275</v>
      </c>
      <c r="V498" t="s">
        <v>275</v>
      </c>
    </row>
    <row r="499" spans="1:22">
      <c r="A499">
        <v>497</v>
      </c>
      <c r="B499" t="s">
        <v>1430</v>
      </c>
      <c r="C499" t="s">
        <v>1431</v>
      </c>
      <c r="D499" t="str">
        <f>IF(VLOOKUP(C499,'Capabilities Overview'!$A$2:$A$587,1)=C499,"","Not in IOE")</f>
        <v/>
      </c>
      <c r="E499" t="s">
        <v>1</v>
      </c>
      <c r="F499" t="s">
        <v>1</v>
      </c>
      <c r="G499" t="s">
        <v>275</v>
      </c>
      <c r="H499" t="s">
        <v>1</v>
      </c>
      <c r="I499" t="s">
        <v>275</v>
      </c>
      <c r="J499" t="s">
        <v>1</v>
      </c>
      <c r="K499" t="s">
        <v>1</v>
      </c>
      <c r="L499" t="s">
        <v>1</v>
      </c>
      <c r="M499" t="s">
        <v>275</v>
      </c>
      <c r="N499" t="s">
        <v>275</v>
      </c>
      <c r="O499" t="s">
        <v>275</v>
      </c>
      <c r="P499" t="s">
        <v>275</v>
      </c>
      <c r="Q499" t="s">
        <v>275</v>
      </c>
      <c r="R499" t="s">
        <v>275</v>
      </c>
      <c r="S499" t="s">
        <v>275</v>
      </c>
      <c r="T499" t="s">
        <v>1</v>
      </c>
      <c r="U499" t="s">
        <v>275</v>
      </c>
      <c r="V499" t="s">
        <v>275</v>
      </c>
    </row>
    <row r="500" spans="1:22">
      <c r="A500">
        <v>498</v>
      </c>
      <c r="B500" t="s">
        <v>1758</v>
      </c>
      <c r="C500" t="s">
        <v>1759</v>
      </c>
      <c r="D500" t="str">
        <f>IF(VLOOKUP(C500,'Capabilities Overview'!$A$2:$A$587,1)=C500,"","Not in IOE")</f>
        <v>Not in IOE</v>
      </c>
      <c r="E500" t="s">
        <v>275</v>
      </c>
      <c r="F500" t="s">
        <v>1</v>
      </c>
      <c r="G500" t="s">
        <v>275</v>
      </c>
      <c r="H500" t="s">
        <v>275</v>
      </c>
      <c r="I500" t="s">
        <v>1</v>
      </c>
      <c r="J500" t="s">
        <v>1</v>
      </c>
      <c r="K500" t="s">
        <v>275</v>
      </c>
      <c r="L500" t="s">
        <v>275</v>
      </c>
      <c r="M500" t="s">
        <v>275</v>
      </c>
      <c r="N500" t="s">
        <v>275</v>
      </c>
      <c r="O500" t="s">
        <v>275</v>
      </c>
      <c r="P500" t="s">
        <v>275</v>
      </c>
      <c r="Q500" t="s">
        <v>275</v>
      </c>
      <c r="R500" t="s">
        <v>275</v>
      </c>
      <c r="S500" t="s">
        <v>275</v>
      </c>
      <c r="T500" t="s">
        <v>275</v>
      </c>
      <c r="U500" t="s">
        <v>275</v>
      </c>
      <c r="V500" t="s">
        <v>275</v>
      </c>
    </row>
    <row r="501" spans="1:22">
      <c r="A501">
        <v>499</v>
      </c>
      <c r="B501" t="s">
        <v>1760</v>
      </c>
      <c r="C501" t="s">
        <v>1761</v>
      </c>
      <c r="D501" t="str">
        <f>IF(VLOOKUP(C501,'Capabilities Overview'!$A$2:$A$587,1)=C501,"","Not in IOE")</f>
        <v>Not in IOE</v>
      </c>
      <c r="E501" t="s">
        <v>275</v>
      </c>
      <c r="F501" t="s">
        <v>1</v>
      </c>
      <c r="G501" t="s">
        <v>275</v>
      </c>
      <c r="H501" t="s">
        <v>1</v>
      </c>
      <c r="I501" t="s">
        <v>1</v>
      </c>
      <c r="J501" t="s">
        <v>1</v>
      </c>
      <c r="K501" t="s">
        <v>1</v>
      </c>
      <c r="L501" t="s">
        <v>275</v>
      </c>
      <c r="M501" t="s">
        <v>275</v>
      </c>
      <c r="N501" t="s">
        <v>275</v>
      </c>
      <c r="O501" t="s">
        <v>275</v>
      </c>
      <c r="P501" t="s">
        <v>275</v>
      </c>
      <c r="Q501" t="s">
        <v>275</v>
      </c>
      <c r="R501" t="s">
        <v>275</v>
      </c>
      <c r="S501" t="s">
        <v>275</v>
      </c>
      <c r="T501" t="s">
        <v>1</v>
      </c>
      <c r="U501" t="s">
        <v>275</v>
      </c>
      <c r="V501" t="s">
        <v>275</v>
      </c>
    </row>
    <row r="502" spans="1:22">
      <c r="A502">
        <v>500</v>
      </c>
      <c r="B502" t="s">
        <v>1762</v>
      </c>
      <c r="C502" t="s">
        <v>1763</v>
      </c>
      <c r="D502" t="str">
        <f>IF(VLOOKUP(C502,'Capabilities Overview'!$A$2:$A$587,1)=C502,"","Not in IOE")</f>
        <v>Not in IOE</v>
      </c>
      <c r="E502" t="s">
        <v>275</v>
      </c>
      <c r="F502" t="s">
        <v>1</v>
      </c>
      <c r="G502" t="s">
        <v>275</v>
      </c>
      <c r="H502" t="s">
        <v>1</v>
      </c>
      <c r="I502" t="s">
        <v>1</v>
      </c>
      <c r="J502" t="s">
        <v>1</v>
      </c>
      <c r="K502" t="s">
        <v>1</v>
      </c>
      <c r="L502" t="s">
        <v>1</v>
      </c>
      <c r="M502" t="s">
        <v>1</v>
      </c>
      <c r="N502" t="s">
        <v>1</v>
      </c>
      <c r="O502" t="s">
        <v>1</v>
      </c>
      <c r="P502" t="s">
        <v>275</v>
      </c>
      <c r="Q502" t="s">
        <v>275</v>
      </c>
      <c r="R502" t="s">
        <v>275</v>
      </c>
      <c r="S502" t="s">
        <v>275</v>
      </c>
      <c r="T502" t="s">
        <v>1</v>
      </c>
      <c r="U502" t="s">
        <v>275</v>
      </c>
      <c r="V502" t="s">
        <v>275</v>
      </c>
    </row>
    <row r="503" spans="1:22">
      <c r="A503">
        <v>501</v>
      </c>
      <c r="B503" t="s">
        <v>957</v>
      </c>
      <c r="C503" t="s">
        <v>1436</v>
      </c>
      <c r="D503" t="str">
        <f>IF(VLOOKUP(C503,'Capabilities Overview'!$A$2:$A$587,1)=C503,"","Not in IOE")</f>
        <v/>
      </c>
      <c r="E503" t="s">
        <v>1</v>
      </c>
      <c r="F503" t="s">
        <v>1</v>
      </c>
      <c r="G503" t="s">
        <v>275</v>
      </c>
      <c r="H503" t="s">
        <v>1</v>
      </c>
      <c r="I503" t="s">
        <v>1</v>
      </c>
      <c r="J503" t="s">
        <v>1</v>
      </c>
      <c r="K503" t="s">
        <v>1</v>
      </c>
      <c r="L503" t="s">
        <v>275</v>
      </c>
      <c r="M503" t="s">
        <v>275</v>
      </c>
      <c r="N503" t="s">
        <v>275</v>
      </c>
      <c r="O503" t="s">
        <v>275</v>
      </c>
      <c r="P503" t="s">
        <v>275</v>
      </c>
      <c r="Q503" t="s">
        <v>275</v>
      </c>
      <c r="R503" t="s">
        <v>275</v>
      </c>
      <c r="S503" t="s">
        <v>275</v>
      </c>
      <c r="T503" t="s">
        <v>1</v>
      </c>
      <c r="U503" t="s">
        <v>275</v>
      </c>
      <c r="V503" t="s">
        <v>275</v>
      </c>
    </row>
    <row r="504" spans="1:22">
      <c r="A504">
        <v>502</v>
      </c>
      <c r="B504" t="s">
        <v>1437</v>
      </c>
      <c r="C504" t="s">
        <v>1438</v>
      </c>
      <c r="D504" t="str">
        <f>IF(VLOOKUP(C504,'Capabilities Overview'!$A$2:$A$587,1)=C504,"","Not in IOE")</f>
        <v/>
      </c>
      <c r="E504" t="s">
        <v>1</v>
      </c>
      <c r="F504" t="s">
        <v>1</v>
      </c>
      <c r="G504" t="s">
        <v>275</v>
      </c>
      <c r="H504" t="s">
        <v>1</v>
      </c>
      <c r="I504" t="s">
        <v>1</v>
      </c>
      <c r="J504" t="s">
        <v>1</v>
      </c>
      <c r="K504" t="s">
        <v>1</v>
      </c>
      <c r="L504" t="s">
        <v>1</v>
      </c>
      <c r="M504" t="s">
        <v>1</v>
      </c>
      <c r="N504" t="s">
        <v>275</v>
      </c>
      <c r="O504" t="s">
        <v>275</v>
      </c>
      <c r="P504" t="s">
        <v>275</v>
      </c>
      <c r="Q504" t="s">
        <v>275</v>
      </c>
      <c r="R504" t="s">
        <v>275</v>
      </c>
      <c r="S504" t="s">
        <v>275</v>
      </c>
      <c r="T504" t="s">
        <v>1</v>
      </c>
      <c r="U504" t="s">
        <v>275</v>
      </c>
      <c r="V504" t="s">
        <v>275</v>
      </c>
    </row>
    <row r="505" spans="1:22">
      <c r="A505">
        <v>503</v>
      </c>
      <c r="B505" t="s">
        <v>1439</v>
      </c>
      <c r="C505" t="s">
        <v>1440</v>
      </c>
      <c r="D505" t="str">
        <f>IF(VLOOKUP(C505,'Capabilities Overview'!$A$2:$A$587,1)=C505,"","Not in IOE")</f>
        <v/>
      </c>
      <c r="E505" t="s">
        <v>1</v>
      </c>
      <c r="F505" t="s">
        <v>1</v>
      </c>
      <c r="G505" t="s">
        <v>275</v>
      </c>
      <c r="H505" t="s">
        <v>1</v>
      </c>
      <c r="I505" t="s">
        <v>1</v>
      </c>
      <c r="J505" t="s">
        <v>1</v>
      </c>
      <c r="K505" t="s">
        <v>1</v>
      </c>
      <c r="L505" t="s">
        <v>275</v>
      </c>
      <c r="M505" t="s">
        <v>275</v>
      </c>
      <c r="N505" t="s">
        <v>275</v>
      </c>
      <c r="O505" t="s">
        <v>275</v>
      </c>
      <c r="P505" t="s">
        <v>275</v>
      </c>
      <c r="Q505" t="s">
        <v>275</v>
      </c>
      <c r="R505" t="s">
        <v>275</v>
      </c>
      <c r="S505" t="s">
        <v>275</v>
      </c>
      <c r="T505" t="s">
        <v>1</v>
      </c>
      <c r="U505" t="s">
        <v>275</v>
      </c>
      <c r="V505" t="s">
        <v>275</v>
      </c>
    </row>
    <row r="506" spans="1:22">
      <c r="A506">
        <v>504</v>
      </c>
      <c r="B506" t="s">
        <v>1443</v>
      </c>
      <c r="C506" t="s">
        <v>1444</v>
      </c>
      <c r="D506" t="str">
        <f>IF(VLOOKUP(C506,'Capabilities Overview'!$A$2:$A$587,1)=C506,"","Not in IOE")</f>
        <v/>
      </c>
      <c r="E506" t="s">
        <v>1</v>
      </c>
      <c r="F506" t="s">
        <v>1</v>
      </c>
      <c r="G506" t="s">
        <v>275</v>
      </c>
      <c r="H506" t="s">
        <v>275</v>
      </c>
      <c r="I506" t="s">
        <v>1</v>
      </c>
      <c r="J506" t="s">
        <v>1</v>
      </c>
      <c r="K506" t="s">
        <v>275</v>
      </c>
      <c r="L506" t="s">
        <v>275</v>
      </c>
      <c r="M506" t="s">
        <v>275</v>
      </c>
      <c r="N506" t="s">
        <v>275</v>
      </c>
      <c r="O506" t="s">
        <v>275</v>
      </c>
      <c r="P506" t="s">
        <v>275</v>
      </c>
      <c r="Q506" t="s">
        <v>275</v>
      </c>
      <c r="R506" t="s">
        <v>275</v>
      </c>
      <c r="S506" t="s">
        <v>275</v>
      </c>
      <c r="T506" t="s">
        <v>275</v>
      </c>
      <c r="U506" t="s">
        <v>275</v>
      </c>
      <c r="V506" t="s">
        <v>275</v>
      </c>
    </row>
    <row r="507" spans="1:22">
      <c r="A507">
        <v>505</v>
      </c>
      <c r="B507" t="s">
        <v>1445</v>
      </c>
      <c r="C507" t="s">
        <v>1446</v>
      </c>
      <c r="D507" t="str">
        <f>IF(VLOOKUP(C507,'Capabilities Overview'!$A$2:$A$587,1)=C507,"","Not in IOE")</f>
        <v/>
      </c>
      <c r="E507" t="s">
        <v>1</v>
      </c>
      <c r="F507" t="s">
        <v>1</v>
      </c>
      <c r="G507" t="s">
        <v>275</v>
      </c>
      <c r="H507" t="s">
        <v>1</v>
      </c>
      <c r="I507" t="s">
        <v>1</v>
      </c>
      <c r="J507" t="s">
        <v>1</v>
      </c>
      <c r="K507" t="s">
        <v>1</v>
      </c>
      <c r="L507" t="s">
        <v>275</v>
      </c>
      <c r="M507" t="s">
        <v>275</v>
      </c>
      <c r="N507" t="s">
        <v>275</v>
      </c>
      <c r="O507" t="s">
        <v>275</v>
      </c>
      <c r="P507" t="s">
        <v>275</v>
      </c>
      <c r="Q507" t="s">
        <v>275</v>
      </c>
      <c r="R507" t="s">
        <v>275</v>
      </c>
      <c r="S507" t="s">
        <v>275</v>
      </c>
      <c r="T507" t="s">
        <v>1</v>
      </c>
      <c r="U507" t="s">
        <v>275</v>
      </c>
      <c r="V507" t="s">
        <v>275</v>
      </c>
    </row>
    <row r="508" spans="1:22">
      <c r="A508">
        <v>506</v>
      </c>
      <c r="B508" t="s">
        <v>1447</v>
      </c>
      <c r="C508" t="s">
        <v>1448</v>
      </c>
      <c r="D508" t="str">
        <f>IF(VLOOKUP(C508,'Capabilities Overview'!$A$2:$A$587,1)=C508,"","Not in IOE")</f>
        <v/>
      </c>
      <c r="E508" t="s">
        <v>1</v>
      </c>
      <c r="F508" t="s">
        <v>275</v>
      </c>
      <c r="G508" t="s">
        <v>275</v>
      </c>
      <c r="H508" t="s">
        <v>275</v>
      </c>
      <c r="I508" t="s">
        <v>275</v>
      </c>
      <c r="J508" t="s">
        <v>275</v>
      </c>
      <c r="K508" t="s">
        <v>275</v>
      </c>
      <c r="L508" t="s">
        <v>1</v>
      </c>
      <c r="M508" t="s">
        <v>1</v>
      </c>
      <c r="N508" t="s">
        <v>275</v>
      </c>
      <c r="O508" t="s">
        <v>275</v>
      </c>
      <c r="P508" t="s">
        <v>275</v>
      </c>
      <c r="Q508" t="s">
        <v>275</v>
      </c>
      <c r="R508" t="s">
        <v>275</v>
      </c>
      <c r="S508" t="s">
        <v>275</v>
      </c>
      <c r="T508" t="s">
        <v>275</v>
      </c>
      <c r="U508" t="s">
        <v>275</v>
      </c>
      <c r="V508" t="s">
        <v>275</v>
      </c>
    </row>
    <row r="509" spans="1:22">
      <c r="A509">
        <v>507</v>
      </c>
      <c r="B509" t="s">
        <v>1449</v>
      </c>
      <c r="C509" t="s">
        <v>1450</v>
      </c>
      <c r="D509" t="str">
        <f>IF(VLOOKUP(C509,'Capabilities Overview'!$A$2:$A$587,1)=C509,"","Not in IOE")</f>
        <v/>
      </c>
      <c r="E509" t="s">
        <v>1</v>
      </c>
      <c r="F509" t="s">
        <v>1</v>
      </c>
      <c r="G509" t="s">
        <v>275</v>
      </c>
      <c r="H509" t="s">
        <v>1</v>
      </c>
      <c r="I509" t="s">
        <v>1</v>
      </c>
      <c r="J509" t="s">
        <v>1</v>
      </c>
      <c r="K509" t="s">
        <v>1</v>
      </c>
      <c r="L509" t="s">
        <v>1</v>
      </c>
      <c r="M509" t="s">
        <v>1</v>
      </c>
      <c r="N509" t="s">
        <v>1</v>
      </c>
      <c r="O509" t="s">
        <v>1</v>
      </c>
      <c r="P509" t="s">
        <v>275</v>
      </c>
      <c r="Q509" t="s">
        <v>275</v>
      </c>
      <c r="R509" t="s">
        <v>275</v>
      </c>
      <c r="S509" t="s">
        <v>275</v>
      </c>
      <c r="T509" t="s">
        <v>1</v>
      </c>
      <c r="U509" t="s">
        <v>275</v>
      </c>
      <c r="V509" t="s">
        <v>275</v>
      </c>
    </row>
    <row r="510" spans="1:22">
      <c r="A510">
        <v>508</v>
      </c>
      <c r="B510" t="s">
        <v>1443</v>
      </c>
      <c r="C510" t="s">
        <v>1764</v>
      </c>
      <c r="D510" t="str">
        <f>IF(VLOOKUP(C510,'Capabilities Overview'!$A$2:$A$587,1)=C510,"","Not in IOE")</f>
        <v>Not in IOE</v>
      </c>
      <c r="E510" t="s">
        <v>1</v>
      </c>
      <c r="F510" t="s">
        <v>1</v>
      </c>
      <c r="G510" t="s">
        <v>275</v>
      </c>
      <c r="H510" t="s">
        <v>275</v>
      </c>
      <c r="I510" t="s">
        <v>1</v>
      </c>
      <c r="J510" t="s">
        <v>1</v>
      </c>
      <c r="K510" t="s">
        <v>275</v>
      </c>
      <c r="L510" t="s">
        <v>275</v>
      </c>
      <c r="M510" t="s">
        <v>275</v>
      </c>
      <c r="N510" t="s">
        <v>275</v>
      </c>
      <c r="O510" t="s">
        <v>275</v>
      </c>
      <c r="P510" t="s">
        <v>275</v>
      </c>
      <c r="Q510" t="s">
        <v>275</v>
      </c>
      <c r="R510" t="s">
        <v>275</v>
      </c>
      <c r="S510" t="s">
        <v>275</v>
      </c>
      <c r="T510" t="s">
        <v>275</v>
      </c>
      <c r="U510" t="s">
        <v>275</v>
      </c>
      <c r="V510" t="s">
        <v>275</v>
      </c>
    </row>
    <row r="511" spans="1:22">
      <c r="A511">
        <v>509</v>
      </c>
      <c r="B511" t="s">
        <v>1445</v>
      </c>
      <c r="C511" t="s">
        <v>1765</v>
      </c>
      <c r="D511" t="str">
        <f>IF(VLOOKUP(C511,'Capabilities Overview'!$A$2:$A$587,1)=C511,"","Not in IOE")</f>
        <v>Not in IOE</v>
      </c>
      <c r="E511" t="s">
        <v>275</v>
      </c>
      <c r="F511" t="s">
        <v>275</v>
      </c>
      <c r="G511" t="s">
        <v>275</v>
      </c>
      <c r="H511" t="s">
        <v>1</v>
      </c>
      <c r="I511" t="s">
        <v>1</v>
      </c>
      <c r="J511" t="s">
        <v>1</v>
      </c>
      <c r="K511" t="s">
        <v>1</v>
      </c>
      <c r="L511" t="s">
        <v>275</v>
      </c>
      <c r="M511" t="s">
        <v>275</v>
      </c>
      <c r="N511" t="s">
        <v>275</v>
      </c>
      <c r="O511" t="s">
        <v>275</v>
      </c>
      <c r="P511" t="s">
        <v>275</v>
      </c>
      <c r="Q511" t="s">
        <v>275</v>
      </c>
      <c r="R511" t="s">
        <v>275</v>
      </c>
      <c r="S511" t="s">
        <v>275</v>
      </c>
      <c r="T511" t="s">
        <v>1</v>
      </c>
      <c r="U511" t="s">
        <v>275</v>
      </c>
      <c r="V511" t="s">
        <v>275</v>
      </c>
    </row>
    <row r="512" spans="1:22">
      <c r="A512">
        <v>510</v>
      </c>
      <c r="B512" t="s">
        <v>1766</v>
      </c>
      <c r="C512" t="s">
        <v>1767</v>
      </c>
      <c r="D512" t="str">
        <f>IF(VLOOKUP(C512,'Capabilities Overview'!$A$2:$A$587,1)=C512,"","Not in IOE")</f>
        <v>Not in IOE</v>
      </c>
      <c r="E512" t="s">
        <v>275</v>
      </c>
      <c r="F512" t="s">
        <v>275</v>
      </c>
      <c r="G512" t="s">
        <v>275</v>
      </c>
      <c r="H512" t="s">
        <v>1</v>
      </c>
      <c r="I512" t="s">
        <v>1</v>
      </c>
      <c r="J512" t="s">
        <v>1</v>
      </c>
      <c r="K512" t="s">
        <v>1</v>
      </c>
      <c r="L512" t="s">
        <v>1</v>
      </c>
      <c r="M512" t="s">
        <v>1</v>
      </c>
      <c r="N512" t="s">
        <v>1</v>
      </c>
      <c r="O512" t="s">
        <v>275</v>
      </c>
      <c r="P512" t="s">
        <v>275</v>
      </c>
      <c r="Q512" t="s">
        <v>275</v>
      </c>
      <c r="R512" t="s">
        <v>275</v>
      </c>
      <c r="S512" t="s">
        <v>275</v>
      </c>
      <c r="T512" t="s">
        <v>1</v>
      </c>
      <c r="U512" t="s">
        <v>275</v>
      </c>
      <c r="V512" t="s">
        <v>275</v>
      </c>
    </row>
    <row r="513" spans="1:22">
      <c r="A513">
        <v>511</v>
      </c>
      <c r="B513" t="s">
        <v>1447</v>
      </c>
      <c r="C513" t="s">
        <v>1768</v>
      </c>
      <c r="D513" t="str">
        <f>IF(VLOOKUP(C513,'Capabilities Overview'!$A$2:$A$587,1)=C513,"","Not in IOE")</f>
        <v>Not in IOE</v>
      </c>
      <c r="E513" t="s">
        <v>275</v>
      </c>
      <c r="F513" t="s">
        <v>275</v>
      </c>
      <c r="G513" t="s">
        <v>275</v>
      </c>
      <c r="H513" t="s">
        <v>275</v>
      </c>
      <c r="I513" t="s">
        <v>275</v>
      </c>
      <c r="J513" t="s">
        <v>275</v>
      </c>
      <c r="K513" t="s">
        <v>275</v>
      </c>
      <c r="L513" t="s">
        <v>1</v>
      </c>
      <c r="M513" t="s">
        <v>1</v>
      </c>
      <c r="N513" t="s">
        <v>1</v>
      </c>
      <c r="O513" t="s">
        <v>275</v>
      </c>
      <c r="P513" t="s">
        <v>275</v>
      </c>
      <c r="Q513" t="s">
        <v>275</v>
      </c>
      <c r="R513" t="s">
        <v>275</v>
      </c>
      <c r="S513" t="s">
        <v>275</v>
      </c>
      <c r="T513" t="s">
        <v>275</v>
      </c>
      <c r="U513" t="s">
        <v>275</v>
      </c>
      <c r="V513" t="s">
        <v>275</v>
      </c>
    </row>
    <row r="514" spans="1:22">
      <c r="A514">
        <v>512</v>
      </c>
      <c r="B514" t="s">
        <v>1449</v>
      </c>
      <c r="C514" t="s">
        <v>1769</v>
      </c>
      <c r="D514" t="str">
        <f>IF(VLOOKUP(C514,'Capabilities Overview'!$A$2:$A$587,1)=C514,"","Not in IOE")</f>
        <v>Not in IOE</v>
      </c>
      <c r="E514" t="s">
        <v>275</v>
      </c>
      <c r="F514" t="s">
        <v>275</v>
      </c>
      <c r="G514" t="s">
        <v>275</v>
      </c>
      <c r="H514" t="s">
        <v>1</v>
      </c>
      <c r="I514" t="s">
        <v>1</v>
      </c>
      <c r="J514" t="s">
        <v>1</v>
      </c>
      <c r="K514" t="s">
        <v>1</v>
      </c>
      <c r="L514" t="s">
        <v>1</v>
      </c>
      <c r="M514" t="s">
        <v>1</v>
      </c>
      <c r="N514" t="s">
        <v>1</v>
      </c>
      <c r="O514" t="s">
        <v>1</v>
      </c>
      <c r="P514" t="s">
        <v>275</v>
      </c>
      <c r="Q514" t="s">
        <v>275</v>
      </c>
      <c r="R514" t="s">
        <v>275</v>
      </c>
      <c r="S514" t="s">
        <v>275</v>
      </c>
      <c r="T514" t="s">
        <v>1</v>
      </c>
      <c r="U514" t="s">
        <v>275</v>
      </c>
      <c r="V514" t="s">
        <v>275</v>
      </c>
    </row>
    <row r="515" spans="1:22">
      <c r="A515">
        <v>513</v>
      </c>
      <c r="B515" t="s">
        <v>172</v>
      </c>
      <c r="C515" t="s">
        <v>173</v>
      </c>
      <c r="D515" t="str">
        <f>IF(VLOOKUP(C515,'Capabilities Overview'!$A$2:$A$587,1)=C515,"","Not in IOE")</f>
        <v/>
      </c>
      <c r="E515" t="s">
        <v>1</v>
      </c>
      <c r="F515" t="s">
        <v>275</v>
      </c>
      <c r="G515" t="s">
        <v>275</v>
      </c>
      <c r="H515" t="s">
        <v>275</v>
      </c>
      <c r="I515" t="s">
        <v>275</v>
      </c>
      <c r="J515" t="s">
        <v>275</v>
      </c>
      <c r="K515" t="s">
        <v>275</v>
      </c>
      <c r="L515" t="s">
        <v>275</v>
      </c>
      <c r="M515" t="s">
        <v>275</v>
      </c>
      <c r="N515" t="s">
        <v>275</v>
      </c>
      <c r="O515" t="s">
        <v>1</v>
      </c>
      <c r="P515" t="s">
        <v>1</v>
      </c>
      <c r="Q515" t="s">
        <v>275</v>
      </c>
      <c r="R515" t="s">
        <v>275</v>
      </c>
      <c r="S515" t="s">
        <v>275</v>
      </c>
      <c r="T515" t="s">
        <v>275</v>
      </c>
      <c r="U515" t="s">
        <v>275</v>
      </c>
      <c r="V515" t="s">
        <v>275</v>
      </c>
    </row>
    <row r="516" spans="1:22">
      <c r="A516">
        <v>514</v>
      </c>
      <c r="B516" t="s">
        <v>1451</v>
      </c>
      <c r="C516" t="s">
        <v>1452</v>
      </c>
      <c r="D516" t="str">
        <f>IF(VLOOKUP(C516,'Capabilities Overview'!$A$2:$A$587,1)=C516,"","Not in IOE")</f>
        <v/>
      </c>
      <c r="E516" t="s">
        <v>1</v>
      </c>
      <c r="F516" t="s">
        <v>1</v>
      </c>
      <c r="G516" t="s">
        <v>275</v>
      </c>
      <c r="H516" t="s">
        <v>1</v>
      </c>
      <c r="I516" t="s">
        <v>1</v>
      </c>
      <c r="J516" t="s">
        <v>1</v>
      </c>
      <c r="K516" t="s">
        <v>1</v>
      </c>
      <c r="L516" t="s">
        <v>1</v>
      </c>
      <c r="M516" t="s">
        <v>1</v>
      </c>
      <c r="N516" t="s">
        <v>1</v>
      </c>
      <c r="O516" t="s">
        <v>275</v>
      </c>
      <c r="P516" t="s">
        <v>275</v>
      </c>
      <c r="Q516" t="s">
        <v>275</v>
      </c>
      <c r="R516" t="s">
        <v>275</v>
      </c>
      <c r="S516" t="s">
        <v>275</v>
      </c>
      <c r="T516" t="s">
        <v>1</v>
      </c>
      <c r="U516" t="s">
        <v>275</v>
      </c>
      <c r="V516" t="s">
        <v>275</v>
      </c>
    </row>
    <row r="517" spans="1:22">
      <c r="A517">
        <v>515</v>
      </c>
      <c r="B517" t="s">
        <v>1453</v>
      </c>
      <c r="C517" t="s">
        <v>1454</v>
      </c>
      <c r="D517" t="str">
        <f>IF(VLOOKUP(C517,'Capabilities Overview'!$A$2:$A$587,1)=C517,"","Not in IOE")</f>
        <v/>
      </c>
      <c r="E517" t="s">
        <v>1</v>
      </c>
      <c r="F517" t="s">
        <v>1</v>
      </c>
      <c r="G517" t="s">
        <v>275</v>
      </c>
      <c r="H517" t="s">
        <v>1</v>
      </c>
      <c r="I517" t="s">
        <v>1</v>
      </c>
      <c r="J517" t="s">
        <v>1</v>
      </c>
      <c r="K517" t="s">
        <v>1</v>
      </c>
      <c r="L517" t="s">
        <v>1</v>
      </c>
      <c r="M517" t="s">
        <v>1</v>
      </c>
      <c r="N517" t="s">
        <v>1</v>
      </c>
      <c r="O517" t="s">
        <v>275</v>
      </c>
      <c r="P517" t="s">
        <v>275</v>
      </c>
      <c r="Q517" t="s">
        <v>275</v>
      </c>
      <c r="R517" t="s">
        <v>275</v>
      </c>
      <c r="S517" t="s">
        <v>275</v>
      </c>
      <c r="T517" t="s">
        <v>1</v>
      </c>
      <c r="U517" t="s">
        <v>275</v>
      </c>
      <c r="V517" t="s">
        <v>275</v>
      </c>
    </row>
    <row r="518" spans="1:22">
      <c r="A518">
        <v>516</v>
      </c>
      <c r="B518" t="s">
        <v>1455</v>
      </c>
      <c r="C518" t="s">
        <v>1456</v>
      </c>
      <c r="D518" t="str">
        <f>IF(VLOOKUP(C518,'Capabilities Overview'!$A$2:$A$587,1)=C518,"","Not in IOE")</f>
        <v/>
      </c>
      <c r="E518" t="s">
        <v>1</v>
      </c>
      <c r="F518" t="s">
        <v>1</v>
      </c>
      <c r="G518" t="s">
        <v>275</v>
      </c>
      <c r="H518" t="s">
        <v>1</v>
      </c>
      <c r="I518" t="s">
        <v>1</v>
      </c>
      <c r="J518" t="s">
        <v>1</v>
      </c>
      <c r="K518" t="s">
        <v>1</v>
      </c>
      <c r="L518" t="s">
        <v>1</v>
      </c>
      <c r="M518" t="s">
        <v>1</v>
      </c>
      <c r="N518" t="s">
        <v>1</v>
      </c>
      <c r="O518" t="s">
        <v>275</v>
      </c>
      <c r="P518" t="s">
        <v>275</v>
      </c>
      <c r="Q518" t="s">
        <v>275</v>
      </c>
      <c r="R518" t="s">
        <v>275</v>
      </c>
      <c r="S518" t="s">
        <v>275</v>
      </c>
      <c r="T518" t="s">
        <v>1</v>
      </c>
      <c r="U518" t="s">
        <v>275</v>
      </c>
      <c r="V518" t="s">
        <v>275</v>
      </c>
    </row>
    <row r="519" spans="1:22">
      <c r="A519">
        <v>517</v>
      </c>
      <c r="B519" t="s">
        <v>1457</v>
      </c>
      <c r="C519" t="s">
        <v>1458</v>
      </c>
      <c r="D519" t="str">
        <f>IF(VLOOKUP(C519,'Capabilities Overview'!$A$2:$A$587,1)=C519,"","Not in IOE")</f>
        <v/>
      </c>
      <c r="E519" t="s">
        <v>1</v>
      </c>
      <c r="F519" t="s">
        <v>1</v>
      </c>
      <c r="G519" t="s">
        <v>275</v>
      </c>
      <c r="H519" t="s">
        <v>1</v>
      </c>
      <c r="I519" t="s">
        <v>1</v>
      </c>
      <c r="J519" t="s">
        <v>1</v>
      </c>
      <c r="K519" t="s">
        <v>1</v>
      </c>
      <c r="L519" t="s">
        <v>275</v>
      </c>
      <c r="M519" t="s">
        <v>275</v>
      </c>
      <c r="N519" t="s">
        <v>275</v>
      </c>
      <c r="O519" t="s">
        <v>275</v>
      </c>
      <c r="P519" t="s">
        <v>275</v>
      </c>
      <c r="Q519" t="s">
        <v>275</v>
      </c>
      <c r="R519" t="s">
        <v>275</v>
      </c>
      <c r="S519" t="s">
        <v>275</v>
      </c>
      <c r="T519" t="s">
        <v>1</v>
      </c>
      <c r="U519" t="s">
        <v>275</v>
      </c>
      <c r="V519" t="s">
        <v>275</v>
      </c>
    </row>
    <row r="520" spans="1:22">
      <c r="A520">
        <v>518</v>
      </c>
      <c r="B520" t="s">
        <v>1459</v>
      </c>
      <c r="C520" t="s">
        <v>1460</v>
      </c>
      <c r="D520" t="str">
        <f>IF(VLOOKUP(C520,'Capabilities Overview'!$A$2:$A$587,1)=C520,"","Not in IOE")</f>
        <v/>
      </c>
      <c r="E520" t="s">
        <v>1</v>
      </c>
      <c r="F520" t="s">
        <v>1</v>
      </c>
      <c r="G520" t="s">
        <v>275</v>
      </c>
      <c r="H520" t="s">
        <v>1</v>
      </c>
      <c r="I520" t="s">
        <v>1</v>
      </c>
      <c r="J520" t="s">
        <v>1</v>
      </c>
      <c r="K520" t="s">
        <v>1</v>
      </c>
      <c r="L520" t="s">
        <v>275</v>
      </c>
      <c r="M520" t="s">
        <v>275</v>
      </c>
      <c r="N520" t="s">
        <v>275</v>
      </c>
      <c r="O520" t="s">
        <v>275</v>
      </c>
      <c r="P520" t="s">
        <v>275</v>
      </c>
      <c r="Q520" t="s">
        <v>275</v>
      </c>
      <c r="R520" t="s">
        <v>275</v>
      </c>
      <c r="S520" t="s">
        <v>275</v>
      </c>
      <c r="T520" t="s">
        <v>1</v>
      </c>
      <c r="U520" t="s">
        <v>275</v>
      </c>
      <c r="V520" t="s">
        <v>275</v>
      </c>
    </row>
    <row r="521" spans="1:22">
      <c r="A521">
        <v>519</v>
      </c>
      <c r="B521" t="s">
        <v>1461</v>
      </c>
      <c r="C521" t="s">
        <v>1462</v>
      </c>
      <c r="D521" t="str">
        <f>IF(VLOOKUP(C521,'Capabilities Overview'!$A$2:$A$587,1)=C521,"","Not in IOE")</f>
        <v/>
      </c>
      <c r="E521" t="s">
        <v>1</v>
      </c>
      <c r="F521" t="s">
        <v>1</v>
      </c>
      <c r="G521" t="s">
        <v>275</v>
      </c>
      <c r="H521" t="s">
        <v>1</v>
      </c>
      <c r="I521" t="s">
        <v>1</v>
      </c>
      <c r="J521" t="s">
        <v>1</v>
      </c>
      <c r="K521" t="s">
        <v>1</v>
      </c>
      <c r="L521" t="s">
        <v>275</v>
      </c>
      <c r="M521" t="s">
        <v>275</v>
      </c>
      <c r="N521" t="s">
        <v>275</v>
      </c>
      <c r="O521" t="s">
        <v>275</v>
      </c>
      <c r="P521" t="s">
        <v>275</v>
      </c>
      <c r="Q521" t="s">
        <v>275</v>
      </c>
      <c r="R521" t="s">
        <v>275</v>
      </c>
      <c r="S521" t="s">
        <v>275</v>
      </c>
      <c r="T521" t="s">
        <v>1</v>
      </c>
      <c r="U521" t="s">
        <v>275</v>
      </c>
      <c r="V521" t="s">
        <v>275</v>
      </c>
    </row>
    <row r="522" spans="1:22">
      <c r="A522">
        <v>520</v>
      </c>
      <c r="B522" t="s">
        <v>1463</v>
      </c>
      <c r="C522" t="s">
        <v>1464</v>
      </c>
      <c r="D522" t="str">
        <f>IF(VLOOKUP(C522,'Capabilities Overview'!$A$2:$A$587,1)=C522,"","Not in IOE")</f>
        <v/>
      </c>
      <c r="E522" t="s">
        <v>1</v>
      </c>
      <c r="F522" t="s">
        <v>1</v>
      </c>
      <c r="G522" t="s">
        <v>275</v>
      </c>
      <c r="H522" t="s">
        <v>1</v>
      </c>
      <c r="I522" t="s">
        <v>1</v>
      </c>
      <c r="J522" t="s">
        <v>1</v>
      </c>
      <c r="K522" t="s">
        <v>1</v>
      </c>
      <c r="L522" t="s">
        <v>275</v>
      </c>
      <c r="M522" t="s">
        <v>275</v>
      </c>
      <c r="N522" t="s">
        <v>275</v>
      </c>
      <c r="O522" t="s">
        <v>275</v>
      </c>
      <c r="P522" t="s">
        <v>275</v>
      </c>
      <c r="Q522" t="s">
        <v>275</v>
      </c>
      <c r="R522" t="s">
        <v>275</v>
      </c>
      <c r="S522" t="s">
        <v>275</v>
      </c>
      <c r="T522" t="s">
        <v>1</v>
      </c>
      <c r="U522" t="s">
        <v>275</v>
      </c>
      <c r="V522" t="s">
        <v>275</v>
      </c>
    </row>
    <row r="523" spans="1:22">
      <c r="A523">
        <v>521</v>
      </c>
      <c r="B523" t="s">
        <v>1465</v>
      </c>
      <c r="C523" t="s">
        <v>1466</v>
      </c>
      <c r="D523" t="str">
        <f>IF(VLOOKUP(C523,'Capabilities Overview'!$A$2:$A$587,1)=C523,"","Not in IOE")</f>
        <v/>
      </c>
      <c r="E523" t="s">
        <v>1</v>
      </c>
      <c r="F523" t="s">
        <v>1</v>
      </c>
      <c r="G523" t="s">
        <v>275</v>
      </c>
      <c r="H523" t="s">
        <v>1</v>
      </c>
      <c r="I523" t="s">
        <v>1</v>
      </c>
      <c r="J523" t="s">
        <v>1</v>
      </c>
      <c r="K523" t="s">
        <v>1</v>
      </c>
      <c r="L523" t="s">
        <v>1</v>
      </c>
      <c r="M523" t="s">
        <v>1</v>
      </c>
      <c r="N523" t="s">
        <v>1</v>
      </c>
      <c r="O523" t="s">
        <v>275</v>
      </c>
      <c r="P523" t="s">
        <v>275</v>
      </c>
      <c r="Q523" t="s">
        <v>275</v>
      </c>
      <c r="R523" t="s">
        <v>275</v>
      </c>
      <c r="S523" t="s">
        <v>275</v>
      </c>
      <c r="T523" t="s">
        <v>1</v>
      </c>
      <c r="U523" t="s">
        <v>275</v>
      </c>
      <c r="V523" t="s">
        <v>275</v>
      </c>
    </row>
    <row r="524" spans="1:22">
      <c r="A524">
        <v>522</v>
      </c>
      <c r="B524" t="s">
        <v>1467</v>
      </c>
      <c r="C524" t="s">
        <v>1468</v>
      </c>
      <c r="D524" t="str">
        <f>IF(VLOOKUP(C524,'Capabilities Overview'!$A$2:$A$587,1)=C524,"","Not in IOE")</f>
        <v/>
      </c>
      <c r="E524" t="s">
        <v>1</v>
      </c>
      <c r="F524" t="s">
        <v>1</v>
      </c>
      <c r="G524" t="s">
        <v>275</v>
      </c>
      <c r="H524" t="s">
        <v>1</v>
      </c>
      <c r="I524" t="s">
        <v>1</v>
      </c>
      <c r="J524" t="s">
        <v>1</v>
      </c>
      <c r="K524" t="s">
        <v>1</v>
      </c>
      <c r="L524" t="s">
        <v>1</v>
      </c>
      <c r="M524" t="s">
        <v>1</v>
      </c>
      <c r="N524" t="s">
        <v>1</v>
      </c>
      <c r="O524" t="s">
        <v>1</v>
      </c>
      <c r="P524" t="s">
        <v>275</v>
      </c>
      <c r="Q524" t="s">
        <v>275</v>
      </c>
      <c r="R524" t="s">
        <v>275</v>
      </c>
      <c r="S524" t="s">
        <v>275</v>
      </c>
      <c r="T524" t="s">
        <v>1</v>
      </c>
      <c r="U524" t="s">
        <v>275</v>
      </c>
      <c r="V524" t="s">
        <v>275</v>
      </c>
    </row>
    <row r="525" spans="1:22">
      <c r="A525">
        <v>523</v>
      </c>
      <c r="B525" t="s">
        <v>1469</v>
      </c>
      <c r="C525" t="s">
        <v>1470</v>
      </c>
      <c r="D525" t="str">
        <f>IF(VLOOKUP(C525,'Capabilities Overview'!$A$2:$A$587,1)=C525,"","Not in IOE")</f>
        <v/>
      </c>
      <c r="E525" t="s">
        <v>1</v>
      </c>
      <c r="F525" t="s">
        <v>1</v>
      </c>
      <c r="G525" t="s">
        <v>275</v>
      </c>
      <c r="H525" t="s">
        <v>1</v>
      </c>
      <c r="I525" t="s">
        <v>1</v>
      </c>
      <c r="J525" t="s">
        <v>1</v>
      </c>
      <c r="K525" t="s">
        <v>1</v>
      </c>
      <c r="L525" t="s">
        <v>275</v>
      </c>
      <c r="M525" t="s">
        <v>275</v>
      </c>
      <c r="N525" t="s">
        <v>275</v>
      </c>
      <c r="O525" t="s">
        <v>275</v>
      </c>
      <c r="P525" t="s">
        <v>275</v>
      </c>
      <c r="Q525" t="s">
        <v>275</v>
      </c>
      <c r="R525" t="s">
        <v>275</v>
      </c>
      <c r="S525" t="s">
        <v>275</v>
      </c>
      <c r="T525" t="s">
        <v>1</v>
      </c>
      <c r="U525" t="s">
        <v>275</v>
      </c>
      <c r="V525" t="s">
        <v>275</v>
      </c>
    </row>
    <row r="526" spans="1:22">
      <c r="A526">
        <v>524</v>
      </c>
      <c r="B526" t="s">
        <v>1471</v>
      </c>
      <c r="C526" t="s">
        <v>1472</v>
      </c>
      <c r="D526" t="str">
        <f>IF(VLOOKUP(C526,'Capabilities Overview'!$A$2:$A$587,1)=C526,"","Not in IOE")</f>
        <v/>
      </c>
      <c r="E526" t="s">
        <v>1</v>
      </c>
      <c r="F526" t="s">
        <v>1</v>
      </c>
      <c r="G526" t="s">
        <v>275</v>
      </c>
      <c r="H526" t="s">
        <v>275</v>
      </c>
      <c r="I526" t="s">
        <v>1</v>
      </c>
      <c r="J526" t="s">
        <v>1</v>
      </c>
      <c r="K526" t="s">
        <v>275</v>
      </c>
      <c r="L526" t="s">
        <v>275</v>
      </c>
      <c r="M526" t="s">
        <v>275</v>
      </c>
      <c r="N526" t="s">
        <v>275</v>
      </c>
      <c r="O526" t="s">
        <v>275</v>
      </c>
      <c r="P526" t="s">
        <v>275</v>
      </c>
      <c r="Q526" t="s">
        <v>275</v>
      </c>
      <c r="R526" t="s">
        <v>275</v>
      </c>
      <c r="S526" t="s">
        <v>275</v>
      </c>
      <c r="T526" t="s">
        <v>275</v>
      </c>
      <c r="U526" t="s">
        <v>275</v>
      </c>
      <c r="V526" t="s">
        <v>275</v>
      </c>
    </row>
    <row r="527" spans="1:22">
      <c r="A527">
        <v>525</v>
      </c>
      <c r="B527" t="s">
        <v>1473</v>
      </c>
      <c r="C527" t="s">
        <v>1474</v>
      </c>
      <c r="D527" t="str">
        <f>IF(VLOOKUP(C527,'Capabilities Overview'!$A$2:$A$587,1)=C527,"","Not in IOE")</f>
        <v/>
      </c>
      <c r="E527" t="s">
        <v>1</v>
      </c>
      <c r="F527" t="s">
        <v>1</v>
      </c>
      <c r="G527" t="s">
        <v>275</v>
      </c>
      <c r="H527" t="s">
        <v>1</v>
      </c>
      <c r="I527" t="s">
        <v>1</v>
      </c>
      <c r="J527" t="s">
        <v>1</v>
      </c>
      <c r="K527" t="s">
        <v>1</v>
      </c>
      <c r="L527" t="s">
        <v>275</v>
      </c>
      <c r="M527" t="s">
        <v>275</v>
      </c>
      <c r="N527" t="s">
        <v>275</v>
      </c>
      <c r="O527" t="s">
        <v>275</v>
      </c>
      <c r="P527" t="s">
        <v>275</v>
      </c>
      <c r="Q527" t="s">
        <v>275</v>
      </c>
      <c r="R527" t="s">
        <v>275</v>
      </c>
      <c r="S527" t="s">
        <v>275</v>
      </c>
      <c r="T527" t="s">
        <v>1</v>
      </c>
      <c r="U527" t="s">
        <v>275</v>
      </c>
      <c r="V527" t="s">
        <v>275</v>
      </c>
    </row>
    <row r="528" spans="1:22">
      <c r="A528">
        <v>526</v>
      </c>
      <c r="B528" t="s">
        <v>1475</v>
      </c>
      <c r="C528" t="s">
        <v>1476</v>
      </c>
      <c r="D528" t="str">
        <f>IF(VLOOKUP(C528,'Capabilities Overview'!$A$2:$A$587,1)=C528,"","Not in IOE")</f>
        <v/>
      </c>
      <c r="E528" t="s">
        <v>1</v>
      </c>
      <c r="F528" t="s">
        <v>1</v>
      </c>
      <c r="G528" t="s">
        <v>275</v>
      </c>
      <c r="H528" t="s">
        <v>1</v>
      </c>
      <c r="I528" t="s">
        <v>1</v>
      </c>
      <c r="J528" t="s">
        <v>1</v>
      </c>
      <c r="K528" t="s">
        <v>1</v>
      </c>
      <c r="L528" t="s">
        <v>275</v>
      </c>
      <c r="M528" t="s">
        <v>275</v>
      </c>
      <c r="N528" t="s">
        <v>275</v>
      </c>
      <c r="O528" t="s">
        <v>275</v>
      </c>
      <c r="P528" t="s">
        <v>275</v>
      </c>
      <c r="Q528" t="s">
        <v>275</v>
      </c>
      <c r="R528" t="s">
        <v>275</v>
      </c>
      <c r="S528" t="s">
        <v>275</v>
      </c>
      <c r="T528" t="s">
        <v>1</v>
      </c>
      <c r="U528" t="s">
        <v>275</v>
      </c>
      <c r="V528" t="s">
        <v>275</v>
      </c>
    </row>
    <row r="529" spans="1:22">
      <c r="A529">
        <v>527</v>
      </c>
      <c r="B529" t="s">
        <v>1477</v>
      </c>
      <c r="C529" t="s">
        <v>1478</v>
      </c>
      <c r="D529" t="str">
        <f>IF(VLOOKUP(C529,'Capabilities Overview'!$A$2:$A$587,1)=C529,"","Not in IOE")</f>
        <v/>
      </c>
      <c r="E529" t="s">
        <v>1</v>
      </c>
      <c r="F529" t="s">
        <v>1</v>
      </c>
      <c r="G529" t="s">
        <v>275</v>
      </c>
      <c r="H529" t="s">
        <v>1</v>
      </c>
      <c r="I529" t="s">
        <v>1</v>
      </c>
      <c r="J529" t="s">
        <v>1</v>
      </c>
      <c r="K529" t="s">
        <v>1</v>
      </c>
      <c r="L529" t="s">
        <v>275</v>
      </c>
      <c r="M529" t="s">
        <v>275</v>
      </c>
      <c r="N529" t="s">
        <v>275</v>
      </c>
      <c r="O529" t="s">
        <v>275</v>
      </c>
      <c r="P529" t="s">
        <v>275</v>
      </c>
      <c r="Q529" t="s">
        <v>275</v>
      </c>
      <c r="R529" t="s">
        <v>275</v>
      </c>
      <c r="S529" t="s">
        <v>275</v>
      </c>
      <c r="T529" t="s">
        <v>1</v>
      </c>
      <c r="U529" t="s">
        <v>275</v>
      </c>
      <c r="V529" t="s">
        <v>275</v>
      </c>
    </row>
    <row r="530" spans="1:22">
      <c r="A530">
        <v>528</v>
      </c>
      <c r="B530" t="s">
        <v>1479</v>
      </c>
      <c r="C530" t="s">
        <v>1480</v>
      </c>
      <c r="D530" t="str">
        <f>IF(VLOOKUP(C530,'Capabilities Overview'!$A$2:$A$587,1)=C530,"","Not in IOE")</f>
        <v/>
      </c>
      <c r="E530" t="s">
        <v>1</v>
      </c>
      <c r="F530" t="s">
        <v>275</v>
      </c>
      <c r="G530" t="s">
        <v>275</v>
      </c>
      <c r="H530" t="s">
        <v>275</v>
      </c>
      <c r="I530" t="s">
        <v>275</v>
      </c>
      <c r="J530" t="s">
        <v>275</v>
      </c>
      <c r="K530" t="s">
        <v>275</v>
      </c>
      <c r="L530" t="s">
        <v>1</v>
      </c>
      <c r="M530" t="s">
        <v>1</v>
      </c>
      <c r="N530" t="s">
        <v>1</v>
      </c>
      <c r="O530" t="s">
        <v>275</v>
      </c>
      <c r="P530" t="s">
        <v>275</v>
      </c>
      <c r="Q530" t="s">
        <v>275</v>
      </c>
      <c r="R530" t="s">
        <v>275</v>
      </c>
      <c r="S530" t="s">
        <v>275</v>
      </c>
      <c r="T530" t="s">
        <v>275</v>
      </c>
      <c r="U530" t="s">
        <v>275</v>
      </c>
      <c r="V530" t="s">
        <v>275</v>
      </c>
    </row>
    <row r="531" spans="1:22">
      <c r="A531">
        <v>529</v>
      </c>
      <c r="B531" t="s">
        <v>1481</v>
      </c>
      <c r="C531" t="s">
        <v>1482</v>
      </c>
      <c r="D531" t="str">
        <f>IF(VLOOKUP(C531,'Capabilities Overview'!$A$2:$A$587,1)=C531,"","Not in IOE")</f>
        <v/>
      </c>
      <c r="E531" t="s">
        <v>1</v>
      </c>
      <c r="F531" t="s">
        <v>1</v>
      </c>
      <c r="G531" t="s">
        <v>275</v>
      </c>
      <c r="H531" t="s">
        <v>1</v>
      </c>
      <c r="I531" t="s">
        <v>1</v>
      </c>
      <c r="J531" t="s">
        <v>1</v>
      </c>
      <c r="K531" t="s">
        <v>1</v>
      </c>
      <c r="L531" t="s">
        <v>275</v>
      </c>
      <c r="M531" t="s">
        <v>275</v>
      </c>
      <c r="N531" t="s">
        <v>275</v>
      </c>
      <c r="O531" t="s">
        <v>275</v>
      </c>
      <c r="P531" t="s">
        <v>275</v>
      </c>
      <c r="Q531" t="s">
        <v>275</v>
      </c>
      <c r="R531" t="s">
        <v>275</v>
      </c>
      <c r="S531" t="s">
        <v>275</v>
      </c>
      <c r="T531" t="s">
        <v>1</v>
      </c>
      <c r="U531" t="s">
        <v>275</v>
      </c>
      <c r="V531" t="s">
        <v>275</v>
      </c>
    </row>
    <row r="532" spans="1:22">
      <c r="A532">
        <v>530</v>
      </c>
      <c r="B532" t="s">
        <v>1483</v>
      </c>
      <c r="C532" t="s">
        <v>1484</v>
      </c>
      <c r="D532" t="str">
        <f>IF(VLOOKUP(C532,'Capabilities Overview'!$A$2:$A$587,1)=C532,"","Not in IOE")</f>
        <v/>
      </c>
      <c r="E532" t="s">
        <v>1</v>
      </c>
      <c r="F532" t="s">
        <v>275</v>
      </c>
      <c r="G532" t="s">
        <v>275</v>
      </c>
      <c r="H532" t="s">
        <v>275</v>
      </c>
      <c r="I532" t="s">
        <v>275</v>
      </c>
      <c r="J532" t="s">
        <v>275</v>
      </c>
      <c r="K532" t="s">
        <v>275</v>
      </c>
      <c r="L532" t="s">
        <v>1</v>
      </c>
      <c r="M532" t="s">
        <v>1</v>
      </c>
      <c r="N532" t="s">
        <v>1</v>
      </c>
      <c r="O532" t="s">
        <v>275</v>
      </c>
      <c r="P532" t="s">
        <v>275</v>
      </c>
      <c r="Q532" t="s">
        <v>275</v>
      </c>
      <c r="R532" t="s">
        <v>275</v>
      </c>
      <c r="S532" t="s">
        <v>275</v>
      </c>
      <c r="T532" t="s">
        <v>275</v>
      </c>
      <c r="U532" t="s">
        <v>275</v>
      </c>
      <c r="V532" t="s">
        <v>275</v>
      </c>
    </row>
    <row r="533" spans="1:22">
      <c r="A533">
        <v>531</v>
      </c>
      <c r="B533" t="s">
        <v>1485</v>
      </c>
      <c r="C533" t="s">
        <v>1486</v>
      </c>
      <c r="D533" t="str">
        <f>IF(VLOOKUP(C533,'Capabilities Overview'!$A$2:$A$587,1)=C533,"","Not in IOE")</f>
        <v/>
      </c>
      <c r="E533" t="s">
        <v>1</v>
      </c>
      <c r="F533" t="s">
        <v>1</v>
      </c>
      <c r="G533" t="s">
        <v>275</v>
      </c>
      <c r="H533" t="s">
        <v>1</v>
      </c>
      <c r="I533" t="s">
        <v>1</v>
      </c>
      <c r="J533" t="s">
        <v>1</v>
      </c>
      <c r="K533" t="s">
        <v>1</v>
      </c>
      <c r="L533" t="s">
        <v>275</v>
      </c>
      <c r="M533" t="s">
        <v>275</v>
      </c>
      <c r="N533" t="s">
        <v>275</v>
      </c>
      <c r="O533" t="s">
        <v>275</v>
      </c>
      <c r="P533" t="s">
        <v>275</v>
      </c>
      <c r="Q533" t="s">
        <v>275</v>
      </c>
      <c r="R533" t="s">
        <v>275</v>
      </c>
      <c r="S533" t="s">
        <v>275</v>
      </c>
      <c r="T533" t="s">
        <v>1</v>
      </c>
      <c r="U533" t="s">
        <v>275</v>
      </c>
      <c r="V533" t="s">
        <v>275</v>
      </c>
    </row>
    <row r="534" spans="1:22">
      <c r="A534">
        <v>532</v>
      </c>
      <c r="B534" t="s">
        <v>1487</v>
      </c>
      <c r="C534" t="s">
        <v>1488</v>
      </c>
      <c r="D534" t="str">
        <f>IF(VLOOKUP(C534,'Capabilities Overview'!$A$2:$A$587,1)=C534,"","Not in IOE")</f>
        <v/>
      </c>
      <c r="E534" t="s">
        <v>1</v>
      </c>
      <c r="F534" t="s">
        <v>1</v>
      </c>
      <c r="G534" t="s">
        <v>275</v>
      </c>
      <c r="H534" t="s">
        <v>1</v>
      </c>
      <c r="I534" t="s">
        <v>1</v>
      </c>
      <c r="J534" t="s">
        <v>1</v>
      </c>
      <c r="K534" t="s">
        <v>1</v>
      </c>
      <c r="L534" t="s">
        <v>1</v>
      </c>
      <c r="M534" t="s">
        <v>1</v>
      </c>
      <c r="N534" t="s">
        <v>1</v>
      </c>
      <c r="O534" t="s">
        <v>1</v>
      </c>
      <c r="P534" t="s">
        <v>275</v>
      </c>
      <c r="Q534" t="s">
        <v>275</v>
      </c>
      <c r="R534" t="s">
        <v>275</v>
      </c>
      <c r="S534" t="s">
        <v>275</v>
      </c>
      <c r="T534" t="s">
        <v>1</v>
      </c>
      <c r="U534" t="s">
        <v>275</v>
      </c>
      <c r="V534" t="s">
        <v>275</v>
      </c>
    </row>
    <row r="535" spans="1:22">
      <c r="A535">
        <v>533</v>
      </c>
      <c r="B535" t="s">
        <v>1489</v>
      </c>
      <c r="C535" t="s">
        <v>1490</v>
      </c>
      <c r="D535" t="str">
        <f>IF(VLOOKUP(C535,'Capabilities Overview'!$A$2:$A$587,1)=C535,"","Not in IOE")</f>
        <v/>
      </c>
      <c r="E535" t="s">
        <v>1</v>
      </c>
      <c r="F535" t="s">
        <v>1</v>
      </c>
      <c r="G535" t="s">
        <v>275</v>
      </c>
      <c r="H535" t="s">
        <v>1</v>
      </c>
      <c r="I535" t="s">
        <v>1</v>
      </c>
      <c r="J535" t="s">
        <v>1</v>
      </c>
      <c r="K535" t="s">
        <v>1</v>
      </c>
      <c r="L535" t="s">
        <v>275</v>
      </c>
      <c r="M535" t="s">
        <v>275</v>
      </c>
      <c r="N535" t="s">
        <v>275</v>
      </c>
      <c r="O535" t="s">
        <v>275</v>
      </c>
      <c r="P535" t="s">
        <v>275</v>
      </c>
      <c r="Q535" t="s">
        <v>275</v>
      </c>
      <c r="R535" t="s">
        <v>275</v>
      </c>
      <c r="S535" t="s">
        <v>275</v>
      </c>
      <c r="T535" t="s">
        <v>1</v>
      </c>
      <c r="U535" t="s">
        <v>275</v>
      </c>
      <c r="V535" t="s">
        <v>275</v>
      </c>
    </row>
    <row r="536" spans="1:22">
      <c r="A536">
        <v>534</v>
      </c>
      <c r="B536" t="s">
        <v>1491</v>
      </c>
      <c r="C536" t="s">
        <v>1492</v>
      </c>
      <c r="D536" t="str">
        <f>IF(VLOOKUP(C536,'Capabilities Overview'!$A$2:$A$587,1)=C536,"","Not in IOE")</f>
        <v/>
      </c>
      <c r="E536" t="s">
        <v>1</v>
      </c>
      <c r="F536" t="s">
        <v>1</v>
      </c>
      <c r="G536" t="s">
        <v>275</v>
      </c>
      <c r="H536" t="s">
        <v>1</v>
      </c>
      <c r="I536" t="s">
        <v>1</v>
      </c>
      <c r="J536" t="s">
        <v>1</v>
      </c>
      <c r="K536" t="s">
        <v>1</v>
      </c>
      <c r="L536" t="s">
        <v>275</v>
      </c>
      <c r="M536" t="s">
        <v>275</v>
      </c>
      <c r="N536" t="s">
        <v>275</v>
      </c>
      <c r="O536" t="s">
        <v>275</v>
      </c>
      <c r="P536" t="s">
        <v>275</v>
      </c>
      <c r="Q536" t="s">
        <v>275</v>
      </c>
      <c r="R536" t="s">
        <v>275</v>
      </c>
      <c r="S536" t="s">
        <v>275</v>
      </c>
      <c r="T536" t="s">
        <v>1</v>
      </c>
      <c r="U536" t="s">
        <v>275</v>
      </c>
      <c r="V536" t="s">
        <v>275</v>
      </c>
    </row>
    <row r="537" spans="1:22">
      <c r="A537">
        <v>535</v>
      </c>
      <c r="B537" t="s">
        <v>1493</v>
      </c>
      <c r="C537" t="s">
        <v>1494</v>
      </c>
      <c r="D537" t="str">
        <f>IF(VLOOKUP(C537,'Capabilities Overview'!$A$2:$A$587,1)=C537,"","Not in IOE")</f>
        <v/>
      </c>
      <c r="E537" t="s">
        <v>1</v>
      </c>
      <c r="F537" t="s">
        <v>1</v>
      </c>
      <c r="G537" t="s">
        <v>275</v>
      </c>
      <c r="H537" t="s">
        <v>1</v>
      </c>
      <c r="I537" t="s">
        <v>1</v>
      </c>
      <c r="J537" t="s">
        <v>1</v>
      </c>
      <c r="K537" t="s">
        <v>1</v>
      </c>
      <c r="L537" t="s">
        <v>1</v>
      </c>
      <c r="M537" t="s">
        <v>1</v>
      </c>
      <c r="N537" t="s">
        <v>1</v>
      </c>
      <c r="O537" t="s">
        <v>275</v>
      </c>
      <c r="P537" t="s">
        <v>275</v>
      </c>
      <c r="Q537" t="s">
        <v>275</v>
      </c>
      <c r="R537" t="s">
        <v>275</v>
      </c>
      <c r="S537" t="s">
        <v>275</v>
      </c>
      <c r="T537" t="s">
        <v>1</v>
      </c>
      <c r="U537" t="s">
        <v>275</v>
      </c>
      <c r="V537" t="s">
        <v>275</v>
      </c>
    </row>
    <row r="538" spans="1:22">
      <c r="A538">
        <v>536</v>
      </c>
      <c r="B538" t="s">
        <v>1495</v>
      </c>
      <c r="C538" t="s">
        <v>1496</v>
      </c>
      <c r="D538" t="str">
        <f>IF(VLOOKUP(C538,'Capabilities Overview'!$A$2:$A$587,1)=C538,"","Not in IOE")</f>
        <v/>
      </c>
      <c r="E538" t="s">
        <v>1</v>
      </c>
      <c r="F538" t="s">
        <v>1</v>
      </c>
      <c r="G538" t="s">
        <v>275</v>
      </c>
      <c r="H538" t="s">
        <v>1</v>
      </c>
      <c r="I538" t="s">
        <v>1</v>
      </c>
      <c r="J538" t="s">
        <v>1</v>
      </c>
      <c r="K538" t="s">
        <v>1</v>
      </c>
      <c r="L538" t="s">
        <v>1</v>
      </c>
      <c r="M538" t="s">
        <v>1</v>
      </c>
      <c r="N538" t="s">
        <v>1</v>
      </c>
      <c r="O538" t="s">
        <v>275</v>
      </c>
      <c r="P538" t="s">
        <v>275</v>
      </c>
      <c r="Q538" t="s">
        <v>275</v>
      </c>
      <c r="R538" t="s">
        <v>275</v>
      </c>
      <c r="S538" t="s">
        <v>275</v>
      </c>
      <c r="T538" t="s">
        <v>1</v>
      </c>
      <c r="U538" t="s">
        <v>275</v>
      </c>
      <c r="V538" t="s">
        <v>275</v>
      </c>
    </row>
    <row r="539" spans="1:22">
      <c r="A539">
        <v>537</v>
      </c>
      <c r="B539" t="s">
        <v>1497</v>
      </c>
      <c r="C539" t="s">
        <v>1498</v>
      </c>
      <c r="D539" t="str">
        <f>IF(VLOOKUP(C539,'Capabilities Overview'!$A$2:$A$587,1)=C539,"","Not in IOE")</f>
        <v/>
      </c>
      <c r="E539" t="s">
        <v>1</v>
      </c>
      <c r="F539" t="s">
        <v>1</v>
      </c>
      <c r="G539" t="s">
        <v>275</v>
      </c>
      <c r="H539" t="s">
        <v>1</v>
      </c>
      <c r="I539" t="s">
        <v>1</v>
      </c>
      <c r="J539" t="s">
        <v>1</v>
      </c>
      <c r="K539" t="s">
        <v>1</v>
      </c>
      <c r="L539" t="s">
        <v>1</v>
      </c>
      <c r="M539" t="s">
        <v>1</v>
      </c>
      <c r="N539" t="s">
        <v>1</v>
      </c>
      <c r="O539" t="s">
        <v>275</v>
      </c>
      <c r="P539" t="s">
        <v>275</v>
      </c>
      <c r="Q539" t="s">
        <v>275</v>
      </c>
      <c r="R539" t="s">
        <v>275</v>
      </c>
      <c r="S539" t="s">
        <v>275</v>
      </c>
      <c r="T539" t="s">
        <v>1</v>
      </c>
      <c r="U539" t="s">
        <v>275</v>
      </c>
      <c r="V539" t="s">
        <v>275</v>
      </c>
    </row>
    <row r="540" spans="1:22">
      <c r="A540">
        <v>538</v>
      </c>
      <c r="B540" t="s">
        <v>1499</v>
      </c>
      <c r="C540" t="s">
        <v>1500</v>
      </c>
      <c r="D540" t="str">
        <f>IF(VLOOKUP(C540,'Capabilities Overview'!$A$2:$A$587,1)=C540,"","Not in IOE")</f>
        <v/>
      </c>
      <c r="E540" t="s">
        <v>1</v>
      </c>
      <c r="F540" t="s">
        <v>1</v>
      </c>
      <c r="G540" t="s">
        <v>275</v>
      </c>
      <c r="H540" t="s">
        <v>1</v>
      </c>
      <c r="I540" t="s">
        <v>1</v>
      </c>
      <c r="J540" t="s">
        <v>1</v>
      </c>
      <c r="K540" t="s">
        <v>1</v>
      </c>
      <c r="L540" t="s">
        <v>275</v>
      </c>
      <c r="M540" t="s">
        <v>275</v>
      </c>
      <c r="N540" t="s">
        <v>275</v>
      </c>
      <c r="O540" t="s">
        <v>275</v>
      </c>
      <c r="P540" t="s">
        <v>275</v>
      </c>
      <c r="Q540" t="s">
        <v>275</v>
      </c>
      <c r="R540" t="s">
        <v>275</v>
      </c>
      <c r="S540" t="s">
        <v>275</v>
      </c>
      <c r="T540" t="s">
        <v>1</v>
      </c>
      <c r="U540" t="s">
        <v>275</v>
      </c>
      <c r="V540" t="s">
        <v>275</v>
      </c>
    </row>
    <row r="541" spans="1:22">
      <c r="A541">
        <v>539</v>
      </c>
      <c r="B541" t="s">
        <v>1501</v>
      </c>
      <c r="C541" t="s">
        <v>1502</v>
      </c>
      <c r="D541" t="str">
        <f>IF(VLOOKUP(C541,'Capabilities Overview'!$A$2:$A$587,1)=C541,"","Not in IOE")</f>
        <v/>
      </c>
      <c r="E541" t="s">
        <v>1</v>
      </c>
      <c r="F541" t="s">
        <v>1</v>
      </c>
      <c r="G541" t="s">
        <v>275</v>
      </c>
      <c r="H541" t="s">
        <v>275</v>
      </c>
      <c r="I541" t="s">
        <v>1</v>
      </c>
      <c r="J541" t="s">
        <v>1</v>
      </c>
      <c r="K541" t="s">
        <v>275</v>
      </c>
      <c r="L541" t="s">
        <v>275</v>
      </c>
      <c r="M541" t="s">
        <v>275</v>
      </c>
      <c r="N541" t="s">
        <v>275</v>
      </c>
      <c r="O541" t="s">
        <v>275</v>
      </c>
      <c r="P541" t="s">
        <v>275</v>
      </c>
      <c r="Q541" t="s">
        <v>275</v>
      </c>
      <c r="R541" t="s">
        <v>275</v>
      </c>
      <c r="S541" t="s">
        <v>275</v>
      </c>
      <c r="T541" t="s">
        <v>275</v>
      </c>
      <c r="U541" t="s">
        <v>275</v>
      </c>
      <c r="V541" t="s">
        <v>275</v>
      </c>
    </row>
    <row r="542" spans="1:22">
      <c r="A542">
        <v>540</v>
      </c>
      <c r="B542" t="s">
        <v>132</v>
      </c>
      <c r="C542" t="s">
        <v>174</v>
      </c>
      <c r="D542" t="str">
        <f>IF(VLOOKUP(C542,'Capabilities Overview'!$A$2:$A$587,1)=C542,"","Not in IOE")</f>
        <v/>
      </c>
      <c r="E542" t="s">
        <v>1</v>
      </c>
      <c r="F542" t="s">
        <v>1</v>
      </c>
      <c r="G542" t="s">
        <v>275</v>
      </c>
      <c r="H542" t="s">
        <v>1</v>
      </c>
      <c r="I542" t="s">
        <v>1</v>
      </c>
      <c r="J542" t="s">
        <v>1</v>
      </c>
      <c r="K542" t="s">
        <v>1</v>
      </c>
      <c r="L542" t="s">
        <v>1</v>
      </c>
      <c r="M542" t="s">
        <v>1</v>
      </c>
      <c r="N542" t="s">
        <v>1</v>
      </c>
      <c r="O542" t="s">
        <v>275</v>
      </c>
      <c r="P542" t="s">
        <v>1</v>
      </c>
      <c r="Q542" t="s">
        <v>275</v>
      </c>
      <c r="R542" t="s">
        <v>275</v>
      </c>
      <c r="S542" t="s">
        <v>275</v>
      </c>
      <c r="T542" t="s">
        <v>1</v>
      </c>
      <c r="U542" t="s">
        <v>275</v>
      </c>
      <c r="V542" t="s">
        <v>275</v>
      </c>
    </row>
    <row r="543" spans="1:22">
      <c r="A543">
        <v>541</v>
      </c>
      <c r="B543" t="s">
        <v>1503</v>
      </c>
      <c r="C543" t="s">
        <v>1504</v>
      </c>
      <c r="D543" t="str">
        <f>IF(VLOOKUP(C543,'Capabilities Overview'!$A$2:$A$587,1)=C543,"","Not in IOE")</f>
        <v/>
      </c>
      <c r="E543" t="s">
        <v>1</v>
      </c>
      <c r="F543" t="s">
        <v>1</v>
      </c>
      <c r="G543" t="s">
        <v>275</v>
      </c>
      <c r="H543" t="s">
        <v>275</v>
      </c>
      <c r="I543" t="s">
        <v>1</v>
      </c>
      <c r="J543" t="s">
        <v>1</v>
      </c>
      <c r="K543" t="s">
        <v>275</v>
      </c>
      <c r="L543" t="s">
        <v>275</v>
      </c>
      <c r="M543" t="s">
        <v>275</v>
      </c>
      <c r="N543" t="s">
        <v>275</v>
      </c>
      <c r="O543" t="s">
        <v>275</v>
      </c>
      <c r="P543" t="s">
        <v>275</v>
      </c>
      <c r="Q543" t="s">
        <v>275</v>
      </c>
      <c r="R543" t="s">
        <v>275</v>
      </c>
      <c r="S543" t="s">
        <v>275</v>
      </c>
      <c r="T543" t="s">
        <v>275</v>
      </c>
      <c r="U543" t="s">
        <v>275</v>
      </c>
      <c r="V543" t="s">
        <v>275</v>
      </c>
    </row>
    <row r="544" spans="1:22">
      <c r="A544">
        <v>542</v>
      </c>
      <c r="B544" t="s">
        <v>1505</v>
      </c>
      <c r="C544" t="s">
        <v>1506</v>
      </c>
      <c r="D544" t="str">
        <f>IF(VLOOKUP(C544,'Capabilities Overview'!$A$2:$A$587,1)=C544,"","Not in IOE")</f>
        <v/>
      </c>
      <c r="E544" t="s">
        <v>1</v>
      </c>
      <c r="F544" t="s">
        <v>1</v>
      </c>
      <c r="G544" t="s">
        <v>275</v>
      </c>
      <c r="H544" t="s">
        <v>275</v>
      </c>
      <c r="I544" t="s">
        <v>1</v>
      </c>
      <c r="J544" t="s">
        <v>1</v>
      </c>
      <c r="K544" t="s">
        <v>275</v>
      </c>
      <c r="L544" t="s">
        <v>275</v>
      </c>
      <c r="M544" t="s">
        <v>275</v>
      </c>
      <c r="N544" t="s">
        <v>275</v>
      </c>
      <c r="O544" t="s">
        <v>275</v>
      </c>
      <c r="P544" t="s">
        <v>275</v>
      </c>
      <c r="Q544" t="s">
        <v>275</v>
      </c>
      <c r="R544" t="s">
        <v>275</v>
      </c>
      <c r="S544" t="s">
        <v>275</v>
      </c>
      <c r="T544" t="s">
        <v>275</v>
      </c>
      <c r="U544" t="s">
        <v>275</v>
      </c>
      <c r="V544" t="s">
        <v>275</v>
      </c>
    </row>
    <row r="545" spans="1:22">
      <c r="A545">
        <v>543</v>
      </c>
      <c r="B545" t="s">
        <v>1507</v>
      </c>
      <c r="C545" t="s">
        <v>1508</v>
      </c>
      <c r="D545" t="str">
        <f>IF(VLOOKUP(C545,'Capabilities Overview'!$A$2:$A$587,1)=C545,"","Not in IOE")</f>
        <v/>
      </c>
      <c r="E545" t="s">
        <v>1</v>
      </c>
      <c r="F545" t="s">
        <v>1</v>
      </c>
      <c r="G545" t="s">
        <v>275</v>
      </c>
      <c r="H545" t="s">
        <v>1</v>
      </c>
      <c r="I545" t="s">
        <v>1</v>
      </c>
      <c r="J545" t="s">
        <v>1</v>
      </c>
      <c r="K545" t="s">
        <v>1</v>
      </c>
      <c r="L545" t="s">
        <v>275</v>
      </c>
      <c r="M545" t="s">
        <v>275</v>
      </c>
      <c r="N545" t="s">
        <v>275</v>
      </c>
      <c r="O545" t="s">
        <v>275</v>
      </c>
      <c r="P545" t="s">
        <v>275</v>
      </c>
      <c r="Q545" t="s">
        <v>275</v>
      </c>
      <c r="R545" t="s">
        <v>275</v>
      </c>
      <c r="S545" t="s">
        <v>275</v>
      </c>
      <c r="T545" t="s">
        <v>1</v>
      </c>
      <c r="U545" t="s">
        <v>275</v>
      </c>
      <c r="V545" t="s">
        <v>275</v>
      </c>
    </row>
    <row r="546" spans="1:22">
      <c r="A546">
        <v>544</v>
      </c>
      <c r="B546" t="s">
        <v>1509</v>
      </c>
      <c r="C546" t="s">
        <v>1510</v>
      </c>
      <c r="D546" t="str">
        <f>IF(VLOOKUP(C546,'Capabilities Overview'!$A$2:$A$587,1)=C546,"","Not in IOE")</f>
        <v/>
      </c>
      <c r="E546" t="s">
        <v>1</v>
      </c>
      <c r="F546" t="s">
        <v>1</v>
      </c>
      <c r="G546" t="s">
        <v>275</v>
      </c>
      <c r="H546" t="s">
        <v>1</v>
      </c>
      <c r="I546" t="s">
        <v>1</v>
      </c>
      <c r="J546" t="s">
        <v>1</v>
      </c>
      <c r="K546" t="s">
        <v>1</v>
      </c>
      <c r="L546" t="s">
        <v>275</v>
      </c>
      <c r="M546" t="s">
        <v>275</v>
      </c>
      <c r="N546" t="s">
        <v>275</v>
      </c>
      <c r="O546" t="s">
        <v>275</v>
      </c>
      <c r="P546" t="s">
        <v>275</v>
      </c>
      <c r="Q546" t="s">
        <v>275</v>
      </c>
      <c r="R546" t="s">
        <v>275</v>
      </c>
      <c r="S546" t="s">
        <v>275</v>
      </c>
      <c r="T546" t="s">
        <v>1</v>
      </c>
      <c r="U546" t="s">
        <v>275</v>
      </c>
      <c r="V546" t="s">
        <v>275</v>
      </c>
    </row>
    <row r="547" spans="1:22">
      <c r="A547">
        <v>545</v>
      </c>
      <c r="B547" t="s">
        <v>1511</v>
      </c>
      <c r="C547" t="s">
        <v>1512</v>
      </c>
      <c r="D547" t="str">
        <f>IF(VLOOKUP(C547,'Capabilities Overview'!$A$2:$A$587,1)=C547,"","Not in IOE")</f>
        <v/>
      </c>
      <c r="E547" t="s">
        <v>1</v>
      </c>
      <c r="F547" t="s">
        <v>1</v>
      </c>
      <c r="G547" t="s">
        <v>275</v>
      </c>
      <c r="H547" t="s">
        <v>1</v>
      </c>
      <c r="I547" t="s">
        <v>1</v>
      </c>
      <c r="J547" t="s">
        <v>1</v>
      </c>
      <c r="K547" t="s">
        <v>1</v>
      </c>
      <c r="L547" t="s">
        <v>275</v>
      </c>
      <c r="M547" t="s">
        <v>275</v>
      </c>
      <c r="N547" t="s">
        <v>275</v>
      </c>
      <c r="O547" t="s">
        <v>275</v>
      </c>
      <c r="P547" t="s">
        <v>275</v>
      </c>
      <c r="Q547" t="s">
        <v>275</v>
      </c>
      <c r="R547" t="s">
        <v>275</v>
      </c>
      <c r="S547" t="s">
        <v>275</v>
      </c>
      <c r="T547" t="s">
        <v>1</v>
      </c>
      <c r="U547" t="s">
        <v>275</v>
      </c>
      <c r="V547" t="s">
        <v>275</v>
      </c>
    </row>
    <row r="548" spans="1:22">
      <c r="A548">
        <v>546</v>
      </c>
      <c r="B548" t="s">
        <v>1513</v>
      </c>
      <c r="C548" t="s">
        <v>1514</v>
      </c>
      <c r="D548" t="str">
        <f>IF(VLOOKUP(C548,'Capabilities Overview'!$A$2:$A$587,1)=C548,"","Not in IOE")</f>
        <v/>
      </c>
      <c r="E548" t="s">
        <v>1</v>
      </c>
      <c r="F548" t="s">
        <v>1</v>
      </c>
      <c r="G548" t="s">
        <v>275</v>
      </c>
      <c r="H548" t="s">
        <v>1</v>
      </c>
      <c r="I548" t="s">
        <v>1</v>
      </c>
      <c r="J548" t="s">
        <v>1</v>
      </c>
      <c r="K548" t="s">
        <v>1</v>
      </c>
      <c r="L548" t="s">
        <v>275</v>
      </c>
      <c r="M548" t="s">
        <v>275</v>
      </c>
      <c r="N548" t="s">
        <v>275</v>
      </c>
      <c r="O548" t="s">
        <v>275</v>
      </c>
      <c r="P548" t="s">
        <v>275</v>
      </c>
      <c r="Q548" t="s">
        <v>275</v>
      </c>
      <c r="R548" t="s">
        <v>275</v>
      </c>
      <c r="S548" t="s">
        <v>275</v>
      </c>
      <c r="T548" t="s">
        <v>1</v>
      </c>
      <c r="U548" t="s">
        <v>275</v>
      </c>
      <c r="V548" t="s">
        <v>275</v>
      </c>
    </row>
    <row r="549" spans="1:22">
      <c r="A549">
        <v>547</v>
      </c>
      <c r="B549" t="s">
        <v>175</v>
      </c>
      <c r="C549" t="s">
        <v>176</v>
      </c>
      <c r="D549" t="str">
        <f>IF(VLOOKUP(C549,'Capabilities Overview'!$A$2:$A$587,1)=C549,"","Not in IOE")</f>
        <v/>
      </c>
      <c r="E549" t="s">
        <v>1</v>
      </c>
      <c r="F549" t="s">
        <v>275</v>
      </c>
      <c r="G549" t="s">
        <v>275</v>
      </c>
      <c r="H549" t="s">
        <v>275</v>
      </c>
      <c r="I549" t="s">
        <v>275</v>
      </c>
      <c r="J549" t="s">
        <v>275</v>
      </c>
      <c r="K549" t="s">
        <v>275</v>
      </c>
      <c r="L549" t="s">
        <v>275</v>
      </c>
      <c r="M549" t="s">
        <v>275</v>
      </c>
      <c r="N549" t="s">
        <v>275</v>
      </c>
      <c r="O549" t="s">
        <v>275</v>
      </c>
      <c r="P549" t="s">
        <v>1</v>
      </c>
      <c r="Q549" t="s">
        <v>275</v>
      </c>
      <c r="R549" t="s">
        <v>275</v>
      </c>
      <c r="S549" t="s">
        <v>275</v>
      </c>
      <c r="T549" t="s">
        <v>275</v>
      </c>
      <c r="U549" t="s">
        <v>275</v>
      </c>
      <c r="V549" t="s">
        <v>275</v>
      </c>
    </row>
    <row r="550" spans="1:22">
      <c r="A550">
        <v>548</v>
      </c>
      <c r="B550" t="s">
        <v>177</v>
      </c>
      <c r="C550" t="s">
        <v>178</v>
      </c>
      <c r="D550" t="str">
        <f>IF(VLOOKUP(C550,'Capabilities Overview'!$A$2:$A$587,1)=C550,"","Not in IOE")</f>
        <v/>
      </c>
      <c r="E550" t="s">
        <v>275</v>
      </c>
      <c r="F550" t="s">
        <v>275</v>
      </c>
      <c r="G550" t="s">
        <v>275</v>
      </c>
      <c r="H550" t="s">
        <v>275</v>
      </c>
      <c r="I550" t="s">
        <v>275</v>
      </c>
      <c r="J550" t="s">
        <v>275</v>
      </c>
      <c r="K550" t="s">
        <v>275</v>
      </c>
      <c r="L550" t="s">
        <v>275</v>
      </c>
      <c r="M550" t="s">
        <v>275</v>
      </c>
      <c r="N550" t="s">
        <v>275</v>
      </c>
      <c r="O550" t="s">
        <v>275</v>
      </c>
      <c r="P550" t="s">
        <v>1</v>
      </c>
      <c r="Q550" t="s">
        <v>275</v>
      </c>
      <c r="R550" t="s">
        <v>275</v>
      </c>
      <c r="S550" t="s">
        <v>275</v>
      </c>
      <c r="T550" t="s">
        <v>275</v>
      </c>
      <c r="U550" t="s">
        <v>275</v>
      </c>
      <c r="V550" t="s">
        <v>275</v>
      </c>
    </row>
    <row r="551" spans="1:22">
      <c r="A551">
        <v>549</v>
      </c>
      <c r="B551" t="s">
        <v>179</v>
      </c>
      <c r="C551" t="s">
        <v>180</v>
      </c>
      <c r="D551" t="str">
        <f>IF(VLOOKUP(C551,'Capabilities Overview'!$A$2:$A$587,1)=C551,"","Not in IOE")</f>
        <v/>
      </c>
      <c r="E551" t="s">
        <v>1</v>
      </c>
      <c r="F551" t="s">
        <v>275</v>
      </c>
      <c r="G551" t="s">
        <v>275</v>
      </c>
      <c r="H551" t="s">
        <v>275</v>
      </c>
      <c r="I551" t="s">
        <v>275</v>
      </c>
      <c r="J551" t="s">
        <v>275</v>
      </c>
      <c r="K551" t="s">
        <v>275</v>
      </c>
      <c r="L551" t="s">
        <v>275</v>
      </c>
      <c r="M551" t="s">
        <v>275</v>
      </c>
      <c r="N551" t="s">
        <v>275</v>
      </c>
      <c r="O551" t="s">
        <v>275</v>
      </c>
      <c r="P551" t="s">
        <v>1</v>
      </c>
      <c r="Q551" t="s">
        <v>275</v>
      </c>
      <c r="R551" t="s">
        <v>275</v>
      </c>
      <c r="S551" t="s">
        <v>275</v>
      </c>
      <c r="T551" t="s">
        <v>275</v>
      </c>
      <c r="U551" t="s">
        <v>275</v>
      </c>
      <c r="V551" t="s">
        <v>275</v>
      </c>
    </row>
    <row r="552" spans="1:22">
      <c r="A552">
        <v>550</v>
      </c>
      <c r="B552" t="s">
        <v>183</v>
      </c>
      <c r="C552" t="s">
        <v>184</v>
      </c>
      <c r="D552" t="str">
        <f>IF(VLOOKUP(C552,'Capabilities Overview'!$A$2:$A$587,1)=C552,"","Not in IOE")</f>
        <v/>
      </c>
      <c r="E552" t="s">
        <v>1</v>
      </c>
      <c r="F552" t="s">
        <v>1</v>
      </c>
      <c r="G552" t="s">
        <v>1</v>
      </c>
      <c r="H552" t="s">
        <v>1</v>
      </c>
      <c r="I552" t="s">
        <v>1</v>
      </c>
      <c r="J552" t="s">
        <v>1</v>
      </c>
      <c r="K552" t="s">
        <v>1</v>
      </c>
      <c r="L552" t="s">
        <v>275</v>
      </c>
      <c r="M552" t="s">
        <v>275</v>
      </c>
      <c r="N552" t="s">
        <v>275</v>
      </c>
      <c r="O552" t="s">
        <v>275</v>
      </c>
      <c r="P552" t="s">
        <v>275</v>
      </c>
      <c r="Q552" t="s">
        <v>275</v>
      </c>
      <c r="R552" t="s">
        <v>1</v>
      </c>
      <c r="S552" t="s">
        <v>275</v>
      </c>
      <c r="T552" t="s">
        <v>1</v>
      </c>
      <c r="U552" t="s">
        <v>275</v>
      </c>
      <c r="V552" t="s">
        <v>275</v>
      </c>
    </row>
    <row r="553" spans="1:22">
      <c r="A553">
        <v>551</v>
      </c>
      <c r="B553" t="s">
        <v>185</v>
      </c>
      <c r="C553" t="s">
        <v>186</v>
      </c>
      <c r="D553" t="str">
        <f>IF(VLOOKUP(C553,'Capabilities Overview'!$A$2:$A$587,1)=C553,"","Not in IOE")</f>
        <v/>
      </c>
      <c r="E553" t="s">
        <v>1</v>
      </c>
      <c r="F553" t="s">
        <v>275</v>
      </c>
      <c r="G553" t="s">
        <v>275</v>
      </c>
      <c r="H553" t="s">
        <v>275</v>
      </c>
      <c r="I553" t="s">
        <v>275</v>
      </c>
      <c r="J553" t="s">
        <v>275</v>
      </c>
      <c r="K553" t="s">
        <v>275</v>
      </c>
      <c r="L553" t="s">
        <v>275</v>
      </c>
      <c r="M553" t="s">
        <v>275</v>
      </c>
      <c r="N553" t="s">
        <v>275</v>
      </c>
      <c r="O553" t="s">
        <v>275</v>
      </c>
      <c r="P553" t="s">
        <v>1</v>
      </c>
      <c r="Q553" t="s">
        <v>275</v>
      </c>
      <c r="R553" t="s">
        <v>275</v>
      </c>
      <c r="S553" t="s">
        <v>275</v>
      </c>
      <c r="T553" t="s">
        <v>275</v>
      </c>
      <c r="U553" t="s">
        <v>275</v>
      </c>
      <c r="V553" t="s">
        <v>275</v>
      </c>
    </row>
    <row r="554" spans="1:22">
      <c r="A554">
        <v>552</v>
      </c>
      <c r="B554" t="s">
        <v>187</v>
      </c>
      <c r="C554" t="s">
        <v>188</v>
      </c>
      <c r="D554" t="str">
        <f>IF(VLOOKUP(C554,'Capabilities Overview'!$A$2:$A$587,1)=C554,"","Not in IOE")</f>
        <v/>
      </c>
      <c r="E554" t="s">
        <v>275</v>
      </c>
      <c r="F554" t="s">
        <v>275</v>
      </c>
      <c r="G554" t="s">
        <v>275</v>
      </c>
      <c r="H554" t="s">
        <v>275</v>
      </c>
      <c r="I554" t="s">
        <v>275</v>
      </c>
      <c r="J554" t="s">
        <v>275</v>
      </c>
      <c r="K554" t="s">
        <v>275</v>
      </c>
      <c r="L554" t="s">
        <v>275</v>
      </c>
      <c r="M554" t="s">
        <v>275</v>
      </c>
      <c r="N554" t="s">
        <v>275</v>
      </c>
      <c r="O554" t="s">
        <v>275</v>
      </c>
      <c r="P554" t="s">
        <v>1</v>
      </c>
      <c r="Q554" t="s">
        <v>275</v>
      </c>
      <c r="R554" t="s">
        <v>275</v>
      </c>
      <c r="S554" t="s">
        <v>275</v>
      </c>
      <c r="T554" t="s">
        <v>275</v>
      </c>
      <c r="U554" t="s">
        <v>275</v>
      </c>
      <c r="V554" t="s">
        <v>275</v>
      </c>
    </row>
    <row r="555" spans="1:22">
      <c r="A555">
        <v>553</v>
      </c>
      <c r="B555" t="s">
        <v>191</v>
      </c>
      <c r="C555" t="s">
        <v>192</v>
      </c>
      <c r="D555" t="str">
        <f>IF(VLOOKUP(C555,'Capabilities Overview'!$A$2:$A$587,1)=C555,"","Not in IOE")</f>
        <v/>
      </c>
      <c r="E555" t="s">
        <v>1</v>
      </c>
      <c r="F555" t="s">
        <v>1</v>
      </c>
      <c r="G555" t="s">
        <v>1</v>
      </c>
      <c r="H555" t="s">
        <v>1</v>
      </c>
      <c r="I555" t="s">
        <v>1</v>
      </c>
      <c r="J555" t="s">
        <v>1</v>
      </c>
      <c r="K555" t="s">
        <v>275</v>
      </c>
      <c r="L555" t="s">
        <v>275</v>
      </c>
      <c r="M555" t="s">
        <v>275</v>
      </c>
      <c r="N555" t="s">
        <v>275</v>
      </c>
      <c r="O555" t="s">
        <v>275</v>
      </c>
      <c r="P555" t="s">
        <v>275</v>
      </c>
      <c r="Q555" t="s">
        <v>275</v>
      </c>
      <c r="R555" t="s">
        <v>1</v>
      </c>
      <c r="S555" t="s">
        <v>275</v>
      </c>
      <c r="T555" t="s">
        <v>275</v>
      </c>
      <c r="U555" t="s">
        <v>275</v>
      </c>
      <c r="V555" t="s">
        <v>275</v>
      </c>
    </row>
    <row r="556" spans="1:22">
      <c r="A556">
        <v>554</v>
      </c>
      <c r="B556" t="s">
        <v>193</v>
      </c>
      <c r="C556" t="s">
        <v>194</v>
      </c>
      <c r="D556" t="str">
        <f>IF(VLOOKUP(C556,'Capabilities Overview'!$A$2:$A$587,1)=C556,"","Not in IOE")</f>
        <v/>
      </c>
      <c r="E556" t="s">
        <v>1</v>
      </c>
      <c r="F556" t="s">
        <v>275</v>
      </c>
      <c r="G556" t="s">
        <v>275</v>
      </c>
      <c r="H556" t="s">
        <v>275</v>
      </c>
      <c r="I556" t="s">
        <v>275</v>
      </c>
      <c r="J556" t="s">
        <v>275</v>
      </c>
      <c r="K556" t="s">
        <v>275</v>
      </c>
      <c r="L556" t="s">
        <v>275</v>
      </c>
      <c r="M556" t="s">
        <v>275</v>
      </c>
      <c r="N556" t="s">
        <v>275</v>
      </c>
      <c r="O556" t="s">
        <v>275</v>
      </c>
      <c r="P556" t="s">
        <v>1</v>
      </c>
      <c r="Q556" t="s">
        <v>275</v>
      </c>
      <c r="R556" t="s">
        <v>275</v>
      </c>
      <c r="S556" t="s">
        <v>275</v>
      </c>
      <c r="T556" t="s">
        <v>275</v>
      </c>
      <c r="U556" t="s">
        <v>275</v>
      </c>
      <c r="V556" t="s">
        <v>275</v>
      </c>
    </row>
    <row r="557" spans="1:22">
      <c r="A557">
        <v>555</v>
      </c>
      <c r="B557" t="s">
        <v>195</v>
      </c>
      <c r="C557" t="s">
        <v>196</v>
      </c>
      <c r="D557" t="str">
        <f>IF(VLOOKUP(C557,'Capabilities Overview'!$A$2:$A$587,1)=C557,"","Not in IOE")</f>
        <v/>
      </c>
      <c r="E557" t="s">
        <v>1</v>
      </c>
      <c r="F557" t="s">
        <v>275</v>
      </c>
      <c r="G557" t="s">
        <v>275</v>
      </c>
      <c r="H557" t="s">
        <v>275</v>
      </c>
      <c r="I557" t="s">
        <v>275</v>
      </c>
      <c r="J557" t="s">
        <v>275</v>
      </c>
      <c r="K557" t="s">
        <v>275</v>
      </c>
      <c r="L557" t="s">
        <v>275</v>
      </c>
      <c r="M557" t="s">
        <v>275</v>
      </c>
      <c r="N557" t="s">
        <v>275</v>
      </c>
      <c r="O557" t="s">
        <v>275</v>
      </c>
      <c r="P557" t="s">
        <v>1</v>
      </c>
      <c r="Q557" t="s">
        <v>275</v>
      </c>
      <c r="R557" t="s">
        <v>275</v>
      </c>
      <c r="S557" t="s">
        <v>275</v>
      </c>
      <c r="T557" t="s">
        <v>275</v>
      </c>
      <c r="U557" t="s">
        <v>275</v>
      </c>
      <c r="V557" t="s">
        <v>275</v>
      </c>
    </row>
    <row r="558" spans="1:22">
      <c r="A558">
        <v>556</v>
      </c>
      <c r="B558" t="s">
        <v>197</v>
      </c>
      <c r="C558" t="s">
        <v>198</v>
      </c>
      <c r="D558" t="str">
        <f>IF(VLOOKUP(C558,'Capabilities Overview'!$A$2:$A$587,1)=C558,"","Not in IOE")</f>
        <v/>
      </c>
      <c r="E558" t="s">
        <v>1</v>
      </c>
      <c r="F558" t="s">
        <v>275</v>
      </c>
      <c r="G558" t="s">
        <v>275</v>
      </c>
      <c r="H558" t="s">
        <v>275</v>
      </c>
      <c r="I558" t="s">
        <v>275</v>
      </c>
      <c r="J558" t="s">
        <v>275</v>
      </c>
      <c r="K558" t="s">
        <v>275</v>
      </c>
      <c r="L558" t="s">
        <v>275</v>
      </c>
      <c r="M558" t="s">
        <v>275</v>
      </c>
      <c r="N558" t="s">
        <v>275</v>
      </c>
      <c r="O558" t="s">
        <v>275</v>
      </c>
      <c r="P558" t="s">
        <v>1</v>
      </c>
      <c r="Q558" t="s">
        <v>275</v>
      </c>
      <c r="R558" t="s">
        <v>275</v>
      </c>
      <c r="S558" t="s">
        <v>275</v>
      </c>
      <c r="T558" t="s">
        <v>275</v>
      </c>
      <c r="U558" t="s">
        <v>275</v>
      </c>
      <c r="V558" t="s">
        <v>275</v>
      </c>
    </row>
    <row r="559" spans="1:22">
      <c r="A559">
        <v>557</v>
      </c>
      <c r="B559" t="s">
        <v>199</v>
      </c>
      <c r="C559" t="s">
        <v>200</v>
      </c>
      <c r="D559" t="str">
        <f>IF(VLOOKUP(C559,'Capabilities Overview'!$A$2:$A$587,1)=C559,"","Not in IOE")</f>
        <v/>
      </c>
      <c r="E559" t="s">
        <v>1</v>
      </c>
      <c r="F559" t="s">
        <v>1</v>
      </c>
      <c r="G559" t="s">
        <v>1</v>
      </c>
      <c r="H559" t="s">
        <v>1</v>
      </c>
      <c r="I559" t="s">
        <v>1</v>
      </c>
      <c r="J559" t="s">
        <v>1</v>
      </c>
      <c r="K559" t="s">
        <v>1</v>
      </c>
      <c r="L559" t="s">
        <v>275</v>
      </c>
      <c r="M559" t="s">
        <v>275</v>
      </c>
      <c r="N559" t="s">
        <v>275</v>
      </c>
      <c r="O559" t="s">
        <v>275</v>
      </c>
      <c r="P559" t="s">
        <v>275</v>
      </c>
      <c r="Q559" t="s">
        <v>275</v>
      </c>
      <c r="R559" t="s">
        <v>1</v>
      </c>
      <c r="S559" t="s">
        <v>275</v>
      </c>
      <c r="T559" t="s">
        <v>1</v>
      </c>
      <c r="U559" t="s">
        <v>275</v>
      </c>
      <c r="V559" t="s">
        <v>275</v>
      </c>
    </row>
    <row r="560" spans="1:22">
      <c r="A560">
        <v>558</v>
      </c>
      <c r="B560" t="s">
        <v>203</v>
      </c>
      <c r="C560" t="s">
        <v>204</v>
      </c>
      <c r="D560" t="str">
        <f>IF(VLOOKUP(C560,'Capabilities Overview'!$A$2:$A$587,1)=C560,"","Not in IOE")</f>
        <v/>
      </c>
      <c r="E560" t="s">
        <v>1</v>
      </c>
      <c r="F560" t="s">
        <v>275</v>
      </c>
      <c r="G560" t="s">
        <v>275</v>
      </c>
      <c r="H560" t="s">
        <v>275</v>
      </c>
      <c r="I560" t="s">
        <v>275</v>
      </c>
      <c r="J560" t="s">
        <v>275</v>
      </c>
      <c r="K560" t="s">
        <v>275</v>
      </c>
      <c r="L560" t="s">
        <v>275</v>
      </c>
      <c r="M560" t="s">
        <v>275</v>
      </c>
      <c r="N560" t="s">
        <v>275</v>
      </c>
      <c r="O560" t="s">
        <v>275</v>
      </c>
      <c r="P560" t="s">
        <v>1</v>
      </c>
      <c r="Q560" t="s">
        <v>275</v>
      </c>
      <c r="R560" t="s">
        <v>275</v>
      </c>
      <c r="S560" t="s">
        <v>275</v>
      </c>
      <c r="T560" t="s">
        <v>275</v>
      </c>
      <c r="U560" t="s">
        <v>275</v>
      </c>
      <c r="V560" t="s">
        <v>275</v>
      </c>
    </row>
    <row r="561" spans="1:22">
      <c r="A561">
        <v>559</v>
      </c>
      <c r="B561" t="s">
        <v>205</v>
      </c>
      <c r="C561" t="s">
        <v>206</v>
      </c>
      <c r="D561" t="str">
        <f>IF(VLOOKUP(C561,'Capabilities Overview'!$A$2:$A$587,1)=C561,"","Not in IOE")</f>
        <v/>
      </c>
      <c r="E561" t="s">
        <v>1</v>
      </c>
      <c r="F561" t="s">
        <v>275</v>
      </c>
      <c r="G561" t="s">
        <v>275</v>
      </c>
      <c r="H561" t="s">
        <v>275</v>
      </c>
      <c r="I561" t="s">
        <v>275</v>
      </c>
      <c r="J561" t="s">
        <v>275</v>
      </c>
      <c r="K561" t="s">
        <v>275</v>
      </c>
      <c r="L561" t="s">
        <v>275</v>
      </c>
      <c r="M561" t="s">
        <v>275</v>
      </c>
      <c r="N561" t="s">
        <v>275</v>
      </c>
      <c r="O561" t="s">
        <v>275</v>
      </c>
      <c r="P561" t="s">
        <v>1</v>
      </c>
      <c r="Q561" t="s">
        <v>275</v>
      </c>
      <c r="R561" t="s">
        <v>275</v>
      </c>
      <c r="S561" t="s">
        <v>275</v>
      </c>
      <c r="T561" t="s">
        <v>275</v>
      </c>
      <c r="U561" t="s">
        <v>275</v>
      </c>
      <c r="V561" t="s">
        <v>275</v>
      </c>
    </row>
    <row r="562" spans="1:22">
      <c r="A562">
        <v>560</v>
      </c>
      <c r="B562" t="s">
        <v>209</v>
      </c>
      <c r="C562" t="s">
        <v>210</v>
      </c>
      <c r="D562" t="str">
        <f>IF(VLOOKUP(C562,'Capabilities Overview'!$A$2:$A$587,1)=C562,"","Not in IOE")</f>
        <v/>
      </c>
      <c r="E562" t="s">
        <v>1</v>
      </c>
      <c r="F562" t="s">
        <v>275</v>
      </c>
      <c r="G562" t="s">
        <v>275</v>
      </c>
      <c r="H562" t="s">
        <v>275</v>
      </c>
      <c r="I562" t="s">
        <v>275</v>
      </c>
      <c r="J562" t="s">
        <v>275</v>
      </c>
      <c r="K562" t="s">
        <v>275</v>
      </c>
      <c r="L562" t="s">
        <v>275</v>
      </c>
      <c r="M562" t="s">
        <v>275</v>
      </c>
      <c r="N562" t="s">
        <v>275</v>
      </c>
      <c r="O562" t="s">
        <v>275</v>
      </c>
      <c r="P562" t="s">
        <v>1</v>
      </c>
      <c r="Q562" t="s">
        <v>275</v>
      </c>
      <c r="R562" t="s">
        <v>275</v>
      </c>
      <c r="S562" t="s">
        <v>275</v>
      </c>
      <c r="T562" t="s">
        <v>275</v>
      </c>
      <c r="U562" t="s">
        <v>275</v>
      </c>
      <c r="V562" t="s">
        <v>275</v>
      </c>
    </row>
    <row r="563" spans="1:22">
      <c r="A563">
        <v>561</v>
      </c>
      <c r="B563" t="s">
        <v>211</v>
      </c>
      <c r="C563" t="s">
        <v>212</v>
      </c>
      <c r="D563" t="str">
        <f>IF(VLOOKUP(C563,'Capabilities Overview'!$A$2:$A$587,1)=C563,"","Not in IOE")</f>
        <v/>
      </c>
      <c r="E563" t="s">
        <v>1</v>
      </c>
      <c r="F563" t="s">
        <v>275</v>
      </c>
      <c r="G563" t="s">
        <v>275</v>
      </c>
      <c r="H563" t="s">
        <v>275</v>
      </c>
      <c r="I563" t="s">
        <v>275</v>
      </c>
      <c r="J563" t="s">
        <v>275</v>
      </c>
      <c r="K563" t="s">
        <v>275</v>
      </c>
      <c r="L563" t="s">
        <v>275</v>
      </c>
      <c r="M563" t="s">
        <v>275</v>
      </c>
      <c r="N563" t="s">
        <v>275</v>
      </c>
      <c r="O563" t="s">
        <v>275</v>
      </c>
      <c r="P563" t="s">
        <v>1</v>
      </c>
      <c r="Q563" t="s">
        <v>275</v>
      </c>
      <c r="R563" t="s">
        <v>275</v>
      </c>
      <c r="S563" t="s">
        <v>275</v>
      </c>
      <c r="T563" t="s">
        <v>275</v>
      </c>
      <c r="U563" t="s">
        <v>275</v>
      </c>
      <c r="V563" t="s">
        <v>275</v>
      </c>
    </row>
    <row r="564" spans="1:22">
      <c r="A564">
        <v>562</v>
      </c>
      <c r="B564" t="s">
        <v>213</v>
      </c>
      <c r="C564" t="s">
        <v>214</v>
      </c>
      <c r="D564" t="str">
        <f>IF(VLOOKUP(C564,'Capabilities Overview'!$A$2:$A$587,1)=C564,"","Not in IOE")</f>
        <v/>
      </c>
      <c r="E564" t="s">
        <v>275</v>
      </c>
      <c r="F564" t="s">
        <v>275</v>
      </c>
      <c r="G564" t="s">
        <v>275</v>
      </c>
      <c r="H564" t="s">
        <v>275</v>
      </c>
      <c r="I564" t="s">
        <v>275</v>
      </c>
      <c r="J564" t="s">
        <v>275</v>
      </c>
      <c r="K564" t="s">
        <v>275</v>
      </c>
      <c r="L564" t="s">
        <v>275</v>
      </c>
      <c r="M564" t="s">
        <v>275</v>
      </c>
      <c r="N564" t="s">
        <v>275</v>
      </c>
      <c r="O564" t="s">
        <v>275</v>
      </c>
      <c r="P564" t="s">
        <v>1</v>
      </c>
      <c r="Q564" t="s">
        <v>275</v>
      </c>
      <c r="R564" t="s">
        <v>275</v>
      </c>
      <c r="S564" t="s">
        <v>275</v>
      </c>
      <c r="T564" t="s">
        <v>275</v>
      </c>
      <c r="U564" t="s">
        <v>275</v>
      </c>
      <c r="V564" t="s">
        <v>275</v>
      </c>
    </row>
    <row r="565" spans="1:22">
      <c r="A565">
        <v>563</v>
      </c>
      <c r="B565" t="s">
        <v>215</v>
      </c>
      <c r="C565" t="s">
        <v>216</v>
      </c>
      <c r="D565" t="str">
        <f>IF(VLOOKUP(C565,'Capabilities Overview'!$A$2:$A$587,1)=C565,"","Not in IOE")</f>
        <v/>
      </c>
      <c r="E565" t="s">
        <v>1</v>
      </c>
      <c r="F565" t="s">
        <v>275</v>
      </c>
      <c r="G565" t="s">
        <v>275</v>
      </c>
      <c r="H565" t="s">
        <v>275</v>
      </c>
      <c r="I565" t="s">
        <v>275</v>
      </c>
      <c r="J565" t="s">
        <v>275</v>
      </c>
      <c r="K565" t="s">
        <v>275</v>
      </c>
      <c r="L565" t="s">
        <v>275</v>
      </c>
      <c r="M565" t="s">
        <v>275</v>
      </c>
      <c r="N565" t="s">
        <v>275</v>
      </c>
      <c r="O565" t="s">
        <v>275</v>
      </c>
      <c r="P565" t="s">
        <v>1</v>
      </c>
      <c r="Q565" t="s">
        <v>275</v>
      </c>
      <c r="R565" t="s">
        <v>275</v>
      </c>
      <c r="S565" t="s">
        <v>275</v>
      </c>
      <c r="T565" t="s">
        <v>275</v>
      </c>
      <c r="U565" t="s">
        <v>275</v>
      </c>
      <c r="V565" t="s">
        <v>275</v>
      </c>
    </row>
    <row r="566" spans="1:22">
      <c r="A566">
        <v>564</v>
      </c>
      <c r="B566" t="s">
        <v>217</v>
      </c>
      <c r="C566" t="s">
        <v>218</v>
      </c>
      <c r="D566" t="str">
        <f>IF(VLOOKUP(C566,'Capabilities Overview'!$A$2:$A$587,1)=C566,"","Not in IOE")</f>
        <v/>
      </c>
      <c r="E566" t="s">
        <v>1</v>
      </c>
      <c r="F566" t="s">
        <v>275</v>
      </c>
      <c r="G566" t="s">
        <v>275</v>
      </c>
      <c r="H566" t="s">
        <v>275</v>
      </c>
      <c r="I566" t="s">
        <v>275</v>
      </c>
      <c r="J566" t="s">
        <v>275</v>
      </c>
      <c r="K566" t="s">
        <v>275</v>
      </c>
      <c r="L566" t="s">
        <v>275</v>
      </c>
      <c r="M566" t="s">
        <v>275</v>
      </c>
      <c r="N566" t="s">
        <v>275</v>
      </c>
      <c r="O566" t="s">
        <v>275</v>
      </c>
      <c r="P566" t="s">
        <v>1</v>
      </c>
      <c r="Q566" t="s">
        <v>275</v>
      </c>
      <c r="R566" t="s">
        <v>275</v>
      </c>
      <c r="S566" t="s">
        <v>275</v>
      </c>
      <c r="T566" t="s">
        <v>275</v>
      </c>
      <c r="U566" t="s">
        <v>275</v>
      </c>
      <c r="V566" t="s">
        <v>275</v>
      </c>
    </row>
    <row r="567" spans="1:22">
      <c r="A567">
        <v>565</v>
      </c>
      <c r="B567" t="s">
        <v>219</v>
      </c>
      <c r="C567" t="s">
        <v>220</v>
      </c>
      <c r="D567" t="str">
        <f>IF(VLOOKUP(C567,'Capabilities Overview'!$A$2:$A$587,1)=C567,"","Not in IOE")</f>
        <v/>
      </c>
      <c r="E567" t="s">
        <v>1</v>
      </c>
      <c r="F567" t="s">
        <v>275</v>
      </c>
      <c r="G567" t="s">
        <v>275</v>
      </c>
      <c r="H567" t="s">
        <v>275</v>
      </c>
      <c r="I567" t="s">
        <v>275</v>
      </c>
      <c r="J567" t="s">
        <v>275</v>
      </c>
      <c r="K567" t="s">
        <v>275</v>
      </c>
      <c r="L567" t="s">
        <v>275</v>
      </c>
      <c r="M567" t="s">
        <v>275</v>
      </c>
      <c r="N567" t="s">
        <v>275</v>
      </c>
      <c r="O567" t="s">
        <v>275</v>
      </c>
      <c r="P567" t="s">
        <v>1</v>
      </c>
      <c r="Q567" t="s">
        <v>275</v>
      </c>
      <c r="R567" t="s">
        <v>275</v>
      </c>
      <c r="S567" t="s">
        <v>275</v>
      </c>
      <c r="T567" t="s">
        <v>275</v>
      </c>
      <c r="U567" t="s">
        <v>275</v>
      </c>
      <c r="V567" t="s">
        <v>275</v>
      </c>
    </row>
    <row r="568" spans="1:22">
      <c r="A568">
        <v>566</v>
      </c>
      <c r="B568" t="s">
        <v>221</v>
      </c>
      <c r="C568" t="s">
        <v>222</v>
      </c>
      <c r="D568" t="str">
        <f>IF(VLOOKUP(C568,'Capabilities Overview'!$A$2:$A$587,1)=C568,"","Not in IOE")</f>
        <v/>
      </c>
      <c r="E568" t="s">
        <v>1</v>
      </c>
      <c r="F568" t="s">
        <v>1</v>
      </c>
      <c r="G568" t="s">
        <v>1</v>
      </c>
      <c r="H568" t="s">
        <v>1</v>
      </c>
      <c r="I568" t="s">
        <v>1</v>
      </c>
      <c r="J568" t="s">
        <v>1</v>
      </c>
      <c r="K568" t="s">
        <v>1</v>
      </c>
      <c r="L568" t="s">
        <v>275</v>
      </c>
      <c r="M568" t="s">
        <v>275</v>
      </c>
      <c r="N568" t="s">
        <v>275</v>
      </c>
      <c r="O568" t="s">
        <v>275</v>
      </c>
      <c r="P568" t="s">
        <v>275</v>
      </c>
      <c r="Q568" t="s">
        <v>275</v>
      </c>
      <c r="R568" t="s">
        <v>1</v>
      </c>
      <c r="S568" t="s">
        <v>275</v>
      </c>
      <c r="T568" t="s">
        <v>1</v>
      </c>
      <c r="U568" t="s">
        <v>275</v>
      </c>
      <c r="V568" t="s">
        <v>275</v>
      </c>
    </row>
    <row r="569" spans="1:22">
      <c r="A569">
        <v>567</v>
      </c>
      <c r="B569" t="s">
        <v>223</v>
      </c>
      <c r="C569" t="s">
        <v>224</v>
      </c>
      <c r="D569" t="str">
        <f>IF(VLOOKUP(C569,'Capabilities Overview'!$A$2:$A$587,1)=C569,"","Not in IOE")</f>
        <v/>
      </c>
      <c r="E569" t="s">
        <v>1</v>
      </c>
      <c r="F569" t="s">
        <v>275</v>
      </c>
      <c r="G569" t="s">
        <v>275</v>
      </c>
      <c r="H569" t="s">
        <v>275</v>
      </c>
      <c r="I569" t="s">
        <v>275</v>
      </c>
      <c r="J569" t="s">
        <v>275</v>
      </c>
      <c r="K569" t="s">
        <v>275</v>
      </c>
      <c r="L569" t="s">
        <v>275</v>
      </c>
      <c r="M569" t="s">
        <v>275</v>
      </c>
      <c r="N569" t="s">
        <v>275</v>
      </c>
      <c r="O569" t="s">
        <v>275</v>
      </c>
      <c r="P569" t="s">
        <v>1</v>
      </c>
      <c r="Q569" t="s">
        <v>275</v>
      </c>
      <c r="R569" t="s">
        <v>275</v>
      </c>
      <c r="S569" t="s">
        <v>275</v>
      </c>
      <c r="T569" t="s">
        <v>275</v>
      </c>
      <c r="U569" t="s">
        <v>275</v>
      </c>
      <c r="V569" t="s">
        <v>275</v>
      </c>
    </row>
    <row r="570" spans="1:22">
      <c r="A570">
        <v>568</v>
      </c>
      <c r="B570" t="s">
        <v>225</v>
      </c>
      <c r="C570" t="s">
        <v>226</v>
      </c>
      <c r="D570" t="str">
        <f>IF(VLOOKUP(C570,'Capabilities Overview'!$A$2:$A$587,1)=C570,"","Not in IOE")</f>
        <v/>
      </c>
      <c r="E570" t="s">
        <v>1</v>
      </c>
      <c r="F570" t="s">
        <v>275</v>
      </c>
      <c r="G570" t="s">
        <v>275</v>
      </c>
      <c r="H570" t="s">
        <v>275</v>
      </c>
      <c r="I570" t="s">
        <v>275</v>
      </c>
      <c r="J570" t="s">
        <v>275</v>
      </c>
      <c r="K570" t="s">
        <v>275</v>
      </c>
      <c r="L570" t="s">
        <v>275</v>
      </c>
      <c r="M570" t="s">
        <v>275</v>
      </c>
      <c r="N570" t="s">
        <v>275</v>
      </c>
      <c r="O570" t="s">
        <v>275</v>
      </c>
      <c r="P570" t="s">
        <v>1</v>
      </c>
      <c r="Q570" t="s">
        <v>275</v>
      </c>
      <c r="R570" t="s">
        <v>275</v>
      </c>
      <c r="S570" t="s">
        <v>275</v>
      </c>
      <c r="T570" t="s">
        <v>275</v>
      </c>
      <c r="U570" t="s">
        <v>275</v>
      </c>
      <c r="V570" t="s">
        <v>275</v>
      </c>
    </row>
    <row r="571" spans="1:22">
      <c r="A571">
        <v>569</v>
      </c>
      <c r="B571" t="s">
        <v>1519</v>
      </c>
      <c r="C571" t="s">
        <v>1520</v>
      </c>
      <c r="D571" t="str">
        <f>IF(VLOOKUP(C571,'Capabilities Overview'!$A$2:$A$587,1)=C571,"","Not in IOE")</f>
        <v/>
      </c>
      <c r="E571" t="s">
        <v>1</v>
      </c>
      <c r="F571" t="s">
        <v>1</v>
      </c>
      <c r="G571" t="s">
        <v>275</v>
      </c>
      <c r="H571" t="s">
        <v>275</v>
      </c>
      <c r="I571" t="s">
        <v>1</v>
      </c>
      <c r="J571" t="s">
        <v>1</v>
      </c>
      <c r="K571" t="s">
        <v>275</v>
      </c>
      <c r="L571" t="s">
        <v>275</v>
      </c>
      <c r="M571" t="s">
        <v>275</v>
      </c>
      <c r="N571" t="s">
        <v>275</v>
      </c>
      <c r="O571" t="s">
        <v>275</v>
      </c>
      <c r="P571" t="s">
        <v>275</v>
      </c>
      <c r="Q571" t="s">
        <v>275</v>
      </c>
      <c r="R571" t="s">
        <v>275</v>
      </c>
      <c r="S571" t="s">
        <v>275</v>
      </c>
      <c r="T571" t="s">
        <v>275</v>
      </c>
      <c r="U571" t="s">
        <v>275</v>
      </c>
      <c r="V571" t="s">
        <v>275</v>
      </c>
    </row>
    <row r="572" spans="1:22">
      <c r="A572">
        <v>570</v>
      </c>
      <c r="B572" t="s">
        <v>1521</v>
      </c>
      <c r="C572" t="s">
        <v>1522</v>
      </c>
      <c r="D572" t="str">
        <f>IF(VLOOKUP(C572,'Capabilities Overview'!$A$2:$A$587,1)=C572,"","Not in IOE")</f>
        <v/>
      </c>
      <c r="E572" t="s">
        <v>1</v>
      </c>
      <c r="F572" t="s">
        <v>1</v>
      </c>
      <c r="G572" t="s">
        <v>275</v>
      </c>
      <c r="H572" t="s">
        <v>275</v>
      </c>
      <c r="I572" t="s">
        <v>1</v>
      </c>
      <c r="J572" t="s">
        <v>1</v>
      </c>
      <c r="K572" t="s">
        <v>275</v>
      </c>
      <c r="L572" t="s">
        <v>275</v>
      </c>
      <c r="M572" t="s">
        <v>275</v>
      </c>
      <c r="N572" t="s">
        <v>275</v>
      </c>
      <c r="O572" t="s">
        <v>275</v>
      </c>
      <c r="P572" t="s">
        <v>275</v>
      </c>
      <c r="Q572" t="s">
        <v>275</v>
      </c>
      <c r="R572" t="s">
        <v>275</v>
      </c>
      <c r="S572" t="s">
        <v>275</v>
      </c>
      <c r="T572" t="s">
        <v>275</v>
      </c>
      <c r="U572" t="s">
        <v>275</v>
      </c>
      <c r="V572" t="s">
        <v>275</v>
      </c>
    </row>
    <row r="573" spans="1:22">
      <c r="A573">
        <v>571</v>
      </c>
      <c r="B573" t="s">
        <v>1527</v>
      </c>
      <c r="C573" t="s">
        <v>1528</v>
      </c>
      <c r="D573" t="str">
        <f>IF(VLOOKUP(C573,'Capabilities Overview'!$A$2:$A$587,1)=C573,"","Not in IOE")</f>
        <v/>
      </c>
      <c r="E573" t="s">
        <v>1</v>
      </c>
      <c r="F573" t="s">
        <v>1</v>
      </c>
      <c r="G573" t="s">
        <v>275</v>
      </c>
      <c r="H573" t="s">
        <v>275</v>
      </c>
      <c r="I573" t="s">
        <v>1</v>
      </c>
      <c r="J573" t="s">
        <v>1</v>
      </c>
      <c r="K573" t="s">
        <v>275</v>
      </c>
      <c r="L573" t="s">
        <v>275</v>
      </c>
      <c r="M573" t="s">
        <v>275</v>
      </c>
      <c r="N573" t="s">
        <v>275</v>
      </c>
      <c r="O573" t="s">
        <v>275</v>
      </c>
      <c r="P573" t="s">
        <v>275</v>
      </c>
      <c r="Q573" t="s">
        <v>275</v>
      </c>
      <c r="R573" t="s">
        <v>275</v>
      </c>
      <c r="S573" t="s">
        <v>275</v>
      </c>
      <c r="T573" t="s">
        <v>275</v>
      </c>
      <c r="U573" t="s">
        <v>275</v>
      </c>
      <c r="V573" t="s">
        <v>275</v>
      </c>
    </row>
    <row r="574" spans="1:22">
      <c r="A574">
        <v>572</v>
      </c>
      <c r="B574" t="s">
        <v>1529</v>
      </c>
      <c r="C574" t="s">
        <v>1530</v>
      </c>
      <c r="D574" t="str">
        <f>IF(VLOOKUP(C574,'Capabilities Overview'!$A$2:$A$587,1)=C574,"","Not in IOE")</f>
        <v/>
      </c>
      <c r="E574" t="s">
        <v>1</v>
      </c>
      <c r="F574" t="s">
        <v>1</v>
      </c>
      <c r="G574" t="s">
        <v>275</v>
      </c>
      <c r="H574" t="s">
        <v>275</v>
      </c>
      <c r="I574" t="s">
        <v>1</v>
      </c>
      <c r="J574" t="s">
        <v>1</v>
      </c>
      <c r="K574" t="s">
        <v>275</v>
      </c>
      <c r="L574" t="s">
        <v>275</v>
      </c>
      <c r="M574" t="s">
        <v>275</v>
      </c>
      <c r="N574" t="s">
        <v>275</v>
      </c>
      <c r="O574" t="s">
        <v>275</v>
      </c>
      <c r="P574" t="s">
        <v>275</v>
      </c>
      <c r="Q574" t="s">
        <v>275</v>
      </c>
      <c r="R574" t="s">
        <v>275</v>
      </c>
      <c r="S574" t="s">
        <v>275</v>
      </c>
      <c r="T574" t="s">
        <v>275</v>
      </c>
      <c r="U574" t="s">
        <v>275</v>
      </c>
      <c r="V574" t="s">
        <v>275</v>
      </c>
    </row>
    <row r="575" spans="1:22">
      <c r="A575">
        <v>573</v>
      </c>
      <c r="B575" t="s">
        <v>1531</v>
      </c>
      <c r="C575" t="s">
        <v>1532</v>
      </c>
      <c r="D575" t="str">
        <f>IF(VLOOKUP(C575,'Capabilities Overview'!$A$2:$A$587,1)=C575,"","Not in IOE")</f>
        <v/>
      </c>
      <c r="E575" t="s">
        <v>1</v>
      </c>
      <c r="F575" t="s">
        <v>1</v>
      </c>
      <c r="G575" t="s">
        <v>275</v>
      </c>
      <c r="H575" t="s">
        <v>275</v>
      </c>
      <c r="I575" t="s">
        <v>1</v>
      </c>
      <c r="J575" t="s">
        <v>1</v>
      </c>
      <c r="K575" t="s">
        <v>275</v>
      </c>
      <c r="L575" t="s">
        <v>275</v>
      </c>
      <c r="M575" t="s">
        <v>275</v>
      </c>
      <c r="N575" t="s">
        <v>275</v>
      </c>
      <c r="O575" t="s">
        <v>275</v>
      </c>
      <c r="P575" t="s">
        <v>275</v>
      </c>
      <c r="Q575" t="s">
        <v>275</v>
      </c>
      <c r="R575" t="s">
        <v>275</v>
      </c>
      <c r="S575" t="s">
        <v>275</v>
      </c>
      <c r="T575" t="s">
        <v>275</v>
      </c>
      <c r="U575" t="s">
        <v>275</v>
      </c>
      <c r="V575" t="s">
        <v>275</v>
      </c>
    </row>
    <row r="576" spans="1:22">
      <c r="A576">
        <v>574</v>
      </c>
      <c r="B576" t="s">
        <v>1533</v>
      </c>
      <c r="C576" t="s">
        <v>1534</v>
      </c>
      <c r="D576" t="str">
        <f>IF(VLOOKUP(C576,'Capabilities Overview'!$A$2:$A$587,1)=C576,"","Not in IOE")</f>
        <v/>
      </c>
      <c r="E576" t="s">
        <v>1</v>
      </c>
      <c r="F576" t="s">
        <v>1</v>
      </c>
      <c r="G576" t="s">
        <v>275</v>
      </c>
      <c r="H576" t="s">
        <v>275</v>
      </c>
      <c r="I576" t="s">
        <v>1</v>
      </c>
      <c r="J576" t="s">
        <v>1</v>
      </c>
      <c r="K576" t="s">
        <v>275</v>
      </c>
      <c r="L576" t="s">
        <v>275</v>
      </c>
      <c r="M576" t="s">
        <v>275</v>
      </c>
      <c r="N576" t="s">
        <v>275</v>
      </c>
      <c r="O576" t="s">
        <v>275</v>
      </c>
      <c r="P576" t="s">
        <v>275</v>
      </c>
      <c r="Q576" t="s">
        <v>275</v>
      </c>
      <c r="R576" t="s">
        <v>275</v>
      </c>
      <c r="S576" t="s">
        <v>275</v>
      </c>
      <c r="T576" t="s">
        <v>275</v>
      </c>
      <c r="U576" t="s">
        <v>275</v>
      </c>
      <c r="V576" t="s">
        <v>275</v>
      </c>
    </row>
    <row r="577" spans="1:22">
      <c r="A577">
        <v>575</v>
      </c>
      <c r="B577" t="s">
        <v>1535</v>
      </c>
      <c r="C577" t="s">
        <v>1536</v>
      </c>
      <c r="D577" t="str">
        <f>IF(VLOOKUP(C577,'Capabilities Overview'!$A$2:$A$587,1)=C577,"","Not in IOE")</f>
        <v/>
      </c>
      <c r="E577" t="s">
        <v>1</v>
      </c>
      <c r="F577" t="s">
        <v>1</v>
      </c>
      <c r="G577" t="s">
        <v>275</v>
      </c>
      <c r="H577" t="s">
        <v>275</v>
      </c>
      <c r="I577" t="s">
        <v>1</v>
      </c>
      <c r="J577" t="s">
        <v>1</v>
      </c>
      <c r="K577" t="s">
        <v>275</v>
      </c>
      <c r="L577" t="s">
        <v>275</v>
      </c>
      <c r="M577" t="s">
        <v>275</v>
      </c>
      <c r="N577" t="s">
        <v>275</v>
      </c>
      <c r="O577" t="s">
        <v>275</v>
      </c>
      <c r="P577" t="s">
        <v>275</v>
      </c>
      <c r="Q577" t="s">
        <v>275</v>
      </c>
      <c r="R577" t="s">
        <v>275</v>
      </c>
      <c r="S577" t="s">
        <v>275</v>
      </c>
      <c r="T577" t="s">
        <v>275</v>
      </c>
      <c r="U577" t="s">
        <v>275</v>
      </c>
      <c r="V577" t="s">
        <v>275</v>
      </c>
    </row>
    <row r="578" spans="1:22">
      <c r="A578">
        <v>576</v>
      </c>
      <c r="B578" t="s">
        <v>1537</v>
      </c>
      <c r="C578" t="s">
        <v>1538</v>
      </c>
      <c r="D578" t="str">
        <f>IF(VLOOKUP(C578,'Capabilities Overview'!$A$2:$A$587,1)=C578,"","Not in IOE")</f>
        <v/>
      </c>
      <c r="E578" t="s">
        <v>1</v>
      </c>
      <c r="F578" t="s">
        <v>1</v>
      </c>
      <c r="G578" t="s">
        <v>275</v>
      </c>
      <c r="H578" t="s">
        <v>275</v>
      </c>
      <c r="I578" t="s">
        <v>1</v>
      </c>
      <c r="J578" t="s">
        <v>1</v>
      </c>
      <c r="K578" t="s">
        <v>275</v>
      </c>
      <c r="L578" t="s">
        <v>275</v>
      </c>
      <c r="M578" t="s">
        <v>275</v>
      </c>
      <c r="N578" t="s">
        <v>275</v>
      </c>
      <c r="O578" t="s">
        <v>275</v>
      </c>
      <c r="P578" t="s">
        <v>275</v>
      </c>
      <c r="Q578" t="s">
        <v>275</v>
      </c>
      <c r="R578" t="s">
        <v>275</v>
      </c>
      <c r="S578" t="s">
        <v>275</v>
      </c>
      <c r="T578" t="s">
        <v>275</v>
      </c>
      <c r="U578" t="s">
        <v>275</v>
      </c>
      <c r="V578" t="s">
        <v>275</v>
      </c>
    </row>
    <row r="579" spans="1:22">
      <c r="A579">
        <v>577</v>
      </c>
      <c r="B579" t="s">
        <v>1541</v>
      </c>
      <c r="C579" t="s">
        <v>1542</v>
      </c>
      <c r="D579" t="str">
        <f>IF(VLOOKUP(C579,'Capabilities Overview'!$A$2:$A$587,1)=C579,"","Not in IOE")</f>
        <v/>
      </c>
      <c r="E579" t="s">
        <v>1</v>
      </c>
      <c r="F579" t="s">
        <v>1</v>
      </c>
      <c r="G579" t="s">
        <v>275</v>
      </c>
      <c r="H579" t="s">
        <v>275</v>
      </c>
      <c r="I579" t="s">
        <v>1</v>
      </c>
      <c r="J579" t="s">
        <v>1</v>
      </c>
      <c r="K579" t="s">
        <v>275</v>
      </c>
      <c r="L579" t="s">
        <v>275</v>
      </c>
      <c r="M579" t="s">
        <v>275</v>
      </c>
      <c r="N579" t="s">
        <v>275</v>
      </c>
      <c r="O579" t="s">
        <v>275</v>
      </c>
      <c r="P579" t="s">
        <v>275</v>
      </c>
      <c r="Q579" t="s">
        <v>275</v>
      </c>
      <c r="R579" t="s">
        <v>275</v>
      </c>
      <c r="S579" t="s">
        <v>275</v>
      </c>
      <c r="T579" t="s">
        <v>275</v>
      </c>
      <c r="U579" t="s">
        <v>275</v>
      </c>
      <c r="V579" t="s">
        <v>275</v>
      </c>
    </row>
    <row r="580" spans="1:22">
      <c r="A580">
        <v>578</v>
      </c>
      <c r="B580" t="s">
        <v>1543</v>
      </c>
      <c r="C580" t="s">
        <v>1544</v>
      </c>
      <c r="D580" t="str">
        <f>IF(VLOOKUP(C580,'Capabilities Overview'!$A$2:$A$587,1)=C580,"","Not in IOE")</f>
        <v/>
      </c>
      <c r="E580" t="s">
        <v>1</v>
      </c>
      <c r="F580" t="s">
        <v>1</v>
      </c>
      <c r="G580" t="s">
        <v>275</v>
      </c>
      <c r="H580" t="s">
        <v>275</v>
      </c>
      <c r="I580" t="s">
        <v>1</v>
      </c>
      <c r="J580" t="s">
        <v>1</v>
      </c>
      <c r="K580" t="s">
        <v>275</v>
      </c>
      <c r="L580" t="s">
        <v>275</v>
      </c>
      <c r="M580" t="s">
        <v>275</v>
      </c>
      <c r="N580" t="s">
        <v>275</v>
      </c>
      <c r="O580" t="s">
        <v>275</v>
      </c>
      <c r="P580" t="s">
        <v>275</v>
      </c>
      <c r="Q580" t="s">
        <v>275</v>
      </c>
      <c r="R580" t="s">
        <v>275</v>
      </c>
      <c r="S580" t="s">
        <v>275</v>
      </c>
      <c r="T580" t="s">
        <v>275</v>
      </c>
      <c r="U580" t="s">
        <v>275</v>
      </c>
      <c r="V580" t="s">
        <v>275</v>
      </c>
    </row>
    <row r="581" spans="1:22">
      <c r="A581">
        <v>579</v>
      </c>
      <c r="B581" t="s">
        <v>1545</v>
      </c>
      <c r="C581" t="s">
        <v>1546</v>
      </c>
      <c r="D581" t="str">
        <f>IF(VLOOKUP(C581,'Capabilities Overview'!$A$2:$A$587,1)=C581,"","Not in IOE")</f>
        <v/>
      </c>
      <c r="E581" t="s">
        <v>1</v>
      </c>
      <c r="F581" t="s">
        <v>1</v>
      </c>
      <c r="G581" t="s">
        <v>275</v>
      </c>
      <c r="H581" t="s">
        <v>275</v>
      </c>
      <c r="I581" t="s">
        <v>1</v>
      </c>
      <c r="J581" t="s">
        <v>1</v>
      </c>
      <c r="K581" t="s">
        <v>275</v>
      </c>
      <c r="L581" t="s">
        <v>275</v>
      </c>
      <c r="M581" t="s">
        <v>275</v>
      </c>
      <c r="N581" t="s">
        <v>275</v>
      </c>
      <c r="O581" t="s">
        <v>275</v>
      </c>
      <c r="P581" t="s">
        <v>275</v>
      </c>
      <c r="Q581" t="s">
        <v>275</v>
      </c>
      <c r="R581" t="s">
        <v>275</v>
      </c>
      <c r="S581" t="s">
        <v>275</v>
      </c>
      <c r="T581" t="s">
        <v>275</v>
      </c>
      <c r="U581" t="s">
        <v>275</v>
      </c>
      <c r="V581" t="s">
        <v>275</v>
      </c>
    </row>
    <row r="582" spans="1:22">
      <c r="A582">
        <v>580</v>
      </c>
      <c r="B582" t="s">
        <v>1770</v>
      </c>
      <c r="C582" t="s">
        <v>1771</v>
      </c>
      <c r="D582" t="str">
        <f>IF(VLOOKUP(C582,'Capabilities Overview'!$A$2:$A$587,1)=C582,"","Not in IOE")</f>
        <v>Not in IOE</v>
      </c>
      <c r="E582" t="s">
        <v>1</v>
      </c>
      <c r="F582" t="s">
        <v>1</v>
      </c>
      <c r="G582" t="s">
        <v>275</v>
      </c>
      <c r="H582" t="s">
        <v>275</v>
      </c>
      <c r="I582" t="s">
        <v>1</v>
      </c>
      <c r="J582" t="s">
        <v>1</v>
      </c>
      <c r="K582" t="s">
        <v>275</v>
      </c>
      <c r="L582" t="s">
        <v>275</v>
      </c>
      <c r="M582" t="s">
        <v>275</v>
      </c>
      <c r="N582" t="s">
        <v>275</v>
      </c>
      <c r="O582" t="s">
        <v>275</v>
      </c>
      <c r="P582" t="s">
        <v>275</v>
      </c>
      <c r="Q582" t="s">
        <v>275</v>
      </c>
      <c r="R582" t="s">
        <v>275</v>
      </c>
      <c r="S582" t="s">
        <v>275</v>
      </c>
      <c r="T582" t="s">
        <v>275</v>
      </c>
      <c r="U582" t="s">
        <v>275</v>
      </c>
      <c r="V582" t="s">
        <v>1</v>
      </c>
    </row>
    <row r="583" spans="1:22">
      <c r="A583">
        <v>581</v>
      </c>
      <c r="B583" t="s">
        <v>1772</v>
      </c>
      <c r="C583" t="s">
        <v>1773</v>
      </c>
      <c r="D583" t="str">
        <f>IF(VLOOKUP(C583,'Capabilities Overview'!$A$2:$A$587,1)=C583,"","Not in IOE")</f>
        <v>Not in IOE</v>
      </c>
      <c r="E583" t="s">
        <v>275</v>
      </c>
      <c r="F583" t="s">
        <v>1</v>
      </c>
      <c r="G583" t="s">
        <v>275</v>
      </c>
      <c r="H583" t="s">
        <v>275</v>
      </c>
      <c r="I583" t="s">
        <v>275</v>
      </c>
      <c r="J583" t="s">
        <v>275</v>
      </c>
      <c r="K583" t="s">
        <v>275</v>
      </c>
      <c r="L583" t="s">
        <v>275</v>
      </c>
      <c r="M583" t="s">
        <v>275</v>
      </c>
      <c r="N583" t="s">
        <v>275</v>
      </c>
      <c r="O583" t="s">
        <v>275</v>
      </c>
      <c r="P583" t="s">
        <v>275</v>
      </c>
      <c r="Q583" t="s">
        <v>275</v>
      </c>
      <c r="R583" t="s">
        <v>275</v>
      </c>
      <c r="S583" t="s">
        <v>275</v>
      </c>
      <c r="T583" t="s">
        <v>275</v>
      </c>
      <c r="U583" t="s">
        <v>275</v>
      </c>
      <c r="V583" t="s">
        <v>1</v>
      </c>
    </row>
    <row r="584" spans="1:22">
      <c r="A584">
        <v>582</v>
      </c>
      <c r="B584" t="s">
        <v>1774</v>
      </c>
      <c r="C584" t="s">
        <v>1775</v>
      </c>
      <c r="D584" t="str">
        <f>IF(VLOOKUP(C584,'Capabilities Overview'!$A$2:$A$587,1)=C584,"","Not in IOE")</f>
        <v>Not in IOE</v>
      </c>
      <c r="E584" t="s">
        <v>275</v>
      </c>
      <c r="F584" t="s">
        <v>1</v>
      </c>
      <c r="G584" t="s">
        <v>275</v>
      </c>
      <c r="H584" t="s">
        <v>275</v>
      </c>
      <c r="I584" t="s">
        <v>275</v>
      </c>
      <c r="J584" t="s">
        <v>275</v>
      </c>
      <c r="K584" t="s">
        <v>275</v>
      </c>
      <c r="L584" t="s">
        <v>275</v>
      </c>
      <c r="M584" t="s">
        <v>275</v>
      </c>
      <c r="N584" t="s">
        <v>275</v>
      </c>
      <c r="O584" t="s">
        <v>275</v>
      </c>
      <c r="P584" t="s">
        <v>275</v>
      </c>
      <c r="Q584" t="s">
        <v>275</v>
      </c>
      <c r="R584" t="s">
        <v>275</v>
      </c>
      <c r="S584" t="s">
        <v>275</v>
      </c>
      <c r="T584" t="s">
        <v>275</v>
      </c>
      <c r="U584" t="s">
        <v>275</v>
      </c>
      <c r="V584" t="s">
        <v>1</v>
      </c>
    </row>
    <row r="585" spans="1:22">
      <c r="A585">
        <v>583</v>
      </c>
      <c r="B585" t="s">
        <v>1776</v>
      </c>
      <c r="C585" t="s">
        <v>1777</v>
      </c>
      <c r="D585" t="str">
        <f>IF(VLOOKUP(C585,'Capabilities Overview'!$A$2:$A$587,1)=C585,"","Not in IOE")</f>
        <v>Not in IOE</v>
      </c>
      <c r="E585" t="s">
        <v>275</v>
      </c>
      <c r="F585" t="s">
        <v>1</v>
      </c>
      <c r="G585" t="s">
        <v>275</v>
      </c>
      <c r="H585" t="s">
        <v>275</v>
      </c>
      <c r="I585" t="s">
        <v>275</v>
      </c>
      <c r="J585" t="s">
        <v>275</v>
      </c>
      <c r="K585" t="s">
        <v>275</v>
      </c>
      <c r="L585" t="s">
        <v>275</v>
      </c>
      <c r="M585" t="s">
        <v>275</v>
      </c>
      <c r="N585" t="s">
        <v>275</v>
      </c>
      <c r="O585" t="s">
        <v>275</v>
      </c>
      <c r="P585" t="s">
        <v>275</v>
      </c>
      <c r="Q585" t="s">
        <v>275</v>
      </c>
      <c r="R585" t="s">
        <v>275</v>
      </c>
      <c r="S585" t="s">
        <v>275</v>
      </c>
      <c r="T585" t="s">
        <v>275</v>
      </c>
      <c r="U585" t="s">
        <v>275</v>
      </c>
      <c r="V585" t="s">
        <v>1</v>
      </c>
    </row>
    <row r="586" spans="1:22">
      <c r="A586">
        <v>584</v>
      </c>
      <c r="B586" t="s">
        <v>1778</v>
      </c>
      <c r="C586" t="s">
        <v>1779</v>
      </c>
      <c r="D586" t="str">
        <f>IF(VLOOKUP(C586,'Capabilities Overview'!$A$2:$A$587,1)=C586,"","Not in IOE")</f>
        <v>Not in IOE</v>
      </c>
      <c r="E586" t="s">
        <v>275</v>
      </c>
      <c r="F586" t="s">
        <v>1</v>
      </c>
      <c r="G586" t="s">
        <v>275</v>
      </c>
      <c r="H586" t="s">
        <v>275</v>
      </c>
      <c r="I586" t="s">
        <v>1</v>
      </c>
      <c r="J586" t="s">
        <v>1</v>
      </c>
      <c r="K586" t="s">
        <v>275</v>
      </c>
      <c r="L586" t="s">
        <v>275</v>
      </c>
      <c r="M586" t="s">
        <v>275</v>
      </c>
      <c r="N586" t="s">
        <v>275</v>
      </c>
      <c r="O586" t="s">
        <v>275</v>
      </c>
      <c r="P586" t="s">
        <v>275</v>
      </c>
      <c r="Q586" t="s">
        <v>275</v>
      </c>
      <c r="R586" t="s">
        <v>275</v>
      </c>
      <c r="S586" t="s">
        <v>275</v>
      </c>
      <c r="T586" t="s">
        <v>275</v>
      </c>
      <c r="U586" t="s">
        <v>275</v>
      </c>
      <c r="V586" t="s">
        <v>275</v>
      </c>
    </row>
    <row r="587" spans="1:22">
      <c r="A587">
        <v>585</v>
      </c>
      <c r="B587" t="s">
        <v>839</v>
      </c>
      <c r="C587" t="s">
        <v>1780</v>
      </c>
      <c r="D587" t="str">
        <f>IF(VLOOKUP(C587,'Capabilities Overview'!$A$2:$A$587,1)=C587,"","Not in IOE")</f>
        <v>Not in IOE</v>
      </c>
      <c r="E587" t="s">
        <v>275</v>
      </c>
      <c r="F587" t="s">
        <v>1</v>
      </c>
      <c r="G587" t="s">
        <v>275</v>
      </c>
      <c r="H587" t="s">
        <v>275</v>
      </c>
      <c r="I587" t="s">
        <v>275</v>
      </c>
      <c r="J587" t="s">
        <v>275</v>
      </c>
      <c r="K587" t="s">
        <v>275</v>
      </c>
      <c r="L587" t="s">
        <v>275</v>
      </c>
      <c r="M587" t="s">
        <v>275</v>
      </c>
      <c r="N587" t="s">
        <v>275</v>
      </c>
      <c r="O587" t="s">
        <v>275</v>
      </c>
      <c r="P587" t="s">
        <v>275</v>
      </c>
      <c r="Q587" t="s">
        <v>275</v>
      </c>
      <c r="R587" t="s">
        <v>275</v>
      </c>
      <c r="S587" t="s">
        <v>275</v>
      </c>
      <c r="T587" t="s">
        <v>275</v>
      </c>
      <c r="U587" t="s">
        <v>1</v>
      </c>
      <c r="V587" t="s">
        <v>1</v>
      </c>
    </row>
    <row r="588" spans="1:22">
      <c r="A588">
        <v>586</v>
      </c>
      <c r="B588" t="s">
        <v>1551</v>
      </c>
      <c r="C588" t="s">
        <v>1552</v>
      </c>
      <c r="D588" t="str">
        <f>IF(VLOOKUP(C588,'Capabilities Overview'!$A$2:$A$587,1)=C588,"","Not in IOE")</f>
        <v/>
      </c>
      <c r="E588" t="s">
        <v>1</v>
      </c>
      <c r="F588" t="s">
        <v>1</v>
      </c>
      <c r="G588" t="s">
        <v>275</v>
      </c>
      <c r="H588" t="s">
        <v>275</v>
      </c>
      <c r="I588" t="s">
        <v>1</v>
      </c>
      <c r="J588" t="s">
        <v>1</v>
      </c>
      <c r="K588" t="s">
        <v>275</v>
      </c>
      <c r="L588" t="s">
        <v>275</v>
      </c>
      <c r="M588" t="s">
        <v>275</v>
      </c>
      <c r="N588" t="s">
        <v>275</v>
      </c>
      <c r="O588" t="s">
        <v>275</v>
      </c>
      <c r="P588" t="s">
        <v>275</v>
      </c>
      <c r="Q588" t="s">
        <v>275</v>
      </c>
      <c r="R588" t="s">
        <v>275</v>
      </c>
      <c r="S588" t="s">
        <v>275</v>
      </c>
      <c r="T588" t="s">
        <v>275</v>
      </c>
      <c r="U588" t="s">
        <v>275</v>
      </c>
      <c r="V588" t="s">
        <v>275</v>
      </c>
    </row>
    <row r="589" spans="1:22">
      <c r="A589">
        <v>587</v>
      </c>
      <c r="B589" t="s">
        <v>1781</v>
      </c>
      <c r="C589" t="s">
        <v>1782</v>
      </c>
      <c r="D589" t="str">
        <f>IF(VLOOKUP(C589,'Capabilities Overview'!$A$2:$A$587,1)=C589,"","Not in IOE")</f>
        <v>Not in IOE</v>
      </c>
      <c r="E589" t="s">
        <v>1</v>
      </c>
      <c r="F589" t="s">
        <v>1</v>
      </c>
      <c r="G589" t="s">
        <v>275</v>
      </c>
      <c r="H589" t="s">
        <v>275</v>
      </c>
      <c r="I589" t="s">
        <v>1</v>
      </c>
      <c r="J589" t="s">
        <v>1</v>
      </c>
      <c r="K589" t="s">
        <v>275</v>
      </c>
      <c r="L589" t="s">
        <v>275</v>
      </c>
      <c r="M589" t="s">
        <v>275</v>
      </c>
      <c r="N589" t="s">
        <v>275</v>
      </c>
      <c r="O589" t="s">
        <v>275</v>
      </c>
      <c r="P589" t="s">
        <v>275</v>
      </c>
      <c r="Q589" t="s">
        <v>275</v>
      </c>
      <c r="R589" t="s">
        <v>275</v>
      </c>
      <c r="S589" t="s">
        <v>275</v>
      </c>
      <c r="T589" t="s">
        <v>275</v>
      </c>
      <c r="U589" t="s">
        <v>275</v>
      </c>
      <c r="V589" t="s">
        <v>275</v>
      </c>
    </row>
    <row r="590" spans="1:22">
      <c r="A590">
        <v>588</v>
      </c>
      <c r="B590" t="s">
        <v>1553</v>
      </c>
      <c r="C590" t="s">
        <v>1554</v>
      </c>
      <c r="D590" t="str">
        <f>IF(VLOOKUP(C590,'Capabilities Overview'!$A$2:$A$587,1)=C590,"","Not in IOE")</f>
        <v/>
      </c>
      <c r="E590" t="s">
        <v>1</v>
      </c>
      <c r="F590" t="s">
        <v>1</v>
      </c>
      <c r="G590" t="s">
        <v>275</v>
      </c>
      <c r="H590" t="s">
        <v>275</v>
      </c>
      <c r="I590" t="s">
        <v>1</v>
      </c>
      <c r="J590" t="s">
        <v>1</v>
      </c>
      <c r="K590" t="s">
        <v>275</v>
      </c>
      <c r="L590" t="s">
        <v>275</v>
      </c>
      <c r="M590" t="s">
        <v>275</v>
      </c>
      <c r="N590" t="s">
        <v>275</v>
      </c>
      <c r="O590" t="s">
        <v>275</v>
      </c>
      <c r="P590" t="s">
        <v>275</v>
      </c>
      <c r="Q590" t="s">
        <v>275</v>
      </c>
      <c r="R590" t="s">
        <v>275</v>
      </c>
      <c r="S590" t="s">
        <v>275</v>
      </c>
      <c r="T590" t="s">
        <v>275</v>
      </c>
      <c r="U590" t="s">
        <v>275</v>
      </c>
      <c r="V590" t="s">
        <v>275</v>
      </c>
    </row>
    <row r="591" spans="1:22">
      <c r="A591">
        <v>589</v>
      </c>
      <c r="B591" t="s">
        <v>1559</v>
      </c>
      <c r="C591" t="s">
        <v>1560</v>
      </c>
      <c r="D591" t="str">
        <f>IF(VLOOKUP(C591,'Capabilities Overview'!$A$2:$A$587,1)=C591,"","Not in IOE")</f>
        <v/>
      </c>
      <c r="E591" t="s">
        <v>1</v>
      </c>
      <c r="F591" t="s">
        <v>1</v>
      </c>
      <c r="G591" t="s">
        <v>275</v>
      </c>
      <c r="H591" t="s">
        <v>275</v>
      </c>
      <c r="I591" t="s">
        <v>1</v>
      </c>
      <c r="J591" t="s">
        <v>1</v>
      </c>
      <c r="K591" t="s">
        <v>275</v>
      </c>
      <c r="L591" t="s">
        <v>275</v>
      </c>
      <c r="M591" t="s">
        <v>275</v>
      </c>
      <c r="N591" t="s">
        <v>275</v>
      </c>
      <c r="O591" t="s">
        <v>275</v>
      </c>
      <c r="P591" t="s">
        <v>275</v>
      </c>
      <c r="Q591" t="s">
        <v>275</v>
      </c>
      <c r="R591" t="s">
        <v>275</v>
      </c>
      <c r="S591" t="s">
        <v>275</v>
      </c>
      <c r="T591" t="s">
        <v>275</v>
      </c>
      <c r="U591" t="s">
        <v>275</v>
      </c>
      <c r="V591" t="s">
        <v>275</v>
      </c>
    </row>
    <row r="592" spans="1:22">
      <c r="A592">
        <v>590</v>
      </c>
      <c r="B592" t="s">
        <v>1783</v>
      </c>
      <c r="C592" t="s">
        <v>1784</v>
      </c>
      <c r="D592" t="str">
        <f>IF(VLOOKUP(C592,'Capabilities Overview'!$A$2:$A$587,1)=C592,"","Not in IOE")</f>
        <v>Not in IOE</v>
      </c>
      <c r="E592" t="s">
        <v>1</v>
      </c>
      <c r="F592" t="s">
        <v>1</v>
      </c>
      <c r="G592" t="s">
        <v>275</v>
      </c>
      <c r="H592" t="s">
        <v>275</v>
      </c>
      <c r="I592" t="s">
        <v>1</v>
      </c>
      <c r="J592" t="s">
        <v>1</v>
      </c>
      <c r="K592" t="s">
        <v>275</v>
      </c>
      <c r="L592" t="s">
        <v>275</v>
      </c>
      <c r="M592" t="s">
        <v>275</v>
      </c>
      <c r="N592" t="s">
        <v>275</v>
      </c>
      <c r="O592" t="s">
        <v>275</v>
      </c>
      <c r="P592" t="s">
        <v>275</v>
      </c>
      <c r="Q592" t="s">
        <v>275</v>
      </c>
      <c r="R592" t="s">
        <v>275</v>
      </c>
      <c r="S592" t="s">
        <v>275</v>
      </c>
      <c r="T592" t="s">
        <v>275</v>
      </c>
      <c r="U592" t="s">
        <v>275</v>
      </c>
      <c r="V592" t="s">
        <v>275</v>
      </c>
    </row>
    <row r="593" spans="1:22">
      <c r="A593">
        <v>591</v>
      </c>
      <c r="B593" t="s">
        <v>1785</v>
      </c>
      <c r="C593" t="s">
        <v>1786</v>
      </c>
      <c r="D593" t="str">
        <f>IF(VLOOKUP(C593,'Capabilities Overview'!$A$2:$A$587,1)=C593,"","Not in IOE")</f>
        <v>Not in IOE</v>
      </c>
      <c r="E593" t="s">
        <v>275</v>
      </c>
      <c r="F593" t="s">
        <v>1</v>
      </c>
      <c r="G593" t="s">
        <v>275</v>
      </c>
      <c r="H593" t="s">
        <v>275</v>
      </c>
      <c r="I593" t="s">
        <v>1</v>
      </c>
      <c r="J593" t="s">
        <v>1</v>
      </c>
      <c r="K593" t="s">
        <v>275</v>
      </c>
      <c r="L593" t="s">
        <v>275</v>
      </c>
      <c r="M593" t="s">
        <v>275</v>
      </c>
      <c r="N593" t="s">
        <v>275</v>
      </c>
      <c r="O593" t="s">
        <v>275</v>
      </c>
      <c r="P593" t="s">
        <v>275</v>
      </c>
      <c r="Q593" t="s">
        <v>275</v>
      </c>
      <c r="R593" t="s">
        <v>275</v>
      </c>
      <c r="S593" t="s">
        <v>275</v>
      </c>
      <c r="T593" t="s">
        <v>275</v>
      </c>
      <c r="U593" t="s">
        <v>275</v>
      </c>
      <c r="V593" t="s">
        <v>275</v>
      </c>
    </row>
    <row r="594" spans="1:22">
      <c r="A594">
        <v>592</v>
      </c>
      <c r="B594" t="s">
        <v>1787</v>
      </c>
      <c r="C594" t="s">
        <v>1566</v>
      </c>
      <c r="D594" t="str">
        <f>IF(VLOOKUP(C594,'Capabilities Overview'!$A$2:$A$587,1)=C594,"","Not in IOE")</f>
        <v/>
      </c>
      <c r="E594" t="s">
        <v>1</v>
      </c>
      <c r="F594" t="s">
        <v>1</v>
      </c>
      <c r="G594" t="s">
        <v>275</v>
      </c>
      <c r="H594" t="s">
        <v>275</v>
      </c>
      <c r="I594" t="s">
        <v>1</v>
      </c>
      <c r="J594" t="s">
        <v>1</v>
      </c>
      <c r="K594" t="s">
        <v>275</v>
      </c>
      <c r="L594" t="s">
        <v>275</v>
      </c>
      <c r="M594" t="s">
        <v>275</v>
      </c>
      <c r="N594" t="s">
        <v>275</v>
      </c>
      <c r="O594" t="s">
        <v>275</v>
      </c>
      <c r="P594" t="s">
        <v>275</v>
      </c>
      <c r="Q594" t="s">
        <v>275</v>
      </c>
      <c r="R594" t="s">
        <v>275</v>
      </c>
      <c r="S594" t="s">
        <v>275</v>
      </c>
      <c r="T594" t="s">
        <v>275</v>
      </c>
      <c r="U594" t="s">
        <v>275</v>
      </c>
      <c r="V594" t="s">
        <v>275</v>
      </c>
    </row>
    <row r="595" spans="1:22">
      <c r="A595">
        <v>593</v>
      </c>
      <c r="B595" t="s">
        <v>1788</v>
      </c>
      <c r="C595" t="s">
        <v>1568</v>
      </c>
      <c r="D595" t="str">
        <f>IF(VLOOKUP(C595,'Capabilities Overview'!$A$2:$A$587,1)=C595,"","Not in IOE")</f>
        <v/>
      </c>
      <c r="E595" t="s">
        <v>1</v>
      </c>
      <c r="F595" t="s">
        <v>1</v>
      </c>
      <c r="G595" t="s">
        <v>275</v>
      </c>
      <c r="H595" t="s">
        <v>1</v>
      </c>
      <c r="I595" t="s">
        <v>1</v>
      </c>
      <c r="J595" t="s">
        <v>1</v>
      </c>
      <c r="K595" t="s">
        <v>1</v>
      </c>
      <c r="L595" t="s">
        <v>1</v>
      </c>
      <c r="M595" t="s">
        <v>1</v>
      </c>
      <c r="N595" t="s">
        <v>1</v>
      </c>
      <c r="O595" t="s">
        <v>275</v>
      </c>
      <c r="P595" t="s">
        <v>275</v>
      </c>
      <c r="Q595" t="s">
        <v>275</v>
      </c>
      <c r="R595" t="s">
        <v>275</v>
      </c>
      <c r="S595" t="s">
        <v>275</v>
      </c>
      <c r="T595" t="s">
        <v>1</v>
      </c>
      <c r="U595" t="s">
        <v>275</v>
      </c>
      <c r="V595" t="s">
        <v>275</v>
      </c>
    </row>
    <row r="596" spans="1:22">
      <c r="A596">
        <v>594</v>
      </c>
      <c r="B596" t="s">
        <v>1579</v>
      </c>
      <c r="C596" t="s">
        <v>1580</v>
      </c>
      <c r="D596" t="str">
        <f>IF(VLOOKUP(C596,'Capabilities Overview'!$A$2:$A$587,1)=C596,"","Not in IOE")</f>
        <v/>
      </c>
      <c r="E596" t="s">
        <v>1</v>
      </c>
      <c r="F596" t="s">
        <v>1</v>
      </c>
      <c r="G596" t="s">
        <v>275</v>
      </c>
      <c r="H596" t="s">
        <v>275</v>
      </c>
      <c r="I596" t="s">
        <v>1</v>
      </c>
      <c r="J596" t="s">
        <v>1</v>
      </c>
      <c r="K596" t="s">
        <v>275</v>
      </c>
      <c r="L596" t="s">
        <v>275</v>
      </c>
      <c r="M596" t="s">
        <v>275</v>
      </c>
      <c r="N596" t="s">
        <v>275</v>
      </c>
      <c r="O596" t="s">
        <v>275</v>
      </c>
      <c r="P596" t="s">
        <v>275</v>
      </c>
      <c r="Q596" t="s">
        <v>275</v>
      </c>
      <c r="R596" t="s">
        <v>275</v>
      </c>
      <c r="S596" t="s">
        <v>275</v>
      </c>
      <c r="T596" t="s">
        <v>275</v>
      </c>
      <c r="U596" t="s">
        <v>275</v>
      </c>
      <c r="V596" t="s">
        <v>275</v>
      </c>
    </row>
    <row r="597" spans="1:22">
      <c r="A597">
        <v>595</v>
      </c>
      <c r="B597" t="s">
        <v>1593</v>
      </c>
      <c r="C597" t="s">
        <v>1594</v>
      </c>
      <c r="D597" t="str">
        <f>IF(VLOOKUP(C597,'Capabilities Overview'!$A$2:$A$587,1)=C597,"","Not in IOE")</f>
        <v/>
      </c>
      <c r="E597" t="s">
        <v>1</v>
      </c>
      <c r="F597" t="s">
        <v>1</v>
      </c>
      <c r="G597" t="s">
        <v>275</v>
      </c>
      <c r="H597" t="s">
        <v>275</v>
      </c>
      <c r="I597" t="s">
        <v>1</v>
      </c>
      <c r="J597" t="s">
        <v>1</v>
      </c>
      <c r="K597" t="s">
        <v>275</v>
      </c>
      <c r="L597" t="s">
        <v>275</v>
      </c>
      <c r="M597" t="s">
        <v>275</v>
      </c>
      <c r="N597" t="s">
        <v>275</v>
      </c>
      <c r="O597" t="s">
        <v>275</v>
      </c>
      <c r="P597" t="s">
        <v>275</v>
      </c>
      <c r="Q597" t="s">
        <v>275</v>
      </c>
      <c r="R597" t="s">
        <v>275</v>
      </c>
      <c r="S597" t="s">
        <v>275</v>
      </c>
      <c r="T597" t="s">
        <v>275</v>
      </c>
      <c r="U597" t="s">
        <v>275</v>
      </c>
      <c r="V597" t="s">
        <v>275</v>
      </c>
    </row>
    <row r="598" spans="1:22">
      <c r="A598">
        <v>596</v>
      </c>
      <c r="B598" t="s">
        <v>1789</v>
      </c>
      <c r="C598" t="s">
        <v>1602</v>
      </c>
      <c r="D598" t="str">
        <f>IF(VLOOKUP(C598,'Capabilities Overview'!$A$2:$A$587,1)=C598,"","Not in IOE")</f>
        <v/>
      </c>
      <c r="E598" t="s">
        <v>1</v>
      </c>
      <c r="F598" t="s">
        <v>1</v>
      </c>
      <c r="G598" t="s">
        <v>275</v>
      </c>
      <c r="H598" t="s">
        <v>275</v>
      </c>
      <c r="I598" t="s">
        <v>1</v>
      </c>
      <c r="J598" t="s">
        <v>1</v>
      </c>
      <c r="K598" t="s">
        <v>275</v>
      </c>
      <c r="L598" t="s">
        <v>275</v>
      </c>
      <c r="M598" t="s">
        <v>275</v>
      </c>
      <c r="N598" t="s">
        <v>275</v>
      </c>
      <c r="O598" t="s">
        <v>275</v>
      </c>
      <c r="P598" t="s">
        <v>275</v>
      </c>
      <c r="Q598" t="s">
        <v>275</v>
      </c>
      <c r="R598" t="s">
        <v>275</v>
      </c>
      <c r="S598" t="s">
        <v>275</v>
      </c>
      <c r="T598" t="s">
        <v>275</v>
      </c>
      <c r="U598" t="s">
        <v>275</v>
      </c>
      <c r="V598" t="s">
        <v>275</v>
      </c>
    </row>
    <row r="599" spans="1:22">
      <c r="A599">
        <v>597</v>
      </c>
      <c r="B599" t="s">
        <v>1790</v>
      </c>
      <c r="C599" t="s">
        <v>1791</v>
      </c>
      <c r="D599" t="str">
        <f>IF(VLOOKUP(C599,'Capabilities Overview'!$A$2:$A$587,1)=C599,"","Not in IOE")</f>
        <v>Not in IOE</v>
      </c>
      <c r="E599" t="s">
        <v>1</v>
      </c>
      <c r="F599" t="s">
        <v>1</v>
      </c>
      <c r="G599" t="s">
        <v>275</v>
      </c>
      <c r="H599" t="s">
        <v>275</v>
      </c>
      <c r="I599" t="s">
        <v>1</v>
      </c>
      <c r="J599" t="s">
        <v>1</v>
      </c>
      <c r="K599" t="s">
        <v>275</v>
      </c>
      <c r="L599" t="s">
        <v>275</v>
      </c>
      <c r="M599" t="s">
        <v>275</v>
      </c>
      <c r="N599" t="s">
        <v>275</v>
      </c>
      <c r="O599" t="s">
        <v>275</v>
      </c>
      <c r="P599" t="s">
        <v>275</v>
      </c>
      <c r="Q599" t="s">
        <v>275</v>
      </c>
      <c r="R599" t="s">
        <v>275</v>
      </c>
      <c r="S599" t="s">
        <v>275</v>
      </c>
      <c r="T599" t="s">
        <v>275</v>
      </c>
      <c r="U599" t="s">
        <v>275</v>
      </c>
      <c r="V599" t="s">
        <v>275</v>
      </c>
    </row>
    <row r="600" spans="1:22">
      <c r="A600">
        <v>598</v>
      </c>
      <c r="B600" t="s">
        <v>1792</v>
      </c>
      <c r="C600" t="s">
        <v>1793</v>
      </c>
      <c r="D600" t="str">
        <f>IF(VLOOKUP(C600,'Capabilities Overview'!$A$2:$A$587,1)=C600,"","Not in IOE")</f>
        <v>Not in IOE</v>
      </c>
      <c r="E600" t="s">
        <v>1</v>
      </c>
      <c r="F600" t="s">
        <v>1</v>
      </c>
      <c r="G600" t="s">
        <v>275</v>
      </c>
      <c r="H600" t="s">
        <v>275</v>
      </c>
      <c r="I600" t="s">
        <v>1</v>
      </c>
      <c r="J600" t="s">
        <v>1</v>
      </c>
      <c r="K600" t="s">
        <v>275</v>
      </c>
      <c r="L600" t="s">
        <v>275</v>
      </c>
      <c r="M600" t="s">
        <v>275</v>
      </c>
      <c r="N600" t="s">
        <v>275</v>
      </c>
      <c r="O600" t="s">
        <v>275</v>
      </c>
      <c r="P600" t="s">
        <v>275</v>
      </c>
      <c r="Q600" t="s">
        <v>275</v>
      </c>
      <c r="R600" t="s">
        <v>275</v>
      </c>
      <c r="S600" t="s">
        <v>275</v>
      </c>
      <c r="T600" t="s">
        <v>275</v>
      </c>
      <c r="U600" t="s">
        <v>275</v>
      </c>
      <c r="V600" t="s">
        <v>275</v>
      </c>
    </row>
    <row r="601" spans="1:22">
      <c r="A601">
        <v>599</v>
      </c>
      <c r="B601" t="s">
        <v>1613</v>
      </c>
      <c r="C601" t="s">
        <v>1614</v>
      </c>
      <c r="D601" t="str">
        <f>IF(VLOOKUP(C601,'Capabilities Overview'!$A$2:$A$587,1)=C601,"","Not in IOE")</f>
        <v/>
      </c>
      <c r="E601" t="s">
        <v>1</v>
      </c>
      <c r="F601" t="s">
        <v>1</v>
      </c>
      <c r="G601" t="s">
        <v>275</v>
      </c>
      <c r="H601" t="s">
        <v>275</v>
      </c>
      <c r="I601" t="s">
        <v>1</v>
      </c>
      <c r="J601" t="s">
        <v>1</v>
      </c>
      <c r="K601" t="s">
        <v>275</v>
      </c>
      <c r="L601" t="s">
        <v>275</v>
      </c>
      <c r="M601" t="s">
        <v>275</v>
      </c>
      <c r="N601" t="s">
        <v>275</v>
      </c>
      <c r="O601" t="s">
        <v>275</v>
      </c>
      <c r="P601" t="s">
        <v>275</v>
      </c>
      <c r="Q601" t="s">
        <v>275</v>
      </c>
      <c r="R601" t="s">
        <v>275</v>
      </c>
      <c r="S601" t="s">
        <v>275</v>
      </c>
      <c r="T601" t="s">
        <v>275</v>
      </c>
      <c r="U601" t="s">
        <v>275</v>
      </c>
      <c r="V601" t="s">
        <v>275</v>
      </c>
    </row>
    <row r="602" spans="1:22">
      <c r="A602">
        <v>600</v>
      </c>
      <c r="B602" t="s">
        <v>1619</v>
      </c>
      <c r="C602" t="s">
        <v>1620</v>
      </c>
      <c r="D602" t="str">
        <f>IF(VLOOKUP(C602,'Capabilities Overview'!$A$2:$A$587,1)=C602,"","Not in IOE")</f>
        <v/>
      </c>
      <c r="E602" t="s">
        <v>1</v>
      </c>
      <c r="F602" t="s">
        <v>1</v>
      </c>
      <c r="G602" t="s">
        <v>275</v>
      </c>
      <c r="H602" t="s">
        <v>275</v>
      </c>
      <c r="I602" t="s">
        <v>1</v>
      </c>
      <c r="J602" t="s">
        <v>1</v>
      </c>
      <c r="K602" t="s">
        <v>275</v>
      </c>
      <c r="L602" t="s">
        <v>275</v>
      </c>
      <c r="M602" t="s">
        <v>275</v>
      </c>
      <c r="N602" t="s">
        <v>275</v>
      </c>
      <c r="O602" t="s">
        <v>275</v>
      </c>
      <c r="P602" t="s">
        <v>275</v>
      </c>
      <c r="Q602" t="s">
        <v>275</v>
      </c>
      <c r="R602" t="s">
        <v>275</v>
      </c>
      <c r="S602" t="s">
        <v>275</v>
      </c>
      <c r="T602" t="s">
        <v>275</v>
      </c>
      <c r="U602" t="s">
        <v>275</v>
      </c>
      <c r="V602" t="s">
        <v>275</v>
      </c>
    </row>
    <row r="603" spans="1:22">
      <c r="A603">
        <v>601</v>
      </c>
      <c r="B603" t="s">
        <v>1621</v>
      </c>
      <c r="C603" t="s">
        <v>1622</v>
      </c>
      <c r="D603" t="str">
        <f>IF(VLOOKUP(C603,'Capabilities Overview'!$A$2:$A$587,1)=C603,"","Not in IOE")</f>
        <v/>
      </c>
      <c r="E603" t="s">
        <v>1</v>
      </c>
      <c r="F603" t="s">
        <v>1</v>
      </c>
      <c r="G603" t="s">
        <v>275</v>
      </c>
      <c r="H603" t="s">
        <v>275</v>
      </c>
      <c r="I603" t="s">
        <v>1</v>
      </c>
      <c r="J603" t="s">
        <v>1</v>
      </c>
      <c r="K603" t="s">
        <v>275</v>
      </c>
      <c r="L603" t="s">
        <v>275</v>
      </c>
      <c r="M603" t="s">
        <v>275</v>
      </c>
      <c r="N603" t="s">
        <v>275</v>
      </c>
      <c r="O603" t="s">
        <v>275</v>
      </c>
      <c r="P603" t="s">
        <v>275</v>
      </c>
      <c r="Q603" t="s">
        <v>275</v>
      </c>
      <c r="R603" t="s">
        <v>275</v>
      </c>
      <c r="S603" t="s">
        <v>275</v>
      </c>
      <c r="T603" t="s">
        <v>275</v>
      </c>
      <c r="U603" t="s">
        <v>275</v>
      </c>
      <c r="V603" t="s">
        <v>275</v>
      </c>
    </row>
    <row r="604" spans="1:22">
      <c r="A604">
        <v>602</v>
      </c>
      <c r="B604" t="s">
        <v>1625</v>
      </c>
      <c r="C604" t="s">
        <v>1626</v>
      </c>
      <c r="D604" t="str">
        <f>IF(VLOOKUP(C604,'Capabilities Overview'!$A$2:$A$587,1)=C604,"","Not in IOE")</f>
        <v/>
      </c>
      <c r="E604" t="s">
        <v>1</v>
      </c>
      <c r="F604" t="s">
        <v>1</v>
      </c>
      <c r="G604" t="s">
        <v>275</v>
      </c>
      <c r="H604" t="s">
        <v>275</v>
      </c>
      <c r="I604" t="s">
        <v>1</v>
      </c>
      <c r="J604" t="s">
        <v>1</v>
      </c>
      <c r="K604" t="s">
        <v>275</v>
      </c>
      <c r="L604" t="s">
        <v>275</v>
      </c>
      <c r="M604" t="s">
        <v>275</v>
      </c>
      <c r="N604" t="s">
        <v>275</v>
      </c>
      <c r="O604" t="s">
        <v>275</v>
      </c>
      <c r="P604" t="s">
        <v>275</v>
      </c>
      <c r="Q604" t="s">
        <v>275</v>
      </c>
      <c r="R604" t="s">
        <v>275</v>
      </c>
      <c r="S604" t="s">
        <v>275</v>
      </c>
      <c r="T604" t="s">
        <v>275</v>
      </c>
      <c r="U604" t="s">
        <v>275</v>
      </c>
      <c r="V604" t="s">
        <v>275</v>
      </c>
    </row>
    <row r="605" spans="1:22">
      <c r="A605">
        <v>603</v>
      </c>
      <c r="B605" t="s">
        <v>1639</v>
      </c>
      <c r="C605" t="s">
        <v>1640</v>
      </c>
      <c r="D605" t="str">
        <f>IF(VLOOKUP(C605,'Capabilities Overview'!$A$2:$A$587,1)=C605,"","Not in IOE")</f>
        <v/>
      </c>
      <c r="E605" t="s">
        <v>1</v>
      </c>
      <c r="F605" t="s">
        <v>1</v>
      </c>
      <c r="G605" t="s">
        <v>275</v>
      </c>
      <c r="H605" t="s">
        <v>275</v>
      </c>
      <c r="I605" t="s">
        <v>1</v>
      </c>
      <c r="J605" t="s">
        <v>1</v>
      </c>
      <c r="K605" t="s">
        <v>275</v>
      </c>
      <c r="L605" t="s">
        <v>275</v>
      </c>
      <c r="M605" t="s">
        <v>275</v>
      </c>
      <c r="N605" t="s">
        <v>275</v>
      </c>
      <c r="O605" t="s">
        <v>275</v>
      </c>
      <c r="P605" t="s">
        <v>275</v>
      </c>
      <c r="Q605" t="s">
        <v>275</v>
      </c>
      <c r="R605" t="s">
        <v>275</v>
      </c>
      <c r="S605" t="s">
        <v>275</v>
      </c>
      <c r="T605" t="s">
        <v>275</v>
      </c>
      <c r="U605" t="s">
        <v>275</v>
      </c>
      <c r="V605" t="s">
        <v>275</v>
      </c>
    </row>
    <row r="606" spans="1:22">
      <c r="A606">
        <v>604</v>
      </c>
      <c r="B606" t="s">
        <v>1641</v>
      </c>
      <c r="C606" t="s">
        <v>1642</v>
      </c>
      <c r="D606" t="str">
        <f>IF(VLOOKUP(C606,'Capabilities Overview'!$A$2:$A$587,1)=C606,"","Not in IOE")</f>
        <v/>
      </c>
      <c r="E606" t="s">
        <v>1</v>
      </c>
      <c r="F606" t="s">
        <v>1</v>
      </c>
      <c r="G606" t="s">
        <v>275</v>
      </c>
      <c r="H606" t="s">
        <v>275</v>
      </c>
      <c r="I606" t="s">
        <v>1</v>
      </c>
      <c r="J606" t="s">
        <v>1</v>
      </c>
      <c r="K606" t="s">
        <v>275</v>
      </c>
      <c r="L606" t="s">
        <v>275</v>
      </c>
      <c r="M606" t="s">
        <v>275</v>
      </c>
      <c r="N606" t="s">
        <v>275</v>
      </c>
      <c r="O606" t="s">
        <v>275</v>
      </c>
      <c r="P606" t="s">
        <v>275</v>
      </c>
      <c r="Q606" t="s">
        <v>275</v>
      </c>
      <c r="R606" t="s">
        <v>275</v>
      </c>
      <c r="S606" t="s">
        <v>275</v>
      </c>
      <c r="T606" t="s">
        <v>275</v>
      </c>
      <c r="U606" t="s">
        <v>275</v>
      </c>
      <c r="V606" t="s">
        <v>275</v>
      </c>
    </row>
    <row r="607" spans="1:22">
      <c r="A607">
        <v>605</v>
      </c>
      <c r="B607" t="s">
        <v>1643</v>
      </c>
      <c r="C607" t="s">
        <v>1644</v>
      </c>
      <c r="D607" t="str">
        <f>IF(VLOOKUP(C607,'Capabilities Overview'!$A$2:$A$587,1)=C607,"","Not in IOE")</f>
        <v/>
      </c>
      <c r="E607" t="s">
        <v>1</v>
      </c>
      <c r="F607" t="s">
        <v>1</v>
      </c>
      <c r="G607" t="s">
        <v>275</v>
      </c>
      <c r="H607" t="s">
        <v>275</v>
      </c>
      <c r="I607" t="s">
        <v>1</v>
      </c>
      <c r="J607" t="s">
        <v>1</v>
      </c>
      <c r="K607" t="s">
        <v>275</v>
      </c>
      <c r="L607" t="s">
        <v>275</v>
      </c>
      <c r="M607" t="s">
        <v>275</v>
      </c>
      <c r="N607" t="s">
        <v>275</v>
      </c>
      <c r="O607" t="s">
        <v>275</v>
      </c>
      <c r="P607" t="s">
        <v>275</v>
      </c>
      <c r="Q607" t="s">
        <v>275</v>
      </c>
      <c r="R607" t="s">
        <v>275</v>
      </c>
      <c r="S607" t="s">
        <v>275</v>
      </c>
      <c r="T607" t="s">
        <v>275</v>
      </c>
      <c r="U607" t="s">
        <v>275</v>
      </c>
      <c r="V607" t="s">
        <v>275</v>
      </c>
    </row>
    <row r="608" spans="1:22">
      <c r="A608">
        <v>606</v>
      </c>
      <c r="B608" t="s">
        <v>1645</v>
      </c>
      <c r="C608" t="s">
        <v>1646</v>
      </c>
      <c r="D608" t="str">
        <f>IF(VLOOKUP(C608,'Capabilities Overview'!$A$2:$A$587,1)=C608,"","Not in IOE")</f>
        <v/>
      </c>
      <c r="E608" t="s">
        <v>1</v>
      </c>
      <c r="F608" t="s">
        <v>1</v>
      </c>
      <c r="G608" t="s">
        <v>275</v>
      </c>
      <c r="H608" t="s">
        <v>275</v>
      </c>
      <c r="I608" t="s">
        <v>1</v>
      </c>
      <c r="J608" t="s">
        <v>1</v>
      </c>
      <c r="K608" t="s">
        <v>275</v>
      </c>
      <c r="L608" t="s">
        <v>275</v>
      </c>
      <c r="M608" t="s">
        <v>275</v>
      </c>
      <c r="N608" t="s">
        <v>275</v>
      </c>
      <c r="O608" t="s">
        <v>275</v>
      </c>
      <c r="P608" t="s">
        <v>275</v>
      </c>
      <c r="Q608" t="s">
        <v>275</v>
      </c>
      <c r="R608" t="s">
        <v>275</v>
      </c>
      <c r="S608" t="s">
        <v>275</v>
      </c>
      <c r="T608" t="s">
        <v>275</v>
      </c>
      <c r="U608" t="s">
        <v>275</v>
      </c>
      <c r="V608" t="s">
        <v>275</v>
      </c>
    </row>
    <row r="609" spans="1:22">
      <c r="A609">
        <v>607</v>
      </c>
      <c r="B609" t="s">
        <v>243</v>
      </c>
      <c r="C609" t="s">
        <v>244</v>
      </c>
      <c r="D609" t="str">
        <f>IF(VLOOKUP(C609,'Capabilities Overview'!$A$2:$A$587,1)=C609,"","Not in IOE")</f>
        <v/>
      </c>
      <c r="E609" t="s">
        <v>1</v>
      </c>
      <c r="F609" t="s">
        <v>1</v>
      </c>
      <c r="G609" t="s">
        <v>275</v>
      </c>
      <c r="H609" t="s">
        <v>1</v>
      </c>
      <c r="I609" t="s">
        <v>1</v>
      </c>
      <c r="J609" t="s">
        <v>1</v>
      </c>
      <c r="K609" t="s">
        <v>1</v>
      </c>
      <c r="L609" t="s">
        <v>1</v>
      </c>
      <c r="M609" t="s">
        <v>1</v>
      </c>
      <c r="N609" t="s">
        <v>1</v>
      </c>
      <c r="O609" t="s">
        <v>1</v>
      </c>
      <c r="P609" t="s">
        <v>1</v>
      </c>
      <c r="Q609" t="s">
        <v>275</v>
      </c>
      <c r="R609" t="s">
        <v>275</v>
      </c>
      <c r="S609" t="s">
        <v>275</v>
      </c>
      <c r="T609" t="s">
        <v>1</v>
      </c>
      <c r="U609" t="s">
        <v>275</v>
      </c>
      <c r="V609" t="s">
        <v>275</v>
      </c>
    </row>
    <row r="610" spans="1:22">
      <c r="A610">
        <v>608</v>
      </c>
      <c r="B610" t="s">
        <v>1647</v>
      </c>
      <c r="C610" t="s">
        <v>1648</v>
      </c>
      <c r="D610" t="str">
        <f>IF(VLOOKUP(C610,'Capabilities Overview'!$A$2:$A$587,1)=C610,"","Not in IOE")</f>
        <v/>
      </c>
      <c r="E610" t="s">
        <v>1</v>
      </c>
      <c r="F610" t="s">
        <v>1</v>
      </c>
      <c r="G610" t="s">
        <v>275</v>
      </c>
      <c r="H610" t="s">
        <v>275</v>
      </c>
      <c r="I610" t="s">
        <v>1</v>
      </c>
      <c r="J610" t="s">
        <v>1</v>
      </c>
      <c r="K610" t="s">
        <v>275</v>
      </c>
      <c r="L610" t="s">
        <v>275</v>
      </c>
      <c r="M610" t="s">
        <v>275</v>
      </c>
      <c r="N610" t="s">
        <v>275</v>
      </c>
      <c r="O610" t="s">
        <v>275</v>
      </c>
      <c r="P610" t="s">
        <v>275</v>
      </c>
      <c r="Q610" t="s">
        <v>275</v>
      </c>
      <c r="R610" t="s">
        <v>275</v>
      </c>
      <c r="S610" t="s">
        <v>275</v>
      </c>
      <c r="T610" t="s">
        <v>275</v>
      </c>
      <c r="U610" t="s">
        <v>275</v>
      </c>
      <c r="V610" t="s">
        <v>275</v>
      </c>
    </row>
    <row r="611" spans="1:22">
      <c r="A611">
        <v>609</v>
      </c>
      <c r="B611" t="s">
        <v>1794</v>
      </c>
      <c r="C611" t="s">
        <v>1795</v>
      </c>
      <c r="D611" t="str">
        <f>IF(VLOOKUP(C611,'Capabilities Overview'!$A$2:$A$587,1)=C611,"","Not in IOE")</f>
        <v>Not in IOE</v>
      </c>
      <c r="E611" t="s">
        <v>275</v>
      </c>
      <c r="F611" t="s">
        <v>275</v>
      </c>
      <c r="G611" t="s">
        <v>275</v>
      </c>
      <c r="H611" t="s">
        <v>275</v>
      </c>
      <c r="I611" t="s">
        <v>1</v>
      </c>
      <c r="J611" t="s">
        <v>275</v>
      </c>
      <c r="K611" t="s">
        <v>275</v>
      </c>
      <c r="L611" t="s">
        <v>275</v>
      </c>
      <c r="M611" t="s">
        <v>275</v>
      </c>
      <c r="N611" t="s">
        <v>275</v>
      </c>
      <c r="O611" t="s">
        <v>275</v>
      </c>
      <c r="P611" t="s">
        <v>275</v>
      </c>
      <c r="Q611" t="s">
        <v>275</v>
      </c>
      <c r="R611" t="s">
        <v>1</v>
      </c>
      <c r="S611" t="s">
        <v>275</v>
      </c>
      <c r="T611" t="s">
        <v>275</v>
      </c>
      <c r="U611" t="s">
        <v>275</v>
      </c>
      <c r="V611" t="s">
        <v>275</v>
      </c>
    </row>
    <row r="612" spans="1:22">
      <c r="A612">
        <v>610</v>
      </c>
      <c r="B612" t="s">
        <v>1796</v>
      </c>
      <c r="C612" t="s">
        <v>1797</v>
      </c>
      <c r="D612" t="str">
        <f>IF(VLOOKUP(C612,'Capabilities Overview'!$A$2:$A$587,1)=C612,"","Not in IOE")</f>
        <v>Not in IOE</v>
      </c>
      <c r="E612" t="s">
        <v>275</v>
      </c>
      <c r="F612" t="s">
        <v>275</v>
      </c>
      <c r="G612" t="s">
        <v>275</v>
      </c>
      <c r="H612" t="s">
        <v>275</v>
      </c>
      <c r="I612" t="s">
        <v>1</v>
      </c>
      <c r="J612" t="s">
        <v>1</v>
      </c>
      <c r="K612" t="s">
        <v>275</v>
      </c>
      <c r="L612" t="s">
        <v>275</v>
      </c>
      <c r="M612" t="s">
        <v>275</v>
      </c>
      <c r="N612" t="s">
        <v>275</v>
      </c>
      <c r="O612" t="s">
        <v>275</v>
      </c>
      <c r="P612" t="s">
        <v>275</v>
      </c>
      <c r="Q612" t="s">
        <v>275</v>
      </c>
      <c r="R612" t="s">
        <v>1</v>
      </c>
      <c r="S612" t="s">
        <v>275</v>
      </c>
      <c r="T612" t="s">
        <v>275</v>
      </c>
      <c r="U612" t="s">
        <v>275</v>
      </c>
      <c r="V612" t="s">
        <v>275</v>
      </c>
    </row>
    <row r="613" spans="1:22">
      <c r="A613">
        <v>611</v>
      </c>
      <c r="B613" t="s">
        <v>1651</v>
      </c>
      <c r="C613" t="s">
        <v>1652</v>
      </c>
      <c r="D613" t="str">
        <f>IF(VLOOKUP(C613,'Capabilities Overview'!$A$2:$A$587,1)=C613,"","Not in IOE")</f>
        <v/>
      </c>
      <c r="E613" t="s">
        <v>1</v>
      </c>
      <c r="F613" t="s">
        <v>1</v>
      </c>
      <c r="G613" t="s">
        <v>275</v>
      </c>
      <c r="H613" t="s">
        <v>275</v>
      </c>
      <c r="I613" t="s">
        <v>1</v>
      </c>
      <c r="J613" t="s">
        <v>1</v>
      </c>
      <c r="K613" t="s">
        <v>275</v>
      </c>
      <c r="L613" t="s">
        <v>275</v>
      </c>
      <c r="M613" t="s">
        <v>275</v>
      </c>
      <c r="N613" t="s">
        <v>275</v>
      </c>
      <c r="O613" t="s">
        <v>275</v>
      </c>
      <c r="P613" t="s">
        <v>275</v>
      </c>
      <c r="Q613" t="s">
        <v>275</v>
      </c>
      <c r="R613" t="s">
        <v>275</v>
      </c>
      <c r="S613" t="s">
        <v>275</v>
      </c>
      <c r="T613" t="s">
        <v>275</v>
      </c>
      <c r="U613" t="s">
        <v>275</v>
      </c>
      <c r="V613" t="s">
        <v>275</v>
      </c>
    </row>
    <row r="614" spans="1:22">
      <c r="A614">
        <v>612</v>
      </c>
      <c r="B614" t="s">
        <v>1798</v>
      </c>
      <c r="C614" t="s">
        <v>1656</v>
      </c>
      <c r="D614" t="str">
        <f>IF(VLOOKUP(C614,'Capabilities Overview'!$A$2:$A$587,1)=C614,"","Not in IOE")</f>
        <v/>
      </c>
      <c r="E614" t="s">
        <v>1</v>
      </c>
      <c r="F614" t="s">
        <v>1</v>
      </c>
      <c r="G614" t="s">
        <v>275</v>
      </c>
      <c r="H614" t="s">
        <v>275</v>
      </c>
      <c r="I614" t="s">
        <v>1</v>
      </c>
      <c r="J614" t="s">
        <v>1</v>
      </c>
      <c r="K614" t="s">
        <v>275</v>
      </c>
      <c r="L614" t="s">
        <v>275</v>
      </c>
      <c r="M614" t="s">
        <v>275</v>
      </c>
      <c r="N614" t="s">
        <v>275</v>
      </c>
      <c r="O614" t="s">
        <v>275</v>
      </c>
      <c r="P614" t="s">
        <v>275</v>
      </c>
      <c r="Q614" t="s">
        <v>275</v>
      </c>
      <c r="R614" t="s">
        <v>275</v>
      </c>
      <c r="S614" t="s">
        <v>275</v>
      </c>
      <c r="T614" t="s">
        <v>275</v>
      </c>
      <c r="U614" t="s">
        <v>275</v>
      </c>
      <c r="V614" t="s">
        <v>275</v>
      </c>
    </row>
    <row r="615" spans="1:22">
      <c r="A615">
        <v>613</v>
      </c>
      <c r="B615" t="s">
        <v>1659</v>
      </c>
      <c r="C615" t="s">
        <v>1660</v>
      </c>
      <c r="D615" t="str">
        <f>IF(VLOOKUP(C615,'Capabilities Overview'!$A$2:$A$587,1)=C615,"","Not in IOE")</f>
        <v/>
      </c>
      <c r="E615" t="s">
        <v>1</v>
      </c>
      <c r="F615" t="s">
        <v>1</v>
      </c>
      <c r="G615" t="s">
        <v>275</v>
      </c>
      <c r="H615" t="s">
        <v>275</v>
      </c>
      <c r="I615" t="s">
        <v>1</v>
      </c>
      <c r="J615" t="s">
        <v>1</v>
      </c>
      <c r="K615" t="s">
        <v>275</v>
      </c>
      <c r="L615" t="s">
        <v>275</v>
      </c>
      <c r="M615" t="s">
        <v>275</v>
      </c>
      <c r="N615" t="s">
        <v>275</v>
      </c>
      <c r="O615" t="s">
        <v>275</v>
      </c>
      <c r="P615" t="s">
        <v>275</v>
      </c>
      <c r="Q615" t="s">
        <v>275</v>
      </c>
      <c r="R615" t="s">
        <v>275</v>
      </c>
      <c r="S615" t="s">
        <v>275</v>
      </c>
      <c r="T615" t="s">
        <v>275</v>
      </c>
      <c r="U615" t="s">
        <v>275</v>
      </c>
      <c r="V615" t="s">
        <v>275</v>
      </c>
    </row>
    <row r="616" spans="1:22">
      <c r="A616">
        <v>614</v>
      </c>
      <c r="B616" t="s">
        <v>1661</v>
      </c>
      <c r="C616" t="s">
        <v>1662</v>
      </c>
      <c r="D616" t="str">
        <f>IF(VLOOKUP(C616,'Capabilities Overview'!$A$2:$A$587,1)=C616,"","Not in IOE")</f>
        <v/>
      </c>
      <c r="E616" t="s">
        <v>1</v>
      </c>
      <c r="F616" t="s">
        <v>1</v>
      </c>
      <c r="G616" t="s">
        <v>275</v>
      </c>
      <c r="H616" t="s">
        <v>275</v>
      </c>
      <c r="I616" t="s">
        <v>1</v>
      </c>
      <c r="J616" t="s">
        <v>1</v>
      </c>
      <c r="K616" t="s">
        <v>275</v>
      </c>
      <c r="L616" t="s">
        <v>275</v>
      </c>
      <c r="M616" t="s">
        <v>275</v>
      </c>
      <c r="N616" t="s">
        <v>275</v>
      </c>
      <c r="O616" t="s">
        <v>275</v>
      </c>
      <c r="P616" t="s">
        <v>275</v>
      </c>
      <c r="Q616" t="s">
        <v>275</v>
      </c>
      <c r="R616" t="s">
        <v>275</v>
      </c>
      <c r="S616" t="s">
        <v>275</v>
      </c>
      <c r="T616" t="s">
        <v>275</v>
      </c>
      <c r="U616" t="s">
        <v>275</v>
      </c>
      <c r="V616" t="s">
        <v>275</v>
      </c>
    </row>
    <row r="617" spans="1:22">
      <c r="A617">
        <v>615</v>
      </c>
      <c r="B617" t="s">
        <v>1663</v>
      </c>
      <c r="C617" t="s">
        <v>1664</v>
      </c>
      <c r="D617" t="str">
        <f>IF(VLOOKUP(C617,'Capabilities Overview'!$A$2:$A$587,1)=C617,"","Not in IOE")</f>
        <v/>
      </c>
      <c r="E617" t="s">
        <v>1</v>
      </c>
      <c r="F617" t="s">
        <v>1</v>
      </c>
      <c r="G617" t="s">
        <v>275</v>
      </c>
      <c r="H617" t="s">
        <v>275</v>
      </c>
      <c r="I617" t="s">
        <v>1</v>
      </c>
      <c r="J617" t="s">
        <v>1</v>
      </c>
      <c r="K617" t="s">
        <v>275</v>
      </c>
      <c r="L617" t="s">
        <v>275</v>
      </c>
      <c r="M617" t="s">
        <v>275</v>
      </c>
      <c r="N617" t="s">
        <v>275</v>
      </c>
      <c r="O617" t="s">
        <v>275</v>
      </c>
      <c r="P617" t="s">
        <v>275</v>
      </c>
      <c r="Q617" t="s">
        <v>275</v>
      </c>
      <c r="R617" t="s">
        <v>275</v>
      </c>
      <c r="S617" t="s">
        <v>275</v>
      </c>
      <c r="T617" t="s">
        <v>275</v>
      </c>
      <c r="U617" t="s">
        <v>275</v>
      </c>
      <c r="V617" t="s">
        <v>275</v>
      </c>
    </row>
    <row r="618" spans="1:22">
      <c r="A618">
        <v>616</v>
      </c>
      <c r="B618" t="s">
        <v>1665</v>
      </c>
      <c r="C618" t="s">
        <v>1666</v>
      </c>
      <c r="D618" t="str">
        <f>IF(VLOOKUP(C618,'Capabilities Overview'!$A$2:$A$587,1)=C618,"","Not in IOE")</f>
        <v/>
      </c>
      <c r="E618" t="s">
        <v>1</v>
      </c>
      <c r="F618" t="s">
        <v>1</v>
      </c>
      <c r="G618" t="s">
        <v>275</v>
      </c>
      <c r="H618" t="s">
        <v>275</v>
      </c>
      <c r="I618" t="s">
        <v>275</v>
      </c>
      <c r="J618" t="s">
        <v>275</v>
      </c>
      <c r="K618" t="s">
        <v>275</v>
      </c>
      <c r="L618" t="s">
        <v>275</v>
      </c>
      <c r="M618" t="s">
        <v>275</v>
      </c>
      <c r="N618" t="s">
        <v>275</v>
      </c>
      <c r="O618" t="s">
        <v>275</v>
      </c>
      <c r="P618" t="s">
        <v>275</v>
      </c>
      <c r="Q618" t="s">
        <v>275</v>
      </c>
      <c r="R618" t="s">
        <v>275</v>
      </c>
      <c r="S618" t="s">
        <v>275</v>
      </c>
      <c r="T618" t="s">
        <v>275</v>
      </c>
      <c r="U618" t="s">
        <v>275</v>
      </c>
      <c r="V618" t="s">
        <v>275</v>
      </c>
    </row>
    <row r="619" spans="1:22">
      <c r="A619">
        <v>617</v>
      </c>
      <c r="B619" t="s">
        <v>1667</v>
      </c>
      <c r="C619" t="s">
        <v>1668</v>
      </c>
      <c r="D619" t="str">
        <f>IF(VLOOKUP(C619,'Capabilities Overview'!$A$2:$A$587,1)=C619,"","Not in IOE")</f>
        <v/>
      </c>
      <c r="E619" t="s">
        <v>1</v>
      </c>
      <c r="F619" t="s">
        <v>1</v>
      </c>
      <c r="G619" t="s">
        <v>275</v>
      </c>
      <c r="H619" t="s">
        <v>1</v>
      </c>
      <c r="I619" t="s">
        <v>1</v>
      </c>
      <c r="J619" t="s">
        <v>1</v>
      </c>
      <c r="K619" t="s">
        <v>1</v>
      </c>
      <c r="L619" t="s">
        <v>275</v>
      </c>
      <c r="M619" t="s">
        <v>275</v>
      </c>
      <c r="N619" t="s">
        <v>275</v>
      </c>
      <c r="O619" t="s">
        <v>275</v>
      </c>
      <c r="P619" t="s">
        <v>275</v>
      </c>
      <c r="Q619" t="s">
        <v>275</v>
      </c>
      <c r="R619" t="s">
        <v>275</v>
      </c>
      <c r="S619" t="s">
        <v>275</v>
      </c>
      <c r="T619" t="s">
        <v>1</v>
      </c>
      <c r="U619" t="s">
        <v>275</v>
      </c>
      <c r="V619" t="s">
        <v>275</v>
      </c>
    </row>
    <row r="620" spans="1:22">
      <c r="A620">
        <v>618</v>
      </c>
      <c r="B620" t="s">
        <v>1669</v>
      </c>
      <c r="C620" t="s">
        <v>1670</v>
      </c>
      <c r="D620" t="str">
        <f>IF(VLOOKUP(C620,'Capabilities Overview'!$A$2:$A$587,1)=C620,"","Not in IOE")</f>
        <v/>
      </c>
      <c r="E620" t="s">
        <v>1</v>
      </c>
      <c r="F620" t="s">
        <v>1</v>
      </c>
      <c r="G620" t="s">
        <v>275</v>
      </c>
      <c r="H620" t="s">
        <v>275</v>
      </c>
      <c r="I620" t="s">
        <v>1</v>
      </c>
      <c r="J620" t="s">
        <v>1</v>
      </c>
      <c r="K620" t="s">
        <v>275</v>
      </c>
      <c r="L620" t="s">
        <v>275</v>
      </c>
      <c r="M620" t="s">
        <v>275</v>
      </c>
      <c r="N620" t="s">
        <v>275</v>
      </c>
      <c r="O620" t="s">
        <v>275</v>
      </c>
      <c r="P620" t="s">
        <v>275</v>
      </c>
      <c r="Q620" t="s">
        <v>275</v>
      </c>
      <c r="R620" t="s">
        <v>275</v>
      </c>
      <c r="S620" t="s">
        <v>275</v>
      </c>
      <c r="T620" t="s">
        <v>275</v>
      </c>
      <c r="U620" t="s">
        <v>275</v>
      </c>
      <c r="V620" t="s">
        <v>275</v>
      </c>
    </row>
    <row r="621" spans="1:22">
      <c r="A621">
        <v>619</v>
      </c>
      <c r="B621" t="s">
        <v>1671</v>
      </c>
      <c r="C621" t="s">
        <v>1672</v>
      </c>
      <c r="D621" t="str">
        <f>IF(VLOOKUP(C621,'Capabilities Overview'!$A$2:$A$587,1)=C621,"","Not in IOE")</f>
        <v/>
      </c>
      <c r="E621" t="s">
        <v>1</v>
      </c>
      <c r="F621" t="s">
        <v>1</v>
      </c>
      <c r="G621" t="s">
        <v>275</v>
      </c>
      <c r="H621" t="s">
        <v>275</v>
      </c>
      <c r="I621" t="s">
        <v>1</v>
      </c>
      <c r="J621" t="s">
        <v>1</v>
      </c>
      <c r="K621" t="s">
        <v>275</v>
      </c>
      <c r="L621" t="s">
        <v>275</v>
      </c>
      <c r="M621" t="s">
        <v>275</v>
      </c>
      <c r="N621" t="s">
        <v>275</v>
      </c>
      <c r="O621" t="s">
        <v>275</v>
      </c>
      <c r="P621" t="s">
        <v>275</v>
      </c>
      <c r="Q621" t="s">
        <v>275</v>
      </c>
      <c r="R621" t="s">
        <v>275</v>
      </c>
      <c r="S621" t="s">
        <v>275</v>
      </c>
      <c r="T621" t="s">
        <v>275</v>
      </c>
      <c r="U621" t="s">
        <v>275</v>
      </c>
      <c r="V621" t="s">
        <v>275</v>
      </c>
    </row>
    <row r="622" spans="1:22">
      <c r="A622">
        <v>620</v>
      </c>
      <c r="B622" t="s">
        <v>1673</v>
      </c>
      <c r="C622" t="s">
        <v>1674</v>
      </c>
      <c r="D622" t="str">
        <f>IF(VLOOKUP(C622,'Capabilities Overview'!$A$2:$A$587,1)=C622,"","Not in IOE")</f>
        <v/>
      </c>
      <c r="E622" t="s">
        <v>1</v>
      </c>
      <c r="F622" t="s">
        <v>1</v>
      </c>
      <c r="G622" t="s">
        <v>275</v>
      </c>
      <c r="H622" t="s">
        <v>275</v>
      </c>
      <c r="I622" t="s">
        <v>1</v>
      </c>
      <c r="J622" t="s">
        <v>1</v>
      </c>
      <c r="K622" t="s">
        <v>275</v>
      </c>
      <c r="L622" t="s">
        <v>275</v>
      </c>
      <c r="M622" t="s">
        <v>275</v>
      </c>
      <c r="N622" t="s">
        <v>275</v>
      </c>
      <c r="O622" t="s">
        <v>275</v>
      </c>
      <c r="P622" t="s">
        <v>275</v>
      </c>
      <c r="Q622" t="s">
        <v>275</v>
      </c>
      <c r="R622" t="s">
        <v>275</v>
      </c>
      <c r="S622" t="s">
        <v>275</v>
      </c>
      <c r="T622" t="s">
        <v>275</v>
      </c>
      <c r="U622" t="s">
        <v>275</v>
      </c>
      <c r="V622" t="s">
        <v>275</v>
      </c>
    </row>
    <row r="623" spans="1:22">
      <c r="A623">
        <v>621</v>
      </c>
      <c r="B623" t="s">
        <v>1799</v>
      </c>
      <c r="C623" t="s">
        <v>1676</v>
      </c>
      <c r="D623" t="str">
        <f>IF(VLOOKUP(C623,'Capabilities Overview'!$A$2:$A$587,1)=C623,"","Not in IOE")</f>
        <v/>
      </c>
      <c r="E623" t="s">
        <v>1</v>
      </c>
      <c r="F623" t="s">
        <v>1</v>
      </c>
      <c r="G623" t="s">
        <v>275</v>
      </c>
      <c r="H623" t="s">
        <v>275</v>
      </c>
      <c r="I623" t="s">
        <v>1</v>
      </c>
      <c r="J623" t="s">
        <v>1</v>
      </c>
      <c r="K623" t="s">
        <v>275</v>
      </c>
      <c r="L623" t="s">
        <v>275</v>
      </c>
      <c r="M623" t="s">
        <v>275</v>
      </c>
      <c r="N623" t="s">
        <v>275</v>
      </c>
      <c r="O623" t="s">
        <v>275</v>
      </c>
      <c r="P623" t="s">
        <v>275</v>
      </c>
      <c r="Q623" t="s">
        <v>275</v>
      </c>
      <c r="R623" t="s">
        <v>275</v>
      </c>
      <c r="S623" t="s">
        <v>275</v>
      </c>
      <c r="T623" t="s">
        <v>275</v>
      </c>
      <c r="U623" t="s">
        <v>275</v>
      </c>
      <c r="V623" t="s">
        <v>275</v>
      </c>
    </row>
    <row r="624" spans="1:22">
      <c r="A624">
        <v>622</v>
      </c>
      <c r="B624" t="s">
        <v>1683</v>
      </c>
      <c r="C624" t="s">
        <v>1684</v>
      </c>
      <c r="D624" t="str">
        <f>IF(VLOOKUP(C624,'Capabilities Overview'!$A$2:$A$587,1)=C624,"","Not in IOE")</f>
        <v/>
      </c>
      <c r="E624" t="s">
        <v>1</v>
      </c>
      <c r="F624" t="s">
        <v>1</v>
      </c>
      <c r="G624" t="s">
        <v>275</v>
      </c>
      <c r="H624" t="s">
        <v>275</v>
      </c>
      <c r="I624" t="s">
        <v>1</v>
      </c>
      <c r="J624" t="s">
        <v>1</v>
      </c>
      <c r="K624" t="s">
        <v>275</v>
      </c>
      <c r="L624" t="s">
        <v>275</v>
      </c>
      <c r="M624" t="s">
        <v>275</v>
      </c>
      <c r="N624" t="s">
        <v>275</v>
      </c>
      <c r="O624" t="s">
        <v>275</v>
      </c>
      <c r="P624" t="s">
        <v>275</v>
      </c>
      <c r="Q624" t="s">
        <v>275</v>
      </c>
      <c r="R624" t="s">
        <v>275</v>
      </c>
      <c r="S624" t="s">
        <v>275</v>
      </c>
      <c r="T624" t="s">
        <v>275</v>
      </c>
      <c r="U624" t="s">
        <v>275</v>
      </c>
      <c r="V624" t="s">
        <v>275</v>
      </c>
    </row>
    <row r="625" spans="1:22">
      <c r="A625">
        <v>623</v>
      </c>
      <c r="B625" t="s">
        <v>1687</v>
      </c>
      <c r="C625" t="s">
        <v>1688</v>
      </c>
      <c r="D625" t="str">
        <f>IF(VLOOKUP(C625,'Capabilities Overview'!$A$2:$A$587,1)=C625,"","Not in IOE")</f>
        <v/>
      </c>
      <c r="E625" t="s">
        <v>1</v>
      </c>
      <c r="F625" t="s">
        <v>1</v>
      </c>
      <c r="G625" t="s">
        <v>275</v>
      </c>
      <c r="H625" t="s">
        <v>275</v>
      </c>
      <c r="I625" t="s">
        <v>1</v>
      </c>
      <c r="J625" t="s">
        <v>1</v>
      </c>
      <c r="K625" t="s">
        <v>275</v>
      </c>
      <c r="L625" t="s">
        <v>275</v>
      </c>
      <c r="M625" t="s">
        <v>275</v>
      </c>
      <c r="N625" t="s">
        <v>275</v>
      </c>
      <c r="O625" t="s">
        <v>275</v>
      </c>
      <c r="P625" t="s">
        <v>275</v>
      </c>
      <c r="Q625" t="s">
        <v>275</v>
      </c>
      <c r="R625" t="s">
        <v>275</v>
      </c>
      <c r="S625" t="s">
        <v>275</v>
      </c>
      <c r="T625" t="s">
        <v>275</v>
      </c>
      <c r="U625" t="s">
        <v>275</v>
      </c>
      <c r="V625" t="s">
        <v>275</v>
      </c>
    </row>
    <row r="626" spans="1:22">
      <c r="A626">
        <v>624</v>
      </c>
      <c r="B626" t="s">
        <v>1691</v>
      </c>
      <c r="C626" t="s">
        <v>1692</v>
      </c>
      <c r="D626" t="str">
        <f>IF(VLOOKUP(C626,'Capabilities Overview'!$A$2:$A$587,1)=C626,"","Not in IOE")</f>
        <v/>
      </c>
      <c r="E626" t="s">
        <v>1</v>
      </c>
      <c r="F626" t="s">
        <v>1</v>
      </c>
      <c r="G626" t="s">
        <v>275</v>
      </c>
      <c r="H626" t="s">
        <v>275</v>
      </c>
      <c r="I626" t="s">
        <v>1</v>
      </c>
      <c r="J626" t="s">
        <v>1</v>
      </c>
      <c r="K626" t="s">
        <v>275</v>
      </c>
      <c r="L626" t="s">
        <v>275</v>
      </c>
      <c r="M626" t="s">
        <v>275</v>
      </c>
      <c r="N626" t="s">
        <v>275</v>
      </c>
      <c r="O626" t="s">
        <v>275</v>
      </c>
      <c r="P626" t="s">
        <v>275</v>
      </c>
      <c r="Q626" t="s">
        <v>275</v>
      </c>
      <c r="R626" t="s">
        <v>275</v>
      </c>
      <c r="S626" t="s">
        <v>275</v>
      </c>
      <c r="T626" t="s">
        <v>275</v>
      </c>
      <c r="U626" t="s">
        <v>275</v>
      </c>
      <c r="V626" t="s">
        <v>275</v>
      </c>
    </row>
    <row r="627" spans="1:22">
      <c r="A627">
        <v>625</v>
      </c>
      <c r="B627" t="s">
        <v>1693</v>
      </c>
      <c r="C627" t="s">
        <v>1694</v>
      </c>
      <c r="D627" t="str">
        <f>IF(VLOOKUP(C627,'Capabilities Overview'!$A$2:$A$587,1)=C627,"","Not in IOE")</f>
        <v/>
      </c>
      <c r="E627" t="s">
        <v>1</v>
      </c>
      <c r="F627" t="s">
        <v>1</v>
      </c>
      <c r="G627" t="s">
        <v>275</v>
      </c>
      <c r="H627" t="s">
        <v>275</v>
      </c>
      <c r="I627" t="s">
        <v>1</v>
      </c>
      <c r="J627" t="s">
        <v>1</v>
      </c>
      <c r="K627" t="s">
        <v>275</v>
      </c>
      <c r="L627" t="s">
        <v>275</v>
      </c>
      <c r="M627" t="s">
        <v>275</v>
      </c>
      <c r="N627" t="s">
        <v>275</v>
      </c>
      <c r="O627" t="s">
        <v>275</v>
      </c>
      <c r="P627" t="s">
        <v>275</v>
      </c>
      <c r="Q627" t="s">
        <v>275</v>
      </c>
      <c r="R627" t="s">
        <v>275</v>
      </c>
      <c r="S627" t="s">
        <v>275</v>
      </c>
      <c r="T627" t="s">
        <v>275</v>
      </c>
      <c r="U627" t="s">
        <v>275</v>
      </c>
      <c r="V627" t="s">
        <v>275</v>
      </c>
    </row>
    <row r="628" spans="1:22">
      <c r="A628">
        <v>626</v>
      </c>
      <c r="B628" t="s">
        <v>1689</v>
      </c>
      <c r="C628" t="s">
        <v>1690</v>
      </c>
      <c r="D628" t="str">
        <f>IF(VLOOKUP(C628,'Capabilities Overview'!$A$2:$A$587,1)=C628,"","Not in IOE")</f>
        <v/>
      </c>
      <c r="E628" t="s">
        <v>1</v>
      </c>
      <c r="F628" t="s">
        <v>1</v>
      </c>
      <c r="G628" t="s">
        <v>275</v>
      </c>
      <c r="H628" t="s">
        <v>275</v>
      </c>
      <c r="I628" t="s">
        <v>1</v>
      </c>
      <c r="J628" t="s">
        <v>1</v>
      </c>
      <c r="K628" t="s">
        <v>275</v>
      </c>
      <c r="L628" t="s">
        <v>275</v>
      </c>
      <c r="M628" t="s">
        <v>275</v>
      </c>
      <c r="N628" t="s">
        <v>275</v>
      </c>
      <c r="O628" t="s">
        <v>275</v>
      </c>
      <c r="P628" t="s">
        <v>275</v>
      </c>
      <c r="Q628" t="s">
        <v>275</v>
      </c>
      <c r="R628" t="s">
        <v>275</v>
      </c>
      <c r="S628" t="s">
        <v>275</v>
      </c>
      <c r="T628" t="s">
        <v>275</v>
      </c>
      <c r="U628" t="s">
        <v>275</v>
      </c>
      <c r="V628" t="s">
        <v>275</v>
      </c>
    </row>
    <row r="629" spans="1:22">
      <c r="A629">
        <v>627</v>
      </c>
      <c r="B629" t="s">
        <v>1800</v>
      </c>
      <c r="C629" t="s">
        <v>1801</v>
      </c>
      <c r="D629" t="str">
        <f>IF(VLOOKUP(C629,'Capabilities Overview'!$A$2:$A$587,1)=C629,"","Not in IOE")</f>
        <v>Not in IOE</v>
      </c>
      <c r="E629" t="s">
        <v>1</v>
      </c>
      <c r="F629" t="s">
        <v>1</v>
      </c>
      <c r="G629" t="s">
        <v>275</v>
      </c>
      <c r="H629" t="s">
        <v>275</v>
      </c>
      <c r="I629" t="s">
        <v>1</v>
      </c>
      <c r="J629" t="s">
        <v>1</v>
      </c>
      <c r="K629" t="s">
        <v>275</v>
      </c>
      <c r="L629" t="s">
        <v>275</v>
      </c>
      <c r="M629" t="s">
        <v>275</v>
      </c>
      <c r="N629" t="s">
        <v>275</v>
      </c>
      <c r="O629" t="s">
        <v>275</v>
      </c>
      <c r="P629" t="s">
        <v>275</v>
      </c>
      <c r="Q629" t="s">
        <v>275</v>
      </c>
      <c r="R629" t="s">
        <v>275</v>
      </c>
      <c r="S629" t="s">
        <v>275</v>
      </c>
      <c r="T629" t="s">
        <v>275</v>
      </c>
      <c r="U629" t="s">
        <v>275</v>
      </c>
      <c r="V629" t="s">
        <v>275</v>
      </c>
    </row>
    <row r="630" spans="1:22">
      <c r="A630">
        <v>628</v>
      </c>
      <c r="B630" t="s">
        <v>1695</v>
      </c>
      <c r="C630" t="s">
        <v>1696</v>
      </c>
      <c r="D630" t="str">
        <f>IF(VLOOKUP(C630,'Capabilities Overview'!$A$2:$A$587,1)=C630,"","Not in IOE")</f>
        <v/>
      </c>
      <c r="E630" t="s">
        <v>1</v>
      </c>
      <c r="F630" t="s">
        <v>275</v>
      </c>
      <c r="G630" t="s">
        <v>275</v>
      </c>
      <c r="H630" t="s">
        <v>275</v>
      </c>
      <c r="I630" t="s">
        <v>1</v>
      </c>
      <c r="J630" t="s">
        <v>1</v>
      </c>
      <c r="K630" t="s">
        <v>275</v>
      </c>
      <c r="L630" t="s">
        <v>275</v>
      </c>
      <c r="M630" t="s">
        <v>275</v>
      </c>
      <c r="N630" t="s">
        <v>275</v>
      </c>
      <c r="O630" t="s">
        <v>275</v>
      </c>
      <c r="P630" t="s">
        <v>275</v>
      </c>
      <c r="Q630" t="s">
        <v>275</v>
      </c>
      <c r="R630" t="s">
        <v>275</v>
      </c>
      <c r="S630" t="s">
        <v>275</v>
      </c>
      <c r="T630" t="s">
        <v>275</v>
      </c>
      <c r="U630" t="s">
        <v>275</v>
      </c>
      <c r="V630" t="s">
        <v>275</v>
      </c>
    </row>
    <row r="631" spans="1:22">
      <c r="A631">
        <v>629</v>
      </c>
      <c r="B631" t="s">
        <v>247</v>
      </c>
      <c r="C631" t="s">
        <v>248</v>
      </c>
      <c r="D631" t="str">
        <f>IF(VLOOKUP(C631,'Capabilities Overview'!$A$2:$A$587,1)=C631,"","Not in IOE")</f>
        <v/>
      </c>
      <c r="E631" t="s">
        <v>1</v>
      </c>
      <c r="F631" t="s">
        <v>275</v>
      </c>
      <c r="G631" t="s">
        <v>1</v>
      </c>
      <c r="H631" t="s">
        <v>1</v>
      </c>
      <c r="I631" t="s">
        <v>1</v>
      </c>
      <c r="J631" t="s">
        <v>1</v>
      </c>
      <c r="K631" t="s">
        <v>1</v>
      </c>
      <c r="L631" t="s">
        <v>1</v>
      </c>
      <c r="M631" t="s">
        <v>1</v>
      </c>
      <c r="N631" t="s">
        <v>1</v>
      </c>
      <c r="O631" t="s">
        <v>1</v>
      </c>
      <c r="P631" t="s">
        <v>1</v>
      </c>
      <c r="Q631" t="s">
        <v>275</v>
      </c>
      <c r="R631" t="s">
        <v>1</v>
      </c>
      <c r="S631" t="s">
        <v>275</v>
      </c>
      <c r="T631" t="s">
        <v>1</v>
      </c>
      <c r="U631" t="s">
        <v>275</v>
      </c>
      <c r="V631" t="s">
        <v>275</v>
      </c>
    </row>
    <row r="632" spans="1:22">
      <c r="A632">
        <v>630</v>
      </c>
      <c r="B632" t="s">
        <v>1697</v>
      </c>
      <c r="C632" t="s">
        <v>1698</v>
      </c>
      <c r="D632" t="str">
        <f>IF(VLOOKUP(C632,'Capabilities Overview'!$A$2:$A$587,1)=C632,"","Not in IOE")</f>
        <v/>
      </c>
      <c r="E632" t="s">
        <v>1</v>
      </c>
      <c r="F632" t="s">
        <v>1</v>
      </c>
      <c r="G632" t="s">
        <v>275</v>
      </c>
      <c r="H632" t="s">
        <v>275</v>
      </c>
      <c r="I632" t="s">
        <v>1</v>
      </c>
      <c r="J632" t="s">
        <v>1</v>
      </c>
      <c r="K632" t="s">
        <v>275</v>
      </c>
      <c r="L632" t="s">
        <v>275</v>
      </c>
      <c r="M632" t="s">
        <v>275</v>
      </c>
      <c r="N632" t="s">
        <v>275</v>
      </c>
      <c r="O632" t="s">
        <v>275</v>
      </c>
      <c r="P632" t="s">
        <v>275</v>
      </c>
      <c r="Q632" t="s">
        <v>275</v>
      </c>
      <c r="R632" t="s">
        <v>275</v>
      </c>
      <c r="S632" t="s">
        <v>275</v>
      </c>
      <c r="T632" t="s">
        <v>275</v>
      </c>
      <c r="U632" t="s">
        <v>275</v>
      </c>
      <c r="V632" t="s">
        <v>275</v>
      </c>
    </row>
  </sheetData>
  <sortState ref="A3:U632">
    <sortCondition ref="A3:A632"/>
  </sortState>
  <conditionalFormatting sqref="E3:V632">
    <cfRule type="containsText" dxfId="2" priority="1" operator="containsText" text="Prohibit">
      <formula>NOT(ISERROR(SEARCH("Prohibit",E3)))</formula>
    </cfRule>
    <cfRule type="containsText" dxfId="1" priority="2" operator="containsText" text="Prevent">
      <formula>NOT(ISERROR(SEARCH("Prevent",E3)))</formula>
    </cfRule>
    <cfRule type="containsText" dxfId="0" priority="3" operator="containsText" text="Allow">
      <formula>NOT(ISERROR(SEARCH("Allow",E3)))</formula>
    </cfRule>
  </conditionalFormatting>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72"/>
  <sheetViews>
    <sheetView workbookViewId="0">
      <selection activeCell="A2" sqref="A2"/>
    </sheetView>
  </sheetViews>
  <sheetFormatPr baseColWidth="10" defaultRowHeight="15" x14ac:dyDescent="0"/>
  <cols>
    <col min="1" max="1" width="42.1640625" bestFit="1" customWidth="1"/>
    <col min="2" max="3" width="40" bestFit="1" customWidth="1"/>
    <col min="4" max="4" width="42.1640625" bestFit="1" customWidth="1"/>
  </cols>
  <sheetData>
    <row r="1" spans="1:7">
      <c r="A1" t="s">
        <v>1804</v>
      </c>
      <c r="B1" t="s">
        <v>1805</v>
      </c>
      <c r="C1" t="s">
        <v>1806</v>
      </c>
      <c r="D1" t="s">
        <v>1807</v>
      </c>
      <c r="E1" t="s">
        <v>1811</v>
      </c>
      <c r="F1" t="s">
        <v>1812</v>
      </c>
      <c r="G1" t="s">
        <v>1813</v>
      </c>
    </row>
    <row r="2" spans="1:7">
      <c r="A2" t="s">
        <v>415</v>
      </c>
      <c r="B2" t="s">
        <v>1520</v>
      </c>
      <c r="C2" t="str">
        <f>IF(VLOOKUP(B2,$A$2:$A$873,1)=B2,".",B2)</f>
        <v>.</v>
      </c>
      <c r="D2" t="str">
        <f>A2</f>
        <v>block/accessibility:addinstance</v>
      </c>
      <c r="E2" t="str">
        <f>IF(C2=".",B2)</f>
        <v>block/activity_modules:addinstance</v>
      </c>
      <c r="F2" t="b">
        <f t="shared" ref="F2:F67" si="0">IF(D2=".",A2)</f>
        <v>0</v>
      </c>
      <c r="G2" t="s">
        <v>1520</v>
      </c>
    </row>
    <row r="3" spans="1:7">
      <c r="A3" t="s">
        <v>1520</v>
      </c>
      <c r="B3" t="s">
        <v>1522</v>
      </c>
      <c r="C3" t="str">
        <f t="shared" ref="C3:C66" si="1">IF(VLOOKUP(B3,$A$2:$A$873,1)=B3,".",B3)</f>
        <v>.</v>
      </c>
      <c r="D3" t="str">
        <f>IF(VLOOKUP(A3,$B$2:$B$631,1)=A3,".",A3)</f>
        <v>.</v>
      </c>
      <c r="E3" t="str">
        <f t="shared" ref="E3:E66" si="2">IF(C3=".",B3)</f>
        <v>block/admin_bookmarks:addinstance</v>
      </c>
      <c r="F3" t="str">
        <f t="shared" si="0"/>
        <v>block/activity_modules:addinstance</v>
      </c>
      <c r="G3" t="s">
        <v>1522</v>
      </c>
    </row>
    <row r="4" spans="1:7">
      <c r="A4" t="s">
        <v>1522</v>
      </c>
      <c r="B4" t="s">
        <v>1528</v>
      </c>
      <c r="C4" t="str">
        <f t="shared" si="1"/>
        <v>.</v>
      </c>
      <c r="D4" t="str">
        <f>IF(VLOOKUP(A4,$B$2:$B$631,1)=A4,".",A4)</f>
        <v>.</v>
      </c>
      <c r="E4" t="str">
        <f t="shared" si="2"/>
        <v>block/badges:addinstance</v>
      </c>
      <c r="F4" t="str">
        <f t="shared" si="0"/>
        <v>block/admin_bookmarks:addinstance</v>
      </c>
      <c r="G4" t="s">
        <v>1522</v>
      </c>
    </row>
    <row r="5" spans="1:7">
      <c r="A5" t="s">
        <v>3</v>
      </c>
      <c r="B5" t="s">
        <v>9</v>
      </c>
      <c r="C5" t="str">
        <f t="shared" si="1"/>
        <v>.</v>
      </c>
      <c r="D5" t="str">
        <f>IF(VLOOKUP(A5,$B$2:$B$631,1)=A5,".",A5)</f>
        <v>block/admin_bookmarks:myaddinstance</v>
      </c>
      <c r="E5" t="str">
        <f t="shared" si="2"/>
        <v>block/badges:myaddinstance</v>
      </c>
      <c r="F5" t="b">
        <f t="shared" si="0"/>
        <v>0</v>
      </c>
      <c r="G5" t="s">
        <v>1528</v>
      </c>
    </row>
    <row r="6" spans="1:7">
      <c r="A6" t="s">
        <v>1524</v>
      </c>
      <c r="B6" t="s">
        <v>1530</v>
      </c>
      <c r="C6" t="str">
        <f t="shared" si="1"/>
        <v>.</v>
      </c>
      <c r="D6" t="str">
        <f>IF(VLOOKUP(A6,$B$2:$B$631,1)=A6,".",A6)</f>
        <v>block/aspirelists:addinstance</v>
      </c>
      <c r="E6" t="str">
        <f t="shared" si="2"/>
        <v>block/blog_menu:addinstance</v>
      </c>
      <c r="F6" t="b">
        <f t="shared" si="0"/>
        <v>0</v>
      </c>
      <c r="G6" t="s">
        <v>1528</v>
      </c>
    </row>
    <row r="7" spans="1:7">
      <c r="A7" t="s">
        <v>5</v>
      </c>
      <c r="B7" t="s">
        <v>1532</v>
      </c>
      <c r="C7" t="str">
        <f t="shared" si="1"/>
        <v>.</v>
      </c>
      <c r="D7" t="str">
        <f>IF(VLOOKUP(A7,$B$2:$B$631,1)=A7,".",A7)</f>
        <v>block/aspirelists:myaddinstance</v>
      </c>
      <c r="E7" t="str">
        <f t="shared" si="2"/>
        <v>block/blog_recent:addinstance</v>
      </c>
      <c r="F7" t="b">
        <f t="shared" si="0"/>
        <v>0</v>
      </c>
      <c r="G7" t="s">
        <v>9</v>
      </c>
    </row>
    <row r="8" spans="1:7">
      <c r="A8" t="s">
        <v>1526</v>
      </c>
      <c r="B8" t="s">
        <v>1534</v>
      </c>
      <c r="C8" t="str">
        <f t="shared" si="1"/>
        <v>.</v>
      </c>
      <c r="D8" t="str">
        <f t="shared" ref="D8:D71" si="3">IF(VLOOKUP(A8,$B$2:$B$631,1)=A8,".",A8)</f>
        <v>block/attendance_punctuality:addinstance</v>
      </c>
      <c r="E8" t="str">
        <f t="shared" si="2"/>
        <v>block/blog_tags:addinstance</v>
      </c>
      <c r="F8" t="b">
        <f t="shared" si="0"/>
        <v>0</v>
      </c>
      <c r="G8" t="s">
        <v>9</v>
      </c>
    </row>
    <row r="9" spans="1:7">
      <c r="A9" t="s">
        <v>7</v>
      </c>
      <c r="B9" t="s">
        <v>1536</v>
      </c>
      <c r="C9" t="str">
        <f t="shared" si="1"/>
        <v>.</v>
      </c>
      <c r="D9" t="str">
        <f t="shared" si="3"/>
        <v>block/attendance_punctuality:myaddinstance</v>
      </c>
      <c r="E9" t="str">
        <f t="shared" si="2"/>
        <v>block/calendar_month:addinstance</v>
      </c>
      <c r="F9" t="b">
        <f t="shared" si="0"/>
        <v>0</v>
      </c>
      <c r="G9" t="s">
        <v>1530</v>
      </c>
    </row>
    <row r="10" spans="1:7">
      <c r="A10" t="s">
        <v>417</v>
      </c>
      <c r="B10" t="s">
        <v>12</v>
      </c>
      <c r="C10" t="str">
        <f t="shared" si="1"/>
        <v>.</v>
      </c>
      <c r="D10" t="str">
        <f t="shared" si="3"/>
        <v>block/attendance:addinstance</v>
      </c>
      <c r="E10" t="str">
        <f t="shared" si="2"/>
        <v>block/calendar_month:myaddinstance</v>
      </c>
      <c r="F10" t="b">
        <f t="shared" si="0"/>
        <v>0</v>
      </c>
      <c r="G10" t="s">
        <v>1530</v>
      </c>
    </row>
    <row r="11" spans="1:7">
      <c r="A11" t="s">
        <v>1528</v>
      </c>
      <c r="B11" t="s">
        <v>1538</v>
      </c>
      <c r="C11" t="str">
        <f t="shared" si="1"/>
        <v>.</v>
      </c>
      <c r="D11" t="str">
        <f t="shared" si="3"/>
        <v>.</v>
      </c>
      <c r="E11" t="str">
        <f t="shared" si="2"/>
        <v>block/calendar_upcoming:addinstance</v>
      </c>
      <c r="F11" t="str">
        <f t="shared" si="0"/>
        <v>block/badges:addinstance</v>
      </c>
      <c r="G11" t="s">
        <v>1532</v>
      </c>
    </row>
    <row r="12" spans="1:7">
      <c r="A12" t="s">
        <v>9</v>
      </c>
      <c r="B12" t="s">
        <v>14</v>
      </c>
      <c r="C12" t="str">
        <f t="shared" si="1"/>
        <v>.</v>
      </c>
      <c r="D12" t="str">
        <f t="shared" si="3"/>
        <v>.</v>
      </c>
      <c r="E12" t="str">
        <f t="shared" si="2"/>
        <v>block/calendar_upcoming:myaddinstance</v>
      </c>
      <c r="F12" t="str">
        <f t="shared" si="0"/>
        <v>block/badges:myaddinstance</v>
      </c>
      <c r="G12" t="s">
        <v>1532</v>
      </c>
    </row>
    <row r="13" spans="1:7">
      <c r="A13" t="s">
        <v>1530</v>
      </c>
      <c r="B13" t="s">
        <v>1542</v>
      </c>
      <c r="C13" t="str">
        <f t="shared" si="1"/>
        <v>.</v>
      </c>
      <c r="D13" t="str">
        <f t="shared" si="3"/>
        <v>.</v>
      </c>
      <c r="E13" t="str">
        <f t="shared" si="2"/>
        <v>block/comments:addinstance</v>
      </c>
      <c r="F13" t="str">
        <f t="shared" si="0"/>
        <v>block/blog_menu:addinstance</v>
      </c>
      <c r="G13" t="s">
        <v>1534</v>
      </c>
    </row>
    <row r="14" spans="1:7">
      <c r="A14" t="s">
        <v>1532</v>
      </c>
      <c r="B14" t="s">
        <v>16</v>
      </c>
      <c r="C14" t="str">
        <f t="shared" si="1"/>
        <v>.</v>
      </c>
      <c r="D14" t="str">
        <f t="shared" si="3"/>
        <v>.</v>
      </c>
      <c r="E14" t="str">
        <f t="shared" si="2"/>
        <v>block/comments:myaddinstance</v>
      </c>
      <c r="F14" t="str">
        <f t="shared" si="0"/>
        <v>block/blog_recent:addinstance</v>
      </c>
      <c r="G14" t="s">
        <v>1534</v>
      </c>
    </row>
    <row r="15" spans="1:7">
      <c r="A15" t="s">
        <v>1534</v>
      </c>
      <c r="B15" t="s">
        <v>1544</v>
      </c>
      <c r="C15" t="str">
        <f t="shared" si="1"/>
        <v>.</v>
      </c>
      <c r="D15" t="str">
        <f t="shared" si="3"/>
        <v>.</v>
      </c>
      <c r="E15" t="str">
        <f t="shared" si="2"/>
        <v>block/community:addinstance</v>
      </c>
      <c r="F15" t="str">
        <f t="shared" si="0"/>
        <v>block/blog_tags:addinstance</v>
      </c>
      <c r="G15" t="s">
        <v>1536</v>
      </c>
    </row>
    <row r="16" spans="1:7">
      <c r="A16" t="s">
        <v>1536</v>
      </c>
      <c r="B16" t="s">
        <v>18</v>
      </c>
      <c r="C16" t="str">
        <f t="shared" si="1"/>
        <v>.</v>
      </c>
      <c r="D16" t="str">
        <f t="shared" si="3"/>
        <v>.</v>
      </c>
      <c r="E16" t="str">
        <f t="shared" si="2"/>
        <v>block/community:myaddinstance</v>
      </c>
      <c r="F16" t="str">
        <f t="shared" si="0"/>
        <v>block/calendar_month:addinstance</v>
      </c>
      <c r="G16" t="s">
        <v>1536</v>
      </c>
    </row>
    <row r="17" spans="1:7">
      <c r="A17" t="s">
        <v>12</v>
      </c>
      <c r="B17" t="s">
        <v>1546</v>
      </c>
      <c r="C17" t="str">
        <f t="shared" si="1"/>
        <v>.</v>
      </c>
      <c r="D17" t="str">
        <f t="shared" si="3"/>
        <v>.</v>
      </c>
      <c r="E17" t="str">
        <f t="shared" si="2"/>
        <v>block/completionstatus:addinstance</v>
      </c>
      <c r="F17" t="str">
        <f t="shared" si="0"/>
        <v>block/calendar_month:myaddinstance</v>
      </c>
      <c r="G17" t="s">
        <v>12</v>
      </c>
    </row>
    <row r="18" spans="1:7">
      <c r="A18" t="s">
        <v>1538</v>
      </c>
      <c r="B18" t="s">
        <v>1771</v>
      </c>
      <c r="C18" t="str">
        <f t="shared" si="1"/>
        <v>block/configurable_reports:addinstance</v>
      </c>
      <c r="D18" t="str">
        <f t="shared" si="3"/>
        <v>.</v>
      </c>
      <c r="E18" t="b">
        <f t="shared" si="2"/>
        <v>0</v>
      </c>
      <c r="F18" t="str">
        <f t="shared" si="0"/>
        <v>block/calendar_upcoming:addinstance</v>
      </c>
      <c r="G18" t="s">
        <v>12</v>
      </c>
    </row>
    <row r="19" spans="1:7">
      <c r="A19" t="s">
        <v>14</v>
      </c>
      <c r="B19" t="s">
        <v>1773</v>
      </c>
      <c r="C19" t="str">
        <f t="shared" si="1"/>
        <v>block/configurable_reports:manageownreports</v>
      </c>
      <c r="D19" t="str">
        <f t="shared" si="3"/>
        <v>.</v>
      </c>
      <c r="E19" t="b">
        <f t="shared" si="2"/>
        <v>0</v>
      </c>
      <c r="F19" t="str">
        <f t="shared" si="0"/>
        <v>block/calendar_upcoming:myaddinstance</v>
      </c>
      <c r="G19" t="s">
        <v>1538</v>
      </c>
    </row>
    <row r="20" spans="1:7">
      <c r="A20" t="s">
        <v>1540</v>
      </c>
      <c r="B20" t="s">
        <v>1775</v>
      </c>
      <c r="C20" t="str">
        <f t="shared" si="1"/>
        <v>block/configurable_reports:managereports</v>
      </c>
      <c r="D20" t="str">
        <f t="shared" si="3"/>
        <v>block/checklist:addinstance</v>
      </c>
      <c r="E20" t="b">
        <f t="shared" si="2"/>
        <v>0</v>
      </c>
      <c r="F20" t="b">
        <f t="shared" si="0"/>
        <v>0</v>
      </c>
      <c r="G20" t="s">
        <v>1538</v>
      </c>
    </row>
    <row r="21" spans="1:7">
      <c r="A21" t="s">
        <v>277</v>
      </c>
      <c r="B21" t="s">
        <v>1777</v>
      </c>
      <c r="C21" t="str">
        <f t="shared" si="1"/>
        <v>block/configurable_reports:managesqlreports</v>
      </c>
      <c r="D21" t="str">
        <f t="shared" si="3"/>
        <v>block/checklist:myaddinstance</v>
      </c>
      <c r="E21" t="b">
        <f t="shared" si="2"/>
        <v>0</v>
      </c>
      <c r="F21" t="b">
        <f t="shared" si="0"/>
        <v>0</v>
      </c>
      <c r="G21" t="s">
        <v>14</v>
      </c>
    </row>
    <row r="22" spans="1:7">
      <c r="A22" t="s">
        <v>1542</v>
      </c>
      <c r="B22" t="s">
        <v>1779</v>
      </c>
      <c r="C22" t="str">
        <f t="shared" si="1"/>
        <v>block/configurable_reports:myaddinstance</v>
      </c>
      <c r="D22" t="str">
        <f t="shared" si="3"/>
        <v>.</v>
      </c>
      <c r="E22" t="b">
        <f t="shared" si="2"/>
        <v>0</v>
      </c>
      <c r="F22" t="str">
        <f t="shared" si="0"/>
        <v>block/comments:addinstance</v>
      </c>
      <c r="G22" t="s">
        <v>14</v>
      </c>
    </row>
    <row r="23" spans="1:7">
      <c r="A23" t="s">
        <v>16</v>
      </c>
      <c r="B23" t="s">
        <v>1780</v>
      </c>
      <c r="C23" t="str">
        <f t="shared" si="1"/>
        <v>block/configurable_reports:viewreports</v>
      </c>
      <c r="D23" t="str">
        <f t="shared" si="3"/>
        <v>.</v>
      </c>
      <c r="E23" t="b">
        <f t="shared" si="2"/>
        <v>0</v>
      </c>
      <c r="F23" t="str">
        <f t="shared" si="0"/>
        <v>block/comments:myaddinstance</v>
      </c>
      <c r="G23" t="s">
        <v>1542</v>
      </c>
    </row>
    <row r="24" spans="1:7">
      <c r="A24" t="s">
        <v>1544</v>
      </c>
      <c r="B24" t="s">
        <v>1552</v>
      </c>
      <c r="C24" t="str">
        <f t="shared" si="1"/>
        <v>.</v>
      </c>
      <c r="D24" t="str">
        <f t="shared" si="3"/>
        <v>.</v>
      </c>
      <c r="E24" t="str">
        <f t="shared" si="2"/>
        <v>block/course_list:addinstance</v>
      </c>
      <c r="F24" t="str">
        <f t="shared" si="0"/>
        <v>block/community:addinstance</v>
      </c>
      <c r="G24" t="s">
        <v>1542</v>
      </c>
    </row>
    <row r="25" spans="1:7">
      <c r="A25" t="s">
        <v>18</v>
      </c>
      <c r="B25" t="s">
        <v>22</v>
      </c>
      <c r="C25" t="str">
        <f t="shared" si="1"/>
        <v>.</v>
      </c>
      <c r="D25" t="str">
        <f t="shared" si="3"/>
        <v>.</v>
      </c>
      <c r="E25" t="str">
        <f t="shared" si="2"/>
        <v>block/course_list:myaddinstance</v>
      </c>
      <c r="F25" t="str">
        <f t="shared" si="0"/>
        <v>block/community:myaddinstance</v>
      </c>
      <c r="G25" t="s">
        <v>16</v>
      </c>
    </row>
    <row r="26" spans="1:7">
      <c r="A26" t="s">
        <v>1546</v>
      </c>
      <c r="B26" t="s">
        <v>1782</v>
      </c>
      <c r="C26" t="str">
        <f t="shared" si="1"/>
        <v>block/course_menu:addinstance</v>
      </c>
      <c r="D26" t="str">
        <f t="shared" si="3"/>
        <v>.</v>
      </c>
      <c r="E26" t="b">
        <f t="shared" si="2"/>
        <v>0</v>
      </c>
      <c r="F26" t="str">
        <f t="shared" si="0"/>
        <v>block/completionstatus:addinstance</v>
      </c>
      <c r="G26" t="s">
        <v>16</v>
      </c>
    </row>
    <row r="27" spans="1:7">
      <c r="A27" t="s">
        <v>1548</v>
      </c>
      <c r="B27" t="s">
        <v>1713</v>
      </c>
      <c r="C27" t="str">
        <f t="shared" si="1"/>
        <v>block/course_menu:myaddinstance</v>
      </c>
      <c r="D27" t="str">
        <f t="shared" si="3"/>
        <v>block/contact_lesoco:addinstance</v>
      </c>
      <c r="E27" t="b">
        <f t="shared" si="2"/>
        <v>0</v>
      </c>
      <c r="F27" t="b">
        <f t="shared" si="0"/>
        <v>0</v>
      </c>
      <c r="G27" t="s">
        <v>1544</v>
      </c>
    </row>
    <row r="28" spans="1:7">
      <c r="A28" t="s">
        <v>20</v>
      </c>
      <c r="B28" t="s">
        <v>1554</v>
      </c>
      <c r="C28" t="str">
        <f t="shared" si="1"/>
        <v>.</v>
      </c>
      <c r="D28" t="str">
        <f t="shared" si="3"/>
        <v>block/contact_lesoco:myaddinstance</v>
      </c>
      <c r="E28" t="str">
        <f t="shared" si="2"/>
        <v>block/course_overview:addinstance</v>
      </c>
      <c r="F28" t="b">
        <f t="shared" si="0"/>
        <v>0</v>
      </c>
      <c r="G28" t="s">
        <v>1544</v>
      </c>
    </row>
    <row r="29" spans="1:7">
      <c r="A29" t="s">
        <v>1550</v>
      </c>
      <c r="B29" t="s">
        <v>24</v>
      </c>
      <c r="C29" t="str">
        <f t="shared" si="1"/>
        <v>.</v>
      </c>
      <c r="D29" t="str">
        <f t="shared" si="3"/>
        <v>block/course_contents:addinstance</v>
      </c>
      <c r="E29" t="str">
        <f t="shared" si="2"/>
        <v>block/course_overview:myaddinstance</v>
      </c>
      <c r="F29" t="b">
        <f t="shared" si="0"/>
        <v>0</v>
      </c>
      <c r="G29" t="s">
        <v>18</v>
      </c>
    </row>
    <row r="30" spans="1:7">
      <c r="A30" t="s">
        <v>1552</v>
      </c>
      <c r="B30" t="s">
        <v>1560</v>
      </c>
      <c r="C30" t="str">
        <f t="shared" si="1"/>
        <v>.</v>
      </c>
      <c r="D30" t="str">
        <f t="shared" si="3"/>
        <v>.</v>
      </c>
      <c r="E30" t="str">
        <f t="shared" si="2"/>
        <v>block/course_summary:addinstance</v>
      </c>
      <c r="F30" t="str">
        <f t="shared" si="0"/>
        <v>block/course_list:addinstance</v>
      </c>
      <c r="G30" t="s">
        <v>18</v>
      </c>
    </row>
    <row r="31" spans="1:7">
      <c r="A31" t="s">
        <v>22</v>
      </c>
      <c r="B31" t="s">
        <v>1784</v>
      </c>
      <c r="C31" t="str">
        <f t="shared" si="1"/>
        <v>block/course_visibility:addinstance</v>
      </c>
      <c r="D31" t="str">
        <f t="shared" si="3"/>
        <v>.</v>
      </c>
      <c r="E31" t="b">
        <f t="shared" si="2"/>
        <v>0</v>
      </c>
      <c r="F31" t="str">
        <f t="shared" si="0"/>
        <v>block/course_list:myaddinstance</v>
      </c>
      <c r="G31" t="s">
        <v>1546</v>
      </c>
    </row>
    <row r="32" spans="1:7">
      <c r="A32" t="s">
        <v>1556</v>
      </c>
      <c r="B32" t="s">
        <v>1786</v>
      </c>
      <c r="C32" t="str">
        <f t="shared" si="1"/>
        <v>block/course_visibility:viewsettingslink</v>
      </c>
      <c r="D32" t="str">
        <f t="shared" si="3"/>
        <v>block/course_overview_campus:addinstance</v>
      </c>
      <c r="E32" t="b">
        <f t="shared" si="2"/>
        <v>0</v>
      </c>
      <c r="F32" t="b">
        <f t="shared" si="0"/>
        <v>0</v>
      </c>
      <c r="G32" t="s">
        <v>1546</v>
      </c>
    </row>
    <row r="33" spans="1:7">
      <c r="A33" t="s">
        <v>26</v>
      </c>
      <c r="B33" t="s">
        <v>1566</v>
      </c>
      <c r="C33" t="str">
        <f t="shared" si="1"/>
        <v>.</v>
      </c>
      <c r="D33" t="str">
        <f t="shared" si="3"/>
        <v>block/course_overview_campus:myaddinstance</v>
      </c>
      <c r="E33" t="str">
        <f t="shared" si="2"/>
        <v>block/echo360_configuration:viewasinstructor</v>
      </c>
      <c r="F33" t="b">
        <f t="shared" si="0"/>
        <v>0</v>
      </c>
      <c r="G33" t="s">
        <v>1552</v>
      </c>
    </row>
    <row r="34" spans="1:7">
      <c r="A34" t="s">
        <v>1554</v>
      </c>
      <c r="B34" t="s">
        <v>1568</v>
      </c>
      <c r="C34" t="str">
        <f t="shared" si="1"/>
        <v>.</v>
      </c>
      <c r="D34" t="str">
        <f t="shared" si="3"/>
        <v>.</v>
      </c>
      <c r="E34" t="str">
        <f t="shared" si="2"/>
        <v>block/echo360_configuration:viewasstudent</v>
      </c>
      <c r="F34" t="str">
        <f t="shared" si="0"/>
        <v>block/course_overview:addinstance</v>
      </c>
      <c r="G34" t="s">
        <v>1552</v>
      </c>
    </row>
    <row r="35" spans="1:7">
      <c r="A35" t="s">
        <v>24</v>
      </c>
      <c r="B35" t="s">
        <v>1715</v>
      </c>
      <c r="C35" t="str">
        <f t="shared" si="1"/>
        <v>block/email_list:createfolder</v>
      </c>
      <c r="D35" t="str">
        <f t="shared" si="3"/>
        <v>.</v>
      </c>
      <c r="E35" t="b">
        <f t="shared" si="2"/>
        <v>0</v>
      </c>
      <c r="F35" t="str">
        <f t="shared" si="0"/>
        <v>block/course_overview:myaddinstance</v>
      </c>
      <c r="G35" t="s">
        <v>22</v>
      </c>
    </row>
    <row r="36" spans="1:7">
      <c r="A36" t="s">
        <v>1558</v>
      </c>
      <c r="B36" t="s">
        <v>1717</v>
      </c>
      <c r="C36" t="str">
        <f t="shared" si="1"/>
        <v>block/email_list:editsettings</v>
      </c>
      <c r="D36" t="str">
        <f t="shared" si="3"/>
        <v>block/course_reports:addinstance</v>
      </c>
      <c r="E36" t="b">
        <f t="shared" si="2"/>
        <v>0</v>
      </c>
      <c r="F36" t="b">
        <f t="shared" si="0"/>
        <v>0</v>
      </c>
      <c r="G36" t="s">
        <v>22</v>
      </c>
    </row>
    <row r="37" spans="1:7">
      <c r="A37" t="s">
        <v>28</v>
      </c>
      <c r="B37" t="s">
        <v>1719</v>
      </c>
      <c r="C37" t="str">
        <f t="shared" si="1"/>
        <v>block/email_list:sendmessage</v>
      </c>
      <c r="D37" t="str">
        <f t="shared" si="3"/>
        <v>block/course_reports:myaddinstance</v>
      </c>
      <c r="E37" t="b">
        <f t="shared" si="2"/>
        <v>0</v>
      </c>
      <c r="F37" t="b">
        <f t="shared" si="0"/>
        <v>0</v>
      </c>
      <c r="G37" t="s">
        <v>1554</v>
      </c>
    </row>
    <row r="38" spans="1:7">
      <c r="A38" t="s">
        <v>1560</v>
      </c>
      <c r="B38" t="s">
        <v>1580</v>
      </c>
      <c r="C38" t="str">
        <f t="shared" si="1"/>
        <v>.</v>
      </c>
      <c r="D38" t="str">
        <f t="shared" si="3"/>
        <v>.</v>
      </c>
      <c r="E38" t="str">
        <f t="shared" si="2"/>
        <v>block/feedback:addinstance</v>
      </c>
      <c r="F38" t="str">
        <f t="shared" si="0"/>
        <v>block/course_summary:addinstance</v>
      </c>
      <c r="G38" t="s">
        <v>1554</v>
      </c>
    </row>
    <row r="39" spans="1:7">
      <c r="A39" t="s">
        <v>1562</v>
      </c>
      <c r="B39" t="s">
        <v>1594</v>
      </c>
      <c r="C39" t="str">
        <f t="shared" si="1"/>
        <v>.</v>
      </c>
      <c r="D39" t="str">
        <f t="shared" si="3"/>
        <v>block/course_tree_list:addinstance</v>
      </c>
      <c r="E39" t="str">
        <f t="shared" si="2"/>
        <v>block/glossary_random:addinstance</v>
      </c>
      <c r="F39" t="b">
        <f t="shared" si="0"/>
        <v>0</v>
      </c>
      <c r="G39" t="s">
        <v>24</v>
      </c>
    </row>
    <row r="40" spans="1:7">
      <c r="A40" t="s">
        <v>30</v>
      </c>
      <c r="B40" t="s">
        <v>36</v>
      </c>
      <c r="C40" t="str">
        <f t="shared" si="1"/>
        <v>.</v>
      </c>
      <c r="D40" t="str">
        <f t="shared" si="3"/>
        <v>block/course_tree_list:myaddinstance</v>
      </c>
      <c r="E40" t="str">
        <f t="shared" si="2"/>
        <v>block/glossary_random:myaddinstance</v>
      </c>
      <c r="F40" t="b">
        <f t="shared" si="0"/>
        <v>0</v>
      </c>
      <c r="G40" t="s">
        <v>24</v>
      </c>
    </row>
    <row r="41" spans="1:7">
      <c r="A41" t="s">
        <v>419</v>
      </c>
      <c r="B41" t="s">
        <v>1602</v>
      </c>
      <c r="C41" t="str">
        <f t="shared" si="1"/>
        <v>.</v>
      </c>
      <c r="D41" t="str">
        <f t="shared" si="3"/>
        <v>block/courseaward_medal:addinstance</v>
      </c>
      <c r="E41" t="str">
        <f t="shared" si="2"/>
        <v>block/html:addinstance</v>
      </c>
      <c r="F41" t="b">
        <f t="shared" si="0"/>
        <v>0</v>
      </c>
      <c r="G41" t="s">
        <v>1560</v>
      </c>
    </row>
    <row r="42" spans="1:7">
      <c r="A42" t="s">
        <v>421</v>
      </c>
      <c r="B42" t="s">
        <v>38</v>
      </c>
      <c r="C42" t="str">
        <f t="shared" si="1"/>
        <v>.</v>
      </c>
      <c r="D42" t="str">
        <f t="shared" si="3"/>
        <v>block/courseaward_medal:admin</v>
      </c>
      <c r="E42" t="str">
        <f t="shared" si="2"/>
        <v>block/html:myaddinstance</v>
      </c>
      <c r="F42" t="b">
        <f t="shared" si="0"/>
        <v>0</v>
      </c>
      <c r="G42" t="s">
        <v>1560</v>
      </c>
    </row>
    <row r="43" spans="1:7">
      <c r="A43" t="s">
        <v>423</v>
      </c>
      <c r="B43" t="s">
        <v>1791</v>
      </c>
      <c r="C43" t="str">
        <f t="shared" si="1"/>
        <v>block/library_resources:addinstance</v>
      </c>
      <c r="D43" t="str">
        <f t="shared" si="3"/>
        <v>block/courseaward_vote:addinstance</v>
      </c>
      <c r="E43" t="b">
        <f t="shared" si="2"/>
        <v>0</v>
      </c>
      <c r="F43" t="b">
        <f t="shared" si="0"/>
        <v>0</v>
      </c>
      <c r="G43" t="s">
        <v>1566</v>
      </c>
    </row>
    <row r="44" spans="1:7">
      <c r="A44" t="s">
        <v>425</v>
      </c>
      <c r="B44" t="s">
        <v>1722</v>
      </c>
      <c r="C44" t="str">
        <f t="shared" si="1"/>
        <v>block/library_resources:myaddinstance</v>
      </c>
      <c r="D44" t="str">
        <f t="shared" si="3"/>
        <v>block/courseaward_vote:admin</v>
      </c>
      <c r="E44" t="b">
        <f t="shared" si="2"/>
        <v>0</v>
      </c>
      <c r="F44" t="b">
        <f t="shared" si="0"/>
        <v>0</v>
      </c>
      <c r="G44" t="s">
        <v>1566</v>
      </c>
    </row>
    <row r="45" spans="1:7">
      <c r="A45" t="s">
        <v>427</v>
      </c>
      <c r="B45" t="s">
        <v>1793</v>
      </c>
      <c r="C45" t="str">
        <f t="shared" si="1"/>
        <v>block/library_search:addinstance</v>
      </c>
      <c r="D45" t="str">
        <f t="shared" si="3"/>
        <v>block/courseaward_vote:vote</v>
      </c>
      <c r="E45" t="b">
        <f t="shared" si="2"/>
        <v>0</v>
      </c>
      <c r="F45" t="b">
        <f t="shared" si="0"/>
        <v>0</v>
      </c>
      <c r="G45" t="s">
        <v>1568</v>
      </c>
    </row>
    <row r="46" spans="1:7">
      <c r="A46" t="s">
        <v>1564</v>
      </c>
      <c r="B46" t="s">
        <v>1724</v>
      </c>
      <c r="C46" t="str">
        <f t="shared" si="1"/>
        <v>block/library_search:myaddinstance</v>
      </c>
      <c r="D46" t="str">
        <f t="shared" si="3"/>
        <v>block/cpfusion:addinstance</v>
      </c>
      <c r="E46" t="b">
        <f t="shared" si="2"/>
        <v>0</v>
      </c>
      <c r="F46" t="b">
        <f t="shared" si="0"/>
        <v>0</v>
      </c>
      <c r="G46" t="s">
        <v>1568</v>
      </c>
    </row>
    <row r="47" spans="1:7">
      <c r="A47" t="s">
        <v>32</v>
      </c>
      <c r="B47" t="s">
        <v>1614</v>
      </c>
      <c r="C47" t="str">
        <f t="shared" si="1"/>
        <v>.</v>
      </c>
      <c r="D47" t="str">
        <f t="shared" si="3"/>
        <v>block/cpfusion:myaddinstance</v>
      </c>
      <c r="E47" t="str">
        <f t="shared" si="2"/>
        <v>block/login:addinstance</v>
      </c>
      <c r="F47" t="b">
        <f t="shared" si="0"/>
        <v>0</v>
      </c>
      <c r="G47" t="s">
        <v>1580</v>
      </c>
    </row>
    <row r="48" spans="1:7">
      <c r="A48" t="s">
        <v>1566</v>
      </c>
      <c r="B48" t="s">
        <v>1620</v>
      </c>
      <c r="C48" t="str">
        <f t="shared" si="1"/>
        <v>.</v>
      </c>
      <c r="D48" t="str">
        <f t="shared" si="3"/>
        <v>.</v>
      </c>
      <c r="E48" t="str">
        <f t="shared" si="2"/>
        <v>block/mentees:addinstance</v>
      </c>
      <c r="F48" t="str">
        <f t="shared" si="0"/>
        <v>block/echo360_configuration:viewasinstructor</v>
      </c>
      <c r="G48" t="s">
        <v>1580</v>
      </c>
    </row>
    <row r="49" spans="1:7">
      <c r="A49" t="s">
        <v>1568</v>
      </c>
      <c r="B49" t="s">
        <v>45</v>
      </c>
      <c r="C49" t="str">
        <f t="shared" si="1"/>
        <v>.</v>
      </c>
      <c r="D49" t="str">
        <f t="shared" si="3"/>
        <v>.</v>
      </c>
      <c r="E49" t="str">
        <f t="shared" si="2"/>
        <v>block/mentees:myaddinstance</v>
      </c>
      <c r="F49" t="str">
        <f t="shared" si="0"/>
        <v>block/echo360_configuration:viewasstudent</v>
      </c>
      <c r="G49" t="s">
        <v>1594</v>
      </c>
    </row>
    <row r="50" spans="1:7">
      <c r="A50" t="s">
        <v>1570</v>
      </c>
      <c r="B50" t="s">
        <v>1622</v>
      </c>
      <c r="C50" t="str">
        <f t="shared" si="1"/>
        <v>.</v>
      </c>
      <c r="D50" t="str">
        <f t="shared" si="3"/>
        <v>block/elluminate:addinstance</v>
      </c>
      <c r="E50" t="str">
        <f t="shared" si="2"/>
        <v>block/messages:addinstance</v>
      </c>
      <c r="F50" t="b">
        <f t="shared" si="0"/>
        <v>0</v>
      </c>
      <c r="G50" t="s">
        <v>1594</v>
      </c>
    </row>
    <row r="51" spans="1:7">
      <c r="A51" t="s">
        <v>34</v>
      </c>
      <c r="B51" t="s">
        <v>47</v>
      </c>
      <c r="C51" t="str">
        <f t="shared" si="1"/>
        <v>.</v>
      </c>
      <c r="D51" t="str">
        <f t="shared" si="3"/>
        <v>block/elluminate:myaddinstance</v>
      </c>
      <c r="E51" t="str">
        <f t="shared" si="2"/>
        <v>block/messages:myaddinstance</v>
      </c>
      <c r="F51" t="b">
        <f t="shared" si="0"/>
        <v>0</v>
      </c>
      <c r="G51" t="s">
        <v>36</v>
      </c>
    </row>
    <row r="52" spans="1:7">
      <c r="A52" t="s">
        <v>1572</v>
      </c>
      <c r="B52" t="s">
        <v>1626</v>
      </c>
      <c r="C52" t="str">
        <f t="shared" si="1"/>
        <v>.</v>
      </c>
      <c r="D52" t="str">
        <f t="shared" si="3"/>
        <v>block/equella_search:addinstance</v>
      </c>
      <c r="E52" t="str">
        <f t="shared" si="2"/>
        <v>block/mnet_hosts:addinstance</v>
      </c>
      <c r="F52" t="b">
        <f t="shared" si="0"/>
        <v>0</v>
      </c>
      <c r="G52" t="s">
        <v>36</v>
      </c>
    </row>
    <row r="53" spans="1:7">
      <c r="A53" t="s">
        <v>1574</v>
      </c>
      <c r="B53" t="s">
        <v>49</v>
      </c>
      <c r="C53" t="str">
        <f t="shared" si="1"/>
        <v>.</v>
      </c>
      <c r="D53" t="str">
        <f t="shared" si="3"/>
        <v>block/equella_search:search</v>
      </c>
      <c r="E53" t="str">
        <f t="shared" si="2"/>
        <v>block/mnet_hosts:myaddinstance</v>
      </c>
      <c r="F53" t="b">
        <f t="shared" si="0"/>
        <v>0</v>
      </c>
      <c r="G53" t="s">
        <v>1602</v>
      </c>
    </row>
    <row r="54" spans="1:7">
      <c r="A54" t="s">
        <v>1576</v>
      </c>
      <c r="B54" t="s">
        <v>1640</v>
      </c>
      <c r="C54" t="str">
        <f t="shared" si="1"/>
        <v>.</v>
      </c>
      <c r="D54" t="str">
        <f t="shared" si="3"/>
        <v>block/equella_search:view</v>
      </c>
      <c r="E54" t="str">
        <f t="shared" si="2"/>
        <v>block/myprofile:addinstance</v>
      </c>
      <c r="F54" t="b">
        <f t="shared" si="0"/>
        <v>0</v>
      </c>
      <c r="G54" t="s">
        <v>1602</v>
      </c>
    </row>
    <row r="55" spans="1:7">
      <c r="A55" t="s">
        <v>1578</v>
      </c>
      <c r="B55" t="s">
        <v>51</v>
      </c>
      <c r="C55" t="str">
        <f t="shared" si="1"/>
        <v>.</v>
      </c>
      <c r="D55" t="str">
        <f t="shared" si="3"/>
        <v>block/equella_tasks:addinstance</v>
      </c>
      <c r="E55" t="str">
        <f t="shared" si="2"/>
        <v>block/myprofile:myaddinstance</v>
      </c>
      <c r="F55" t="b">
        <f t="shared" si="0"/>
        <v>0</v>
      </c>
      <c r="G55" t="s">
        <v>38</v>
      </c>
    </row>
    <row r="56" spans="1:7">
      <c r="A56" t="s">
        <v>1580</v>
      </c>
      <c r="B56" t="s">
        <v>1642</v>
      </c>
      <c r="C56" t="str">
        <f t="shared" si="1"/>
        <v>.</v>
      </c>
      <c r="D56" t="str">
        <f t="shared" si="3"/>
        <v>.</v>
      </c>
      <c r="E56" t="str">
        <f t="shared" si="2"/>
        <v>block/navigation:addinstance</v>
      </c>
      <c r="F56" t="str">
        <f t="shared" si="0"/>
        <v>block/feedback:addinstance</v>
      </c>
      <c r="G56" t="s">
        <v>38</v>
      </c>
    </row>
    <row r="57" spans="1:7">
      <c r="A57" t="s">
        <v>1582</v>
      </c>
      <c r="B57" t="s">
        <v>53</v>
      </c>
      <c r="C57" t="str">
        <f t="shared" si="1"/>
        <v>.</v>
      </c>
      <c r="D57" t="str">
        <f t="shared" si="3"/>
        <v>block/formal_langs:addinstance</v>
      </c>
      <c r="E57" t="str">
        <f t="shared" si="2"/>
        <v>block/navigation:myaddinstance</v>
      </c>
      <c r="F57" t="b">
        <f t="shared" si="0"/>
        <v>0</v>
      </c>
      <c r="G57" t="s">
        <v>1614</v>
      </c>
    </row>
    <row r="58" spans="1:7">
      <c r="A58" t="s">
        <v>1584</v>
      </c>
      <c r="B58" t="s">
        <v>1644</v>
      </c>
      <c r="C58" t="str">
        <f t="shared" si="1"/>
        <v>.</v>
      </c>
      <c r="D58" t="str">
        <f t="shared" si="3"/>
        <v>block/formal_langs:addlanguage</v>
      </c>
      <c r="E58" t="str">
        <f t="shared" si="2"/>
        <v>block/news_items:addinstance</v>
      </c>
      <c r="F58" t="b">
        <f t="shared" si="0"/>
        <v>0</v>
      </c>
      <c r="G58" t="s">
        <v>1614</v>
      </c>
    </row>
    <row r="59" spans="1:7">
      <c r="A59" t="s">
        <v>1586</v>
      </c>
      <c r="B59" t="s">
        <v>55</v>
      </c>
      <c r="C59" t="str">
        <f t="shared" si="1"/>
        <v>.</v>
      </c>
      <c r="D59" t="str">
        <f t="shared" si="3"/>
        <v>block/formal_langs:changelanguagevisibility</v>
      </c>
      <c r="E59" t="str">
        <f t="shared" si="2"/>
        <v>block/news_items:myaddinstance</v>
      </c>
      <c r="F59" t="b">
        <f t="shared" si="0"/>
        <v>0</v>
      </c>
      <c r="G59" t="s">
        <v>1620</v>
      </c>
    </row>
    <row r="60" spans="1:7">
      <c r="A60" t="s">
        <v>1588</v>
      </c>
      <c r="B60" t="s">
        <v>1646</v>
      </c>
      <c r="C60" t="str">
        <f t="shared" si="1"/>
        <v>.</v>
      </c>
      <c r="D60" t="str">
        <f t="shared" si="3"/>
        <v>block/formal_langs:editalllanguages</v>
      </c>
      <c r="E60" t="str">
        <f t="shared" si="2"/>
        <v>block/online_users:addinstance</v>
      </c>
      <c r="F60" t="b">
        <f t="shared" si="0"/>
        <v>0</v>
      </c>
      <c r="G60" t="s">
        <v>1620</v>
      </c>
    </row>
    <row r="61" spans="1:7">
      <c r="A61" t="s">
        <v>1590</v>
      </c>
      <c r="B61" t="s">
        <v>57</v>
      </c>
      <c r="C61" t="str">
        <f t="shared" si="1"/>
        <v>.</v>
      </c>
      <c r="D61" t="str">
        <f t="shared" si="3"/>
        <v>block/formal_langs:editownlanguages</v>
      </c>
      <c r="E61" t="str">
        <f t="shared" si="2"/>
        <v>block/online_users:myaddinstance</v>
      </c>
      <c r="F61" t="b">
        <f t="shared" si="0"/>
        <v>0</v>
      </c>
      <c r="G61" t="s">
        <v>45</v>
      </c>
    </row>
    <row r="62" spans="1:7">
      <c r="A62" t="s">
        <v>1592</v>
      </c>
      <c r="B62" t="s">
        <v>244</v>
      </c>
      <c r="C62" t="str">
        <f t="shared" si="1"/>
        <v>.</v>
      </c>
      <c r="D62" t="str">
        <f t="shared" si="3"/>
        <v>block/formal_langs:viewlanguagelist</v>
      </c>
      <c r="E62" t="str">
        <f t="shared" si="2"/>
        <v>block/online_users:viewlist</v>
      </c>
      <c r="F62" t="b">
        <f t="shared" si="0"/>
        <v>0</v>
      </c>
      <c r="G62" t="s">
        <v>45</v>
      </c>
    </row>
    <row r="63" spans="1:7">
      <c r="A63" t="s">
        <v>1594</v>
      </c>
      <c r="B63" t="s">
        <v>1648</v>
      </c>
      <c r="C63" t="str">
        <f t="shared" si="1"/>
        <v>.</v>
      </c>
      <c r="D63" t="str">
        <f t="shared" si="3"/>
        <v>.</v>
      </c>
      <c r="E63" t="str">
        <f t="shared" si="2"/>
        <v>block/participants:addinstance</v>
      </c>
      <c r="F63" t="str">
        <f t="shared" si="0"/>
        <v>block/glossary_random:addinstance</v>
      </c>
      <c r="G63" t="s">
        <v>1622</v>
      </c>
    </row>
    <row r="64" spans="1:7">
      <c r="A64" t="s">
        <v>36</v>
      </c>
      <c r="B64" t="s">
        <v>1795</v>
      </c>
      <c r="C64" t="str">
        <f t="shared" si="1"/>
        <v>block/portico_enrolments:addinstance</v>
      </c>
      <c r="D64" t="str">
        <f t="shared" si="3"/>
        <v>.</v>
      </c>
      <c r="E64" t="b">
        <f t="shared" si="2"/>
        <v>0</v>
      </c>
      <c r="F64" t="str">
        <f t="shared" si="0"/>
        <v>block/glossary_random:myaddinstance</v>
      </c>
      <c r="G64" t="s">
        <v>1622</v>
      </c>
    </row>
    <row r="65" spans="1:7">
      <c r="A65" t="s">
        <v>1596</v>
      </c>
      <c r="B65" t="s">
        <v>1797</v>
      </c>
      <c r="C65" t="str">
        <f t="shared" si="1"/>
        <v>block/portico_enrolments:mappingeditor</v>
      </c>
      <c r="D65" t="str">
        <f t="shared" si="3"/>
        <v>block/gsb:addinstance</v>
      </c>
      <c r="E65" t="b">
        <f t="shared" si="2"/>
        <v>0</v>
      </c>
      <c r="F65" t="b">
        <f t="shared" si="0"/>
        <v>0</v>
      </c>
      <c r="G65" t="s">
        <v>47</v>
      </c>
    </row>
    <row r="66" spans="1:7">
      <c r="A66" t="s">
        <v>1598</v>
      </c>
      <c r="B66" t="s">
        <v>1726</v>
      </c>
      <c r="C66" t="str">
        <f t="shared" si="1"/>
        <v>block/portico_enrolments:myaddinstance</v>
      </c>
      <c r="D66" t="str">
        <f t="shared" si="3"/>
        <v>block/gsb:myaddinstance</v>
      </c>
      <c r="E66" t="b">
        <f t="shared" si="2"/>
        <v>0</v>
      </c>
      <c r="F66" t="b">
        <f t="shared" si="0"/>
        <v>0</v>
      </c>
      <c r="G66" t="s">
        <v>47</v>
      </c>
    </row>
    <row r="67" spans="1:7">
      <c r="A67" t="s">
        <v>1600</v>
      </c>
      <c r="B67" t="s">
        <v>1652</v>
      </c>
      <c r="C67" t="str">
        <f t="shared" ref="C67:C130" si="4">IF(VLOOKUP(B67,$A$2:$A$873,1)=B67,".",B67)</f>
        <v>.</v>
      </c>
      <c r="D67" t="str">
        <f t="shared" si="3"/>
        <v>block/gsb:viewgsb</v>
      </c>
      <c r="E67" t="str">
        <f t="shared" ref="E67:E130" si="5">IF(C67=".",B67)</f>
        <v>block/private_files:addinstance</v>
      </c>
      <c r="F67" t="b">
        <f t="shared" si="0"/>
        <v>0</v>
      </c>
      <c r="G67" t="s">
        <v>1626</v>
      </c>
    </row>
    <row r="68" spans="1:7">
      <c r="A68" t="s">
        <v>1602</v>
      </c>
      <c r="B68" t="s">
        <v>59</v>
      </c>
      <c r="C68" t="str">
        <f t="shared" si="4"/>
        <v>.</v>
      </c>
      <c r="D68" t="str">
        <f t="shared" si="3"/>
        <v>.</v>
      </c>
      <c r="E68" t="str">
        <f t="shared" si="5"/>
        <v>block/private_files:myaddinstance</v>
      </c>
      <c r="F68" t="str">
        <f t="shared" ref="F68:F131" si="6">IF(D68=".",A68)</f>
        <v>block/html:addinstance</v>
      </c>
      <c r="G68" t="s">
        <v>1626</v>
      </c>
    </row>
    <row r="69" spans="1:7">
      <c r="A69" t="s">
        <v>38</v>
      </c>
      <c r="B69" t="s">
        <v>1656</v>
      </c>
      <c r="C69" t="str">
        <f t="shared" si="4"/>
        <v>.</v>
      </c>
      <c r="D69" t="str">
        <f t="shared" si="3"/>
        <v>.</v>
      </c>
      <c r="E69" t="str">
        <f t="shared" si="5"/>
        <v>block/quickmail:addinstance</v>
      </c>
      <c r="F69" t="str">
        <f t="shared" si="6"/>
        <v>block/html:myaddinstance</v>
      </c>
      <c r="G69" t="s">
        <v>49</v>
      </c>
    </row>
    <row r="70" spans="1:7">
      <c r="A70" t="s">
        <v>228</v>
      </c>
      <c r="B70" t="s">
        <v>433</v>
      </c>
      <c r="C70" t="str">
        <f t="shared" si="4"/>
        <v>.</v>
      </c>
      <c r="D70" t="str">
        <f t="shared" si="3"/>
        <v>block/ilp:addcomment</v>
      </c>
      <c r="E70" t="str">
        <f t="shared" si="5"/>
        <v>block/quickmail:allowalternate</v>
      </c>
      <c r="F70" t="b">
        <f t="shared" si="6"/>
        <v>0</v>
      </c>
      <c r="G70" t="s">
        <v>49</v>
      </c>
    </row>
    <row r="71" spans="1:7">
      <c r="A71" t="s">
        <v>1604</v>
      </c>
      <c r="B71" t="s">
        <v>435</v>
      </c>
      <c r="C71" t="str">
        <f t="shared" si="4"/>
        <v>.</v>
      </c>
      <c r="D71" t="str">
        <f t="shared" si="3"/>
        <v>block/ilp:addinstance</v>
      </c>
      <c r="E71" t="str">
        <f t="shared" si="5"/>
        <v>block/quickmail:canconfig</v>
      </c>
      <c r="F71" t="b">
        <f t="shared" si="6"/>
        <v>0</v>
      </c>
      <c r="G71" t="s">
        <v>1640</v>
      </c>
    </row>
    <row r="72" spans="1:7">
      <c r="A72" t="s">
        <v>230</v>
      </c>
      <c r="B72" t="s">
        <v>437</v>
      </c>
      <c r="C72" t="str">
        <f t="shared" si="4"/>
        <v>.</v>
      </c>
      <c r="D72" t="str">
        <f t="shared" ref="D72:D135" si="7">IF(VLOOKUP(A72,$B$2:$B$631,1)=A72,".",A72)</f>
        <v>block/ilp:addreport</v>
      </c>
      <c r="E72" t="str">
        <f t="shared" si="5"/>
        <v>block/quickmail:candelete</v>
      </c>
      <c r="F72" t="b">
        <f t="shared" si="6"/>
        <v>0</v>
      </c>
      <c r="G72" t="s">
        <v>1640</v>
      </c>
    </row>
    <row r="73" spans="1:7">
      <c r="A73" t="s">
        <v>232</v>
      </c>
      <c r="B73" t="s">
        <v>439</v>
      </c>
      <c r="C73" t="str">
        <f t="shared" si="4"/>
        <v>.</v>
      </c>
      <c r="D73" t="str">
        <f t="shared" si="7"/>
        <v>block/ilp:addviewextension</v>
      </c>
      <c r="E73" t="str">
        <f t="shared" si="5"/>
        <v>block/quickmail:canimpersonate</v>
      </c>
      <c r="F73" t="b">
        <f t="shared" si="6"/>
        <v>0</v>
      </c>
      <c r="G73" t="s">
        <v>51</v>
      </c>
    </row>
    <row r="74" spans="1:7">
      <c r="A74" t="s">
        <v>279</v>
      </c>
      <c r="B74" t="s">
        <v>441</v>
      </c>
      <c r="C74" t="str">
        <f t="shared" si="4"/>
        <v>.</v>
      </c>
      <c r="D74" t="str">
        <f t="shared" si="7"/>
        <v>block/ilp:creeddelreport</v>
      </c>
      <c r="E74" t="str">
        <f t="shared" si="5"/>
        <v>block/quickmail:cansend</v>
      </c>
      <c r="F74" t="b">
        <f t="shared" si="6"/>
        <v>0</v>
      </c>
      <c r="G74" t="s">
        <v>51</v>
      </c>
    </row>
    <row r="75" spans="1:7">
      <c r="A75" t="s">
        <v>234</v>
      </c>
      <c r="B75" t="s">
        <v>61</v>
      </c>
      <c r="C75" t="str">
        <f t="shared" si="4"/>
        <v>.</v>
      </c>
      <c r="D75" t="str">
        <f t="shared" si="7"/>
        <v>block/ilp:deletecomment</v>
      </c>
      <c r="E75" t="str">
        <f t="shared" si="5"/>
        <v>block/quickmail:myaddinstance</v>
      </c>
      <c r="F75" t="b">
        <f t="shared" si="6"/>
        <v>0</v>
      </c>
      <c r="G75" t="s">
        <v>1642</v>
      </c>
    </row>
    <row r="76" spans="1:7">
      <c r="A76" t="s">
        <v>1606</v>
      </c>
      <c r="B76" t="s">
        <v>1660</v>
      </c>
      <c r="C76" t="str">
        <f t="shared" si="4"/>
        <v>.</v>
      </c>
      <c r="D76" t="str">
        <f t="shared" si="7"/>
        <v>block/ilp:deletereport</v>
      </c>
      <c r="E76" t="str">
        <f t="shared" si="5"/>
        <v>block/quiz_results:addinstance</v>
      </c>
      <c r="F76" t="b">
        <f t="shared" si="6"/>
        <v>0</v>
      </c>
      <c r="G76" t="s">
        <v>1642</v>
      </c>
    </row>
    <row r="77" spans="1:7">
      <c r="A77" t="s">
        <v>236</v>
      </c>
      <c r="B77" t="s">
        <v>1662</v>
      </c>
      <c r="C77" t="str">
        <f t="shared" si="4"/>
        <v>.</v>
      </c>
      <c r="D77" t="str">
        <f t="shared" si="7"/>
        <v>block/ilp:editcomment</v>
      </c>
      <c r="E77" t="str">
        <f t="shared" si="5"/>
        <v>block/recent_activity:addinstance</v>
      </c>
      <c r="F77" t="b">
        <f t="shared" si="6"/>
        <v>0</v>
      </c>
      <c r="G77" t="s">
        <v>53</v>
      </c>
    </row>
    <row r="78" spans="1:7">
      <c r="A78" t="s">
        <v>1608</v>
      </c>
      <c r="B78" t="s">
        <v>1664</v>
      </c>
      <c r="C78" t="str">
        <f t="shared" si="4"/>
        <v>.</v>
      </c>
      <c r="D78" t="str">
        <f t="shared" si="7"/>
        <v>block/ilp:editreport</v>
      </c>
      <c r="E78" t="str">
        <f t="shared" si="5"/>
        <v>block/rss_client:addinstance</v>
      </c>
      <c r="F78" t="b">
        <f t="shared" si="6"/>
        <v>0</v>
      </c>
      <c r="G78" t="s">
        <v>53</v>
      </c>
    </row>
    <row r="79" spans="1:7">
      <c r="A79" t="s">
        <v>40</v>
      </c>
      <c r="B79" t="s">
        <v>1666</v>
      </c>
      <c r="C79" t="str">
        <f t="shared" si="4"/>
        <v>.</v>
      </c>
      <c r="D79" t="str">
        <f t="shared" si="7"/>
        <v>block/ilp:ilpviewall</v>
      </c>
      <c r="E79" t="str">
        <f t="shared" si="5"/>
        <v>block/rss_client:manageanyfeeds</v>
      </c>
      <c r="F79" t="b">
        <f t="shared" si="6"/>
        <v>0</v>
      </c>
      <c r="G79" t="s">
        <v>1644</v>
      </c>
    </row>
    <row r="80" spans="1:7">
      <c r="A80" t="s">
        <v>43</v>
      </c>
      <c r="B80" t="s">
        <v>1668</v>
      </c>
      <c r="C80" t="str">
        <f t="shared" si="4"/>
        <v>.</v>
      </c>
      <c r="D80" t="str">
        <f t="shared" si="7"/>
        <v>block/ilp:myaddinstance</v>
      </c>
      <c r="E80" t="str">
        <f t="shared" si="5"/>
        <v>block/rss_client:manageownfeeds</v>
      </c>
      <c r="F80" t="b">
        <f t="shared" si="6"/>
        <v>0</v>
      </c>
      <c r="G80" t="s">
        <v>1644</v>
      </c>
    </row>
    <row r="81" spans="1:7">
      <c r="A81" t="s">
        <v>429</v>
      </c>
      <c r="B81" t="s">
        <v>65</v>
      </c>
      <c r="C81" t="str">
        <f t="shared" si="4"/>
        <v>.</v>
      </c>
      <c r="D81" t="str">
        <f t="shared" si="7"/>
        <v>block/ilp:reviewee</v>
      </c>
      <c r="E81" t="str">
        <f t="shared" si="5"/>
        <v>block/rss_client:myaddinstance</v>
      </c>
      <c r="F81" t="b">
        <f t="shared" si="6"/>
        <v>0</v>
      </c>
      <c r="G81" t="s">
        <v>55</v>
      </c>
    </row>
    <row r="82" spans="1:7">
      <c r="A82" t="s">
        <v>238</v>
      </c>
      <c r="B82" t="s">
        <v>1670</v>
      </c>
      <c r="C82" t="str">
        <f t="shared" si="4"/>
        <v>.</v>
      </c>
      <c r="D82" t="str">
        <f t="shared" si="7"/>
        <v>block/ilp:viewcomment</v>
      </c>
      <c r="E82" t="str">
        <f t="shared" si="5"/>
        <v>block/search_forums:addinstance</v>
      </c>
      <c r="F82" t="b">
        <f t="shared" si="6"/>
        <v>0</v>
      </c>
      <c r="G82" t="s">
        <v>55</v>
      </c>
    </row>
    <row r="83" spans="1:7">
      <c r="A83" t="s">
        <v>240</v>
      </c>
      <c r="B83" t="s">
        <v>1672</v>
      </c>
      <c r="C83" t="str">
        <f t="shared" si="4"/>
        <v>.</v>
      </c>
      <c r="D83" t="str">
        <f t="shared" si="7"/>
        <v>block/ilp:viewilp</v>
      </c>
      <c r="E83" t="str">
        <f t="shared" si="5"/>
        <v>block/section_links:addinstance</v>
      </c>
      <c r="F83" t="b">
        <f t="shared" si="6"/>
        <v>0</v>
      </c>
      <c r="G83" t="s">
        <v>1646</v>
      </c>
    </row>
    <row r="84" spans="1:7">
      <c r="A84" t="s">
        <v>1610</v>
      </c>
      <c r="B84" t="s">
        <v>1674</v>
      </c>
      <c r="C84" t="str">
        <f t="shared" si="4"/>
        <v>.</v>
      </c>
      <c r="D84" t="str">
        <f t="shared" si="7"/>
        <v>block/ilp:viewotherilp</v>
      </c>
      <c r="E84" t="str">
        <f t="shared" si="5"/>
        <v>block/selfcompletion:addinstance</v>
      </c>
      <c r="F84" t="b">
        <f t="shared" si="6"/>
        <v>0</v>
      </c>
      <c r="G84" t="s">
        <v>1646</v>
      </c>
    </row>
    <row r="85" spans="1:7">
      <c r="A85" t="s">
        <v>242</v>
      </c>
      <c r="B85" t="s">
        <v>1676</v>
      </c>
      <c r="C85" t="str">
        <f t="shared" si="4"/>
        <v>.</v>
      </c>
      <c r="D85" t="str">
        <f t="shared" si="7"/>
        <v>block/ilp:viewreport</v>
      </c>
      <c r="E85" t="str">
        <f t="shared" si="5"/>
        <v>block/settings:addinstance</v>
      </c>
      <c r="F85" t="b">
        <f t="shared" si="6"/>
        <v>0</v>
      </c>
      <c r="G85" t="s">
        <v>57</v>
      </c>
    </row>
    <row r="86" spans="1:7">
      <c r="A86" t="s">
        <v>1612</v>
      </c>
      <c r="B86" t="s">
        <v>67</v>
      </c>
      <c r="C86" t="str">
        <f t="shared" si="4"/>
        <v>.</v>
      </c>
      <c r="D86" t="str">
        <f t="shared" si="7"/>
        <v>block/jumpto_menu:addinstance</v>
      </c>
      <c r="E86" t="str">
        <f t="shared" si="5"/>
        <v>block/settings:myaddinstance</v>
      </c>
      <c r="F86" t="b">
        <f t="shared" si="6"/>
        <v>0</v>
      </c>
      <c r="G86" t="s">
        <v>57</v>
      </c>
    </row>
    <row r="87" spans="1:7">
      <c r="A87" t="s">
        <v>1614</v>
      </c>
      <c r="B87" t="s">
        <v>1684</v>
      </c>
      <c r="C87" t="str">
        <f t="shared" si="4"/>
        <v>.</v>
      </c>
      <c r="D87" t="str">
        <f t="shared" si="7"/>
        <v>.</v>
      </c>
      <c r="E87" t="str">
        <f t="shared" si="5"/>
        <v>block/site_main_menu:addinstance</v>
      </c>
      <c r="F87" t="str">
        <f t="shared" si="6"/>
        <v>block/login:addinstance</v>
      </c>
      <c r="G87" t="s">
        <v>244</v>
      </c>
    </row>
    <row r="88" spans="1:7">
      <c r="A88" t="s">
        <v>1616</v>
      </c>
      <c r="B88" t="s">
        <v>1688</v>
      </c>
      <c r="C88" t="str">
        <f t="shared" si="4"/>
        <v>.</v>
      </c>
      <c r="D88" t="str">
        <f t="shared" si="7"/>
        <v>block/massaction:addinstance</v>
      </c>
      <c r="E88" t="str">
        <f t="shared" si="5"/>
        <v>block/social_activities:addinstance</v>
      </c>
      <c r="F88" t="b">
        <f t="shared" si="6"/>
        <v>0</v>
      </c>
      <c r="G88" t="s">
        <v>244</v>
      </c>
    </row>
    <row r="89" spans="1:7">
      <c r="A89" t="s">
        <v>1618</v>
      </c>
      <c r="B89" t="s">
        <v>1692</v>
      </c>
      <c r="C89" t="str">
        <f t="shared" si="4"/>
        <v>.</v>
      </c>
      <c r="D89" t="str">
        <f t="shared" si="7"/>
        <v>block/massaction:use</v>
      </c>
      <c r="E89" t="str">
        <f t="shared" si="5"/>
        <v>block/tag_flickr:addinstance</v>
      </c>
      <c r="F89" t="b">
        <f t="shared" si="6"/>
        <v>0</v>
      </c>
      <c r="G89" t="s">
        <v>1648</v>
      </c>
    </row>
    <row r="90" spans="1:7">
      <c r="A90" t="s">
        <v>1620</v>
      </c>
      <c r="B90" t="s">
        <v>1694</v>
      </c>
      <c r="C90" t="str">
        <f t="shared" si="4"/>
        <v>.</v>
      </c>
      <c r="D90" t="str">
        <f t="shared" si="7"/>
        <v>.</v>
      </c>
      <c r="E90" t="str">
        <f t="shared" si="5"/>
        <v>block/tag_youtube:addinstance</v>
      </c>
      <c r="F90" t="str">
        <f t="shared" si="6"/>
        <v>block/mentees:addinstance</v>
      </c>
      <c r="G90" t="s">
        <v>1648</v>
      </c>
    </row>
    <row r="91" spans="1:7">
      <c r="A91" t="s">
        <v>45</v>
      </c>
      <c r="B91" t="s">
        <v>1690</v>
      </c>
      <c r="C91" t="str">
        <f t="shared" si="4"/>
        <v>.</v>
      </c>
      <c r="D91" t="str">
        <f t="shared" si="7"/>
        <v>.</v>
      </c>
      <c r="E91" t="str">
        <f t="shared" si="5"/>
        <v>block/tags:addinstance</v>
      </c>
      <c r="F91" t="str">
        <f t="shared" si="6"/>
        <v>block/mentees:myaddinstance</v>
      </c>
      <c r="G91" t="s">
        <v>1652</v>
      </c>
    </row>
    <row r="92" spans="1:7">
      <c r="A92" t="s">
        <v>1622</v>
      </c>
      <c r="B92" t="s">
        <v>73</v>
      </c>
      <c r="C92" t="str">
        <f t="shared" si="4"/>
        <v>.</v>
      </c>
      <c r="D92" t="str">
        <f t="shared" si="7"/>
        <v>.</v>
      </c>
      <c r="E92" t="str">
        <f t="shared" si="5"/>
        <v>block/tags:myaddinstance</v>
      </c>
      <c r="F92" t="str">
        <f t="shared" si="6"/>
        <v>block/messages:addinstance</v>
      </c>
      <c r="G92" t="s">
        <v>1652</v>
      </c>
    </row>
    <row r="93" spans="1:7">
      <c r="A93" t="s">
        <v>47</v>
      </c>
      <c r="B93" t="s">
        <v>1801</v>
      </c>
      <c r="C93" t="str">
        <f t="shared" si="4"/>
        <v>block/timetable:addinstance</v>
      </c>
      <c r="D93" t="str">
        <f t="shared" si="7"/>
        <v>.</v>
      </c>
      <c r="E93" t="b">
        <f t="shared" si="5"/>
        <v>0</v>
      </c>
      <c r="F93" t="str">
        <f t="shared" si="6"/>
        <v>block/messages:myaddinstance</v>
      </c>
      <c r="G93" t="s">
        <v>59</v>
      </c>
    </row>
    <row r="94" spans="1:7">
      <c r="A94" t="s">
        <v>1624</v>
      </c>
      <c r="B94" t="s">
        <v>1729</v>
      </c>
      <c r="C94" t="str">
        <f t="shared" si="4"/>
        <v>block/timetable:myaddinstance</v>
      </c>
      <c r="D94" t="str">
        <f t="shared" si="7"/>
        <v>block/mnet_enrol:addinstance</v>
      </c>
      <c r="E94" t="b">
        <f t="shared" si="5"/>
        <v>0</v>
      </c>
      <c r="F94" t="b">
        <f t="shared" si="6"/>
        <v>0</v>
      </c>
      <c r="G94" t="s">
        <v>59</v>
      </c>
    </row>
    <row r="95" spans="1:7">
      <c r="A95" t="s">
        <v>127</v>
      </c>
      <c r="B95" t="s">
        <v>872</v>
      </c>
      <c r="C95" t="str">
        <f t="shared" si="4"/>
        <v>.</v>
      </c>
      <c r="D95" t="str">
        <f t="shared" si="7"/>
        <v>block/mnet_enrol:allowenrol</v>
      </c>
      <c r="E95" t="str">
        <f t="shared" si="5"/>
        <v>booktool/exportimscp:export</v>
      </c>
      <c r="F95" t="b">
        <f t="shared" si="6"/>
        <v>0</v>
      </c>
      <c r="G95" t="s">
        <v>1656</v>
      </c>
    </row>
    <row r="96" spans="1:7">
      <c r="A96" t="s">
        <v>1626</v>
      </c>
      <c r="B96" t="s">
        <v>874</v>
      </c>
      <c r="C96" t="str">
        <f t="shared" si="4"/>
        <v>.</v>
      </c>
      <c r="D96" t="str">
        <f t="shared" si="7"/>
        <v>.</v>
      </c>
      <c r="E96" t="str">
        <f t="shared" si="5"/>
        <v>booktool/importhtml:import</v>
      </c>
      <c r="F96" t="str">
        <f t="shared" si="6"/>
        <v>block/mnet_hosts:addinstance</v>
      </c>
      <c r="G96" t="s">
        <v>1656</v>
      </c>
    </row>
    <row r="97" spans="1:7">
      <c r="A97" t="s">
        <v>49</v>
      </c>
      <c r="B97" t="s">
        <v>876</v>
      </c>
      <c r="C97" t="str">
        <f t="shared" si="4"/>
        <v>.</v>
      </c>
      <c r="D97" t="str">
        <f t="shared" si="7"/>
        <v>.</v>
      </c>
      <c r="E97" t="str">
        <f t="shared" si="5"/>
        <v>booktool/print:print</v>
      </c>
      <c r="F97" t="str">
        <f t="shared" si="6"/>
        <v>block/mnet_hosts:myaddinstance</v>
      </c>
      <c r="G97" t="s">
        <v>433</v>
      </c>
    </row>
    <row r="98" spans="1:7">
      <c r="A98" t="s">
        <v>1628</v>
      </c>
      <c r="B98" t="s">
        <v>313</v>
      </c>
      <c r="C98" t="str">
        <f t="shared" si="4"/>
        <v>.</v>
      </c>
      <c r="D98" t="str">
        <f t="shared" si="7"/>
        <v>block/moodletxt:addinstance</v>
      </c>
      <c r="E98" t="str">
        <f t="shared" si="5"/>
        <v>enrol/category:synchronised</v>
      </c>
      <c r="F98" t="b">
        <f t="shared" si="6"/>
        <v>0</v>
      </c>
      <c r="G98" t="s">
        <v>433</v>
      </c>
    </row>
    <row r="99" spans="1:7">
      <c r="A99" t="s">
        <v>1630</v>
      </c>
      <c r="B99" t="s">
        <v>451</v>
      </c>
      <c r="C99" t="str">
        <f t="shared" si="4"/>
        <v>.</v>
      </c>
      <c r="D99" t="str">
        <f t="shared" si="7"/>
        <v>block/moodletxt:addressbooks</v>
      </c>
      <c r="E99" t="str">
        <f t="shared" si="5"/>
        <v>enrol/cohort:config</v>
      </c>
      <c r="F99" t="b">
        <f t="shared" si="6"/>
        <v>0</v>
      </c>
      <c r="G99" t="s">
        <v>435</v>
      </c>
    </row>
    <row r="100" spans="1:7">
      <c r="A100" t="s">
        <v>281</v>
      </c>
      <c r="B100" t="s">
        <v>453</v>
      </c>
      <c r="C100" t="str">
        <f t="shared" si="4"/>
        <v>.</v>
      </c>
      <c r="D100" t="str">
        <f t="shared" si="7"/>
        <v>block/moodletxt:adminsettings</v>
      </c>
      <c r="E100" t="str">
        <f t="shared" si="5"/>
        <v>enrol/cohort:unenrol</v>
      </c>
      <c r="F100" t="b">
        <f t="shared" si="6"/>
        <v>0</v>
      </c>
      <c r="G100" t="s">
        <v>435</v>
      </c>
    </row>
    <row r="101" spans="1:7">
      <c r="A101" t="s">
        <v>283</v>
      </c>
      <c r="B101" t="s">
        <v>454</v>
      </c>
      <c r="C101" t="str">
        <f t="shared" si="4"/>
        <v>.</v>
      </c>
      <c r="D101" t="str">
        <f t="shared" si="7"/>
        <v>block/moodletxt:adminusers</v>
      </c>
      <c r="E101" t="str">
        <f t="shared" si="5"/>
        <v>enrol/database:unenrol</v>
      </c>
      <c r="F101" t="b">
        <f t="shared" si="6"/>
        <v>0</v>
      </c>
      <c r="G101" t="s">
        <v>437</v>
      </c>
    </row>
    <row r="102" spans="1:7">
      <c r="A102" t="s">
        <v>285</v>
      </c>
      <c r="B102" t="s">
        <v>456</v>
      </c>
      <c r="C102" t="str">
        <f t="shared" si="4"/>
        <v>.</v>
      </c>
      <c r="D102" t="str">
        <f t="shared" si="7"/>
        <v>block/moodletxt:defaultinbox</v>
      </c>
      <c r="E102" t="str">
        <f t="shared" si="5"/>
        <v>enrol/flatfile:manage</v>
      </c>
      <c r="F102" t="b">
        <f t="shared" si="6"/>
        <v>0</v>
      </c>
      <c r="G102" t="s">
        <v>437</v>
      </c>
    </row>
    <row r="103" spans="1:7">
      <c r="A103" t="s">
        <v>1632</v>
      </c>
      <c r="B103" t="s">
        <v>458</v>
      </c>
      <c r="C103" t="str">
        <f t="shared" si="4"/>
        <v>.</v>
      </c>
      <c r="D103" t="str">
        <f t="shared" si="7"/>
        <v>block/moodletxt:globaladdressbooks</v>
      </c>
      <c r="E103" t="str">
        <f t="shared" si="5"/>
        <v>enrol/flatfile:unenrol</v>
      </c>
      <c r="F103" t="b">
        <f t="shared" si="6"/>
        <v>0</v>
      </c>
      <c r="G103" t="s">
        <v>439</v>
      </c>
    </row>
    <row r="104" spans="1:7">
      <c r="A104" t="s">
        <v>287</v>
      </c>
      <c r="B104" t="s">
        <v>460</v>
      </c>
      <c r="C104" t="str">
        <f t="shared" si="4"/>
        <v>.</v>
      </c>
      <c r="D104" t="str">
        <f t="shared" si="7"/>
        <v>block/moodletxt:personalsettings</v>
      </c>
      <c r="E104" t="str">
        <f t="shared" si="5"/>
        <v>enrol/guest:config</v>
      </c>
      <c r="F104" t="b">
        <f t="shared" si="6"/>
        <v>0</v>
      </c>
      <c r="G104" t="s">
        <v>439</v>
      </c>
    </row>
    <row r="105" spans="1:7">
      <c r="A105" t="s">
        <v>289</v>
      </c>
      <c r="B105" t="s">
        <v>1731</v>
      </c>
      <c r="C105" t="str">
        <f t="shared" si="4"/>
        <v>enrol/imsenterprise:unenrol</v>
      </c>
      <c r="D105" t="str">
        <f t="shared" si="7"/>
        <v>block/moodletxt:receivemessages</v>
      </c>
      <c r="E105" t="b">
        <f t="shared" si="5"/>
        <v>0</v>
      </c>
      <c r="F105" t="b">
        <f t="shared" si="6"/>
        <v>0</v>
      </c>
      <c r="G105" t="s">
        <v>441</v>
      </c>
    </row>
    <row r="106" spans="1:7">
      <c r="A106" t="s">
        <v>1634</v>
      </c>
      <c r="B106" t="s">
        <v>1732</v>
      </c>
      <c r="C106" t="str">
        <f t="shared" si="4"/>
        <v>enrol/imsenterprise:unenrolself</v>
      </c>
      <c r="D106" t="str">
        <f t="shared" si="7"/>
        <v>block/moodletxt:sendmessages</v>
      </c>
      <c r="E106" t="b">
        <f t="shared" si="5"/>
        <v>0</v>
      </c>
      <c r="F106" t="b">
        <f t="shared" si="6"/>
        <v>0</v>
      </c>
      <c r="G106" t="s">
        <v>441</v>
      </c>
    </row>
    <row r="107" spans="1:7">
      <c r="A107" t="s">
        <v>1636</v>
      </c>
      <c r="B107" t="s">
        <v>462</v>
      </c>
      <c r="C107" t="str">
        <f t="shared" si="4"/>
        <v>.</v>
      </c>
      <c r="D107" t="str">
        <f t="shared" si="7"/>
        <v>block/moodletxt:viewstats</v>
      </c>
      <c r="E107" t="str">
        <f t="shared" si="5"/>
        <v>enrol/ldap:manage</v>
      </c>
      <c r="F107" t="b">
        <f t="shared" si="6"/>
        <v>0</v>
      </c>
      <c r="G107" t="s">
        <v>61</v>
      </c>
    </row>
    <row r="108" spans="1:7">
      <c r="A108" t="s">
        <v>1638</v>
      </c>
      <c r="B108" t="s">
        <v>464</v>
      </c>
      <c r="C108" t="str">
        <f t="shared" si="4"/>
        <v>.</v>
      </c>
      <c r="D108" t="str">
        <f t="shared" si="7"/>
        <v>block/mrbs:addinstance</v>
      </c>
      <c r="E108" t="str">
        <f t="shared" si="5"/>
        <v>enrol/manual:config</v>
      </c>
      <c r="F108" t="b">
        <f t="shared" si="6"/>
        <v>0</v>
      </c>
      <c r="G108" t="s">
        <v>61</v>
      </c>
    </row>
    <row r="109" spans="1:7">
      <c r="A109" t="s">
        <v>291</v>
      </c>
      <c r="B109" t="s">
        <v>466</v>
      </c>
      <c r="C109" t="str">
        <f t="shared" si="4"/>
        <v>.</v>
      </c>
      <c r="D109" t="str">
        <f t="shared" si="7"/>
        <v>block/mrbs:administermrbs</v>
      </c>
      <c r="E109" t="str">
        <f t="shared" si="5"/>
        <v>enrol/manual:enrol</v>
      </c>
      <c r="F109" t="b">
        <f t="shared" si="6"/>
        <v>0</v>
      </c>
      <c r="G109" t="s">
        <v>1660</v>
      </c>
    </row>
    <row r="110" spans="1:7">
      <c r="A110" t="s">
        <v>293</v>
      </c>
      <c r="B110" t="s">
        <v>468</v>
      </c>
      <c r="C110" t="str">
        <f t="shared" si="4"/>
        <v>.</v>
      </c>
      <c r="D110" t="str">
        <f t="shared" si="7"/>
        <v>block/mrbs:doublebook</v>
      </c>
      <c r="E110" t="str">
        <f t="shared" si="5"/>
        <v>enrol/manual:manage</v>
      </c>
      <c r="F110" t="b">
        <f t="shared" si="6"/>
        <v>0</v>
      </c>
      <c r="G110" t="s">
        <v>1660</v>
      </c>
    </row>
    <row r="111" spans="1:7">
      <c r="A111" t="s">
        <v>295</v>
      </c>
      <c r="B111" t="s">
        <v>470</v>
      </c>
      <c r="C111" t="str">
        <f t="shared" si="4"/>
        <v>.</v>
      </c>
      <c r="D111" t="str">
        <f t="shared" si="7"/>
        <v>block/mrbs:editmrbs</v>
      </c>
      <c r="E111" t="str">
        <f t="shared" si="5"/>
        <v>enrol/manual:unenrol</v>
      </c>
      <c r="F111" t="b">
        <f t="shared" si="6"/>
        <v>0</v>
      </c>
      <c r="G111" t="s">
        <v>1662</v>
      </c>
    </row>
    <row r="112" spans="1:7">
      <c r="A112" t="s">
        <v>297</v>
      </c>
      <c r="B112" t="s">
        <v>472</v>
      </c>
      <c r="C112" t="str">
        <f t="shared" si="4"/>
        <v>.</v>
      </c>
      <c r="D112" t="str">
        <f t="shared" si="7"/>
        <v>block/mrbs:editmrbsunconfirmed</v>
      </c>
      <c r="E112" t="str">
        <f t="shared" si="5"/>
        <v>enrol/manual:unenrolself</v>
      </c>
      <c r="F112" t="b">
        <f t="shared" si="6"/>
        <v>0</v>
      </c>
      <c r="G112" t="s">
        <v>1662</v>
      </c>
    </row>
    <row r="113" spans="1:7">
      <c r="A113" t="s">
        <v>299</v>
      </c>
      <c r="B113" t="s">
        <v>474</v>
      </c>
      <c r="C113" t="str">
        <f t="shared" si="4"/>
        <v>.</v>
      </c>
      <c r="D113" t="str">
        <f t="shared" si="7"/>
        <v>block/mrbs:forcebook</v>
      </c>
      <c r="E113" t="str">
        <f t="shared" si="5"/>
        <v>enrol/meta:config</v>
      </c>
      <c r="F113" t="b">
        <f t="shared" si="6"/>
        <v>0</v>
      </c>
      <c r="G113" t="s">
        <v>1664</v>
      </c>
    </row>
    <row r="114" spans="1:7">
      <c r="A114" t="s">
        <v>301</v>
      </c>
      <c r="B114" t="s">
        <v>476</v>
      </c>
      <c r="C114" t="str">
        <f t="shared" si="4"/>
        <v>.</v>
      </c>
      <c r="D114" t="str">
        <f t="shared" si="7"/>
        <v>block/mrbs:ignoremaxadvancedays</v>
      </c>
      <c r="E114" t="str">
        <f t="shared" si="5"/>
        <v>enrol/meta:selectaslinked</v>
      </c>
      <c r="F114" t="b">
        <f t="shared" si="6"/>
        <v>0</v>
      </c>
      <c r="G114" t="s">
        <v>1664</v>
      </c>
    </row>
    <row r="115" spans="1:7">
      <c r="A115" t="s">
        <v>303</v>
      </c>
      <c r="B115" t="s">
        <v>477</v>
      </c>
      <c r="C115" t="str">
        <f t="shared" si="4"/>
        <v>.</v>
      </c>
      <c r="D115" t="str">
        <f t="shared" si="7"/>
        <v>block/mrbs:myaddinstance</v>
      </c>
      <c r="E115" t="str">
        <f t="shared" si="5"/>
        <v>enrol/meta:unenrol</v>
      </c>
      <c r="F115" t="b">
        <f t="shared" si="6"/>
        <v>0</v>
      </c>
      <c r="G115" t="s">
        <v>1666</v>
      </c>
    </row>
    <row r="116" spans="1:7">
      <c r="A116" t="s">
        <v>305</v>
      </c>
      <c r="B116" t="s">
        <v>479</v>
      </c>
      <c r="C116" t="str">
        <f t="shared" si="4"/>
        <v>.</v>
      </c>
      <c r="D116" t="str">
        <f t="shared" si="7"/>
        <v>block/mrbs:viewalltt</v>
      </c>
      <c r="E116" t="str">
        <f t="shared" si="5"/>
        <v>enrol/paypal:config</v>
      </c>
      <c r="F116" t="b">
        <f t="shared" si="6"/>
        <v>0</v>
      </c>
      <c r="G116" t="s">
        <v>1666</v>
      </c>
    </row>
    <row r="117" spans="1:7">
      <c r="A117" t="s">
        <v>307</v>
      </c>
      <c r="B117" t="s">
        <v>481</v>
      </c>
      <c r="C117" t="str">
        <f t="shared" si="4"/>
        <v>.</v>
      </c>
      <c r="D117" t="str">
        <f t="shared" si="7"/>
        <v>block/mrbs:viewmrbs</v>
      </c>
      <c r="E117" t="str">
        <f t="shared" si="5"/>
        <v>enrol/paypal:manage</v>
      </c>
      <c r="F117" t="b">
        <f t="shared" si="6"/>
        <v>0</v>
      </c>
      <c r="G117" t="s">
        <v>1668</v>
      </c>
    </row>
    <row r="118" spans="1:7">
      <c r="A118" t="s">
        <v>1640</v>
      </c>
      <c r="B118" t="s">
        <v>483</v>
      </c>
      <c r="C118" t="str">
        <f t="shared" si="4"/>
        <v>.</v>
      </c>
      <c r="D118" t="str">
        <f t="shared" si="7"/>
        <v>.</v>
      </c>
      <c r="E118" t="str">
        <f t="shared" si="5"/>
        <v>enrol/paypal:unenrol</v>
      </c>
      <c r="F118" t="str">
        <f t="shared" si="6"/>
        <v>block/myprofile:addinstance</v>
      </c>
      <c r="G118" t="s">
        <v>1668</v>
      </c>
    </row>
    <row r="119" spans="1:7">
      <c r="A119" t="s">
        <v>51</v>
      </c>
      <c r="B119" t="s">
        <v>484</v>
      </c>
      <c r="C119" t="str">
        <f t="shared" si="4"/>
        <v>.</v>
      </c>
      <c r="D119" t="str">
        <f t="shared" si="7"/>
        <v>.</v>
      </c>
      <c r="E119" t="str">
        <f t="shared" si="5"/>
        <v>enrol/paypal:unenrolself</v>
      </c>
      <c r="F119" t="str">
        <f t="shared" si="6"/>
        <v>block/myprofile:myaddinstance</v>
      </c>
      <c r="G119" t="s">
        <v>65</v>
      </c>
    </row>
    <row r="120" spans="1:7">
      <c r="A120" t="s">
        <v>1642</v>
      </c>
      <c r="B120" t="s">
        <v>486</v>
      </c>
      <c r="C120" t="str">
        <f t="shared" si="4"/>
        <v>.</v>
      </c>
      <c r="D120" t="str">
        <f t="shared" si="7"/>
        <v>.</v>
      </c>
      <c r="E120" t="str">
        <f t="shared" si="5"/>
        <v>enrol/self:config</v>
      </c>
      <c r="F120" t="str">
        <f t="shared" si="6"/>
        <v>block/navigation:addinstance</v>
      </c>
      <c r="G120" t="s">
        <v>65</v>
      </c>
    </row>
    <row r="121" spans="1:7">
      <c r="A121" t="s">
        <v>53</v>
      </c>
      <c r="B121" t="s">
        <v>487</v>
      </c>
      <c r="C121" t="str">
        <f t="shared" si="4"/>
        <v>.</v>
      </c>
      <c r="D121" t="str">
        <f t="shared" si="7"/>
        <v>.</v>
      </c>
      <c r="E121" t="str">
        <f t="shared" si="5"/>
        <v>enrol/self:manage</v>
      </c>
      <c r="F121" t="str">
        <f t="shared" si="6"/>
        <v>block/navigation:myaddinstance</v>
      </c>
      <c r="G121" t="s">
        <v>1670</v>
      </c>
    </row>
    <row r="122" spans="1:7">
      <c r="A122" t="s">
        <v>1644</v>
      </c>
      <c r="B122" t="s">
        <v>488</v>
      </c>
      <c r="C122" t="str">
        <f t="shared" si="4"/>
        <v>.</v>
      </c>
      <c r="D122" t="str">
        <f t="shared" si="7"/>
        <v>.</v>
      </c>
      <c r="E122" t="str">
        <f t="shared" si="5"/>
        <v>enrol/self:unenrol</v>
      </c>
      <c r="F122" t="str">
        <f t="shared" si="6"/>
        <v>block/news_items:addinstance</v>
      </c>
      <c r="G122" t="s">
        <v>1670</v>
      </c>
    </row>
    <row r="123" spans="1:7">
      <c r="A123" t="s">
        <v>55</v>
      </c>
      <c r="B123" t="s">
        <v>489</v>
      </c>
      <c r="C123" t="str">
        <f t="shared" si="4"/>
        <v>.</v>
      </c>
      <c r="D123" t="str">
        <f t="shared" si="7"/>
        <v>.</v>
      </c>
      <c r="E123" t="str">
        <f t="shared" si="5"/>
        <v>enrol/self:unenrolself</v>
      </c>
      <c r="F123" t="str">
        <f t="shared" si="6"/>
        <v>block/news_items:myaddinstance</v>
      </c>
      <c r="G123" t="s">
        <v>1672</v>
      </c>
    </row>
    <row r="124" spans="1:7">
      <c r="A124" t="s">
        <v>1646</v>
      </c>
      <c r="B124" t="s">
        <v>511</v>
      </c>
      <c r="C124" t="str">
        <f t="shared" si="4"/>
        <v>.</v>
      </c>
      <c r="D124" t="str">
        <f t="shared" si="7"/>
        <v>.</v>
      </c>
      <c r="E124" t="str">
        <f t="shared" si="5"/>
        <v>gradeexport/ods:publish</v>
      </c>
      <c r="F124" t="str">
        <f t="shared" si="6"/>
        <v>block/online_users:addinstance</v>
      </c>
      <c r="G124" t="s">
        <v>1672</v>
      </c>
    </row>
    <row r="125" spans="1:7">
      <c r="A125" t="s">
        <v>57</v>
      </c>
      <c r="B125" t="s">
        <v>513</v>
      </c>
      <c r="C125" t="str">
        <f t="shared" si="4"/>
        <v>.</v>
      </c>
      <c r="D125" t="str">
        <f t="shared" si="7"/>
        <v>.</v>
      </c>
      <c r="E125" t="str">
        <f t="shared" si="5"/>
        <v>gradeexport/ods:view</v>
      </c>
      <c r="F125" t="str">
        <f t="shared" si="6"/>
        <v>block/online_users:myaddinstance</v>
      </c>
      <c r="G125" t="s">
        <v>1674</v>
      </c>
    </row>
    <row r="126" spans="1:7">
      <c r="A126" t="s">
        <v>244</v>
      </c>
      <c r="B126" t="s">
        <v>515</v>
      </c>
      <c r="C126" t="str">
        <f t="shared" si="4"/>
        <v>.</v>
      </c>
      <c r="D126" t="str">
        <f t="shared" si="7"/>
        <v>.</v>
      </c>
      <c r="E126" t="str">
        <f t="shared" si="5"/>
        <v>gradeexport/txt:publish</v>
      </c>
      <c r="F126" t="str">
        <f t="shared" si="6"/>
        <v>block/online_users:viewlist</v>
      </c>
      <c r="G126" t="s">
        <v>1674</v>
      </c>
    </row>
    <row r="127" spans="1:7">
      <c r="A127" t="s">
        <v>1648</v>
      </c>
      <c r="B127" t="s">
        <v>517</v>
      </c>
      <c r="C127" t="str">
        <f t="shared" si="4"/>
        <v>.</v>
      </c>
      <c r="D127" t="str">
        <f t="shared" si="7"/>
        <v>.</v>
      </c>
      <c r="E127" t="str">
        <f t="shared" si="5"/>
        <v>gradeexport/txt:view</v>
      </c>
      <c r="F127" t="str">
        <f t="shared" si="6"/>
        <v>block/participants:addinstance</v>
      </c>
      <c r="G127" t="s">
        <v>1676</v>
      </c>
    </row>
    <row r="128" spans="1:7">
      <c r="A128" t="s">
        <v>1650</v>
      </c>
      <c r="B128" t="s">
        <v>519</v>
      </c>
      <c r="C128" t="str">
        <f t="shared" si="4"/>
        <v>.</v>
      </c>
      <c r="D128" t="str">
        <f t="shared" si="7"/>
        <v>block/print_reports:viewlist</v>
      </c>
      <c r="E128" t="str">
        <f t="shared" si="5"/>
        <v>gradeexport/xls:publish</v>
      </c>
      <c r="F128" t="b">
        <f t="shared" si="6"/>
        <v>0</v>
      </c>
      <c r="G128" t="s">
        <v>1676</v>
      </c>
    </row>
    <row r="129" spans="1:7">
      <c r="A129" t="s">
        <v>1652</v>
      </c>
      <c r="B129" t="s">
        <v>521</v>
      </c>
      <c r="C129" t="str">
        <f t="shared" si="4"/>
        <v>.</v>
      </c>
      <c r="D129" t="str">
        <f t="shared" si="7"/>
        <v>.</v>
      </c>
      <c r="E129" t="str">
        <f t="shared" si="5"/>
        <v>gradeexport/xls:view</v>
      </c>
      <c r="F129" t="str">
        <f t="shared" si="6"/>
        <v>block/private_files:addinstance</v>
      </c>
      <c r="G129" t="s">
        <v>67</v>
      </c>
    </row>
    <row r="130" spans="1:7">
      <c r="A130" t="s">
        <v>59</v>
      </c>
      <c r="B130" t="s">
        <v>523</v>
      </c>
      <c r="C130" t="str">
        <f t="shared" si="4"/>
        <v>.</v>
      </c>
      <c r="D130" t="str">
        <f t="shared" si="7"/>
        <v>.</v>
      </c>
      <c r="E130" t="str">
        <f t="shared" si="5"/>
        <v>gradeexport/xml:publish</v>
      </c>
      <c r="F130" t="str">
        <f t="shared" si="6"/>
        <v>block/private_files:myaddinstance</v>
      </c>
      <c r="G130" t="s">
        <v>67</v>
      </c>
    </row>
    <row r="131" spans="1:7">
      <c r="A131" t="s">
        <v>1654</v>
      </c>
      <c r="B131" t="s">
        <v>525</v>
      </c>
      <c r="C131" t="str">
        <f t="shared" ref="C131:C194" si="8">IF(VLOOKUP(B131,$A$2:$A$873,1)=B131,".",B131)</f>
        <v>.</v>
      </c>
      <c r="D131" t="str">
        <f t="shared" si="7"/>
        <v>block/progress:addinstance</v>
      </c>
      <c r="E131" t="str">
        <f t="shared" ref="E131:E194" si="9">IF(C131=".",B131)</f>
        <v>gradeexport/xml:view</v>
      </c>
      <c r="F131" t="b">
        <f t="shared" si="6"/>
        <v>0</v>
      </c>
      <c r="G131" t="s">
        <v>1684</v>
      </c>
    </row>
    <row r="132" spans="1:7">
      <c r="A132" t="s">
        <v>246</v>
      </c>
      <c r="B132" t="s">
        <v>527</v>
      </c>
      <c r="C132" t="str">
        <f t="shared" si="8"/>
        <v>.</v>
      </c>
      <c r="D132" t="str">
        <f t="shared" si="7"/>
        <v>block/progress:myaddinstance</v>
      </c>
      <c r="E132" t="str">
        <f t="shared" si="9"/>
        <v>gradeimport/csv:view</v>
      </c>
      <c r="F132" t="b">
        <f t="shared" ref="F132:F195" si="10">IF(D132=".",A132)</f>
        <v>0</v>
      </c>
      <c r="G132" t="s">
        <v>1684</v>
      </c>
    </row>
    <row r="133" spans="1:7">
      <c r="A133" t="s">
        <v>431</v>
      </c>
      <c r="B133" t="s">
        <v>529</v>
      </c>
      <c r="C133" t="str">
        <f t="shared" si="8"/>
        <v>.</v>
      </c>
      <c r="D133" t="str">
        <f t="shared" si="7"/>
        <v>block/progress:overview</v>
      </c>
      <c r="E133" t="str">
        <f t="shared" si="9"/>
        <v>gradeimport/xml:publish</v>
      </c>
      <c r="F133" t="b">
        <f t="shared" si="10"/>
        <v>0</v>
      </c>
      <c r="G133" t="s">
        <v>1688</v>
      </c>
    </row>
    <row r="134" spans="1:7">
      <c r="A134" t="s">
        <v>1656</v>
      </c>
      <c r="B134" t="s">
        <v>531</v>
      </c>
      <c r="C134" t="str">
        <f t="shared" si="8"/>
        <v>.</v>
      </c>
      <c r="D134" t="str">
        <f t="shared" si="7"/>
        <v>.</v>
      </c>
      <c r="E134" t="str">
        <f t="shared" si="9"/>
        <v>gradeimport/xml:view</v>
      </c>
      <c r="F134" t="str">
        <f t="shared" si="10"/>
        <v>block/quickmail:addinstance</v>
      </c>
      <c r="G134" t="s">
        <v>1688</v>
      </c>
    </row>
    <row r="135" spans="1:7">
      <c r="A135" t="s">
        <v>433</v>
      </c>
      <c r="B135" t="s">
        <v>533</v>
      </c>
      <c r="C135" t="str">
        <f t="shared" si="8"/>
        <v>.</v>
      </c>
      <c r="D135" t="str">
        <f t="shared" si="7"/>
        <v>.</v>
      </c>
      <c r="E135" t="str">
        <f t="shared" si="9"/>
        <v>gradereport/grader:view</v>
      </c>
      <c r="F135" t="str">
        <f t="shared" si="10"/>
        <v>block/quickmail:allowalternate</v>
      </c>
      <c r="G135" t="s">
        <v>1692</v>
      </c>
    </row>
    <row r="136" spans="1:7">
      <c r="A136" t="s">
        <v>435</v>
      </c>
      <c r="B136" t="s">
        <v>535</v>
      </c>
      <c r="C136" t="str">
        <f t="shared" si="8"/>
        <v>.</v>
      </c>
      <c r="D136" t="str">
        <f t="shared" ref="D136:D199" si="11">IF(VLOOKUP(A136,$B$2:$B$631,1)=A136,".",A136)</f>
        <v>.</v>
      </c>
      <c r="E136" t="str">
        <f t="shared" si="9"/>
        <v>gradereport/outcomes:view</v>
      </c>
      <c r="F136" t="str">
        <f t="shared" si="10"/>
        <v>block/quickmail:canconfig</v>
      </c>
      <c r="G136" t="s">
        <v>1692</v>
      </c>
    </row>
    <row r="137" spans="1:7">
      <c r="A137" t="s">
        <v>437</v>
      </c>
      <c r="B137" t="s">
        <v>537</v>
      </c>
      <c r="C137" t="str">
        <f t="shared" si="8"/>
        <v>.</v>
      </c>
      <c r="D137" t="str">
        <f t="shared" si="11"/>
        <v>.</v>
      </c>
      <c r="E137" t="str">
        <f t="shared" si="9"/>
        <v>gradereport/overview:view</v>
      </c>
      <c r="F137" t="str">
        <f t="shared" si="10"/>
        <v>block/quickmail:candelete</v>
      </c>
      <c r="G137" t="s">
        <v>1694</v>
      </c>
    </row>
    <row r="138" spans="1:7">
      <c r="A138" t="s">
        <v>439</v>
      </c>
      <c r="B138" t="s">
        <v>539</v>
      </c>
      <c r="C138" t="str">
        <f t="shared" si="8"/>
        <v>.</v>
      </c>
      <c r="D138" t="str">
        <f t="shared" si="11"/>
        <v>.</v>
      </c>
      <c r="E138" t="str">
        <f t="shared" si="9"/>
        <v>gradereport/user:view</v>
      </c>
      <c r="F138" t="str">
        <f t="shared" si="10"/>
        <v>block/quickmail:canimpersonate</v>
      </c>
      <c r="G138" t="s">
        <v>1694</v>
      </c>
    </row>
    <row r="139" spans="1:7">
      <c r="A139" t="s">
        <v>441</v>
      </c>
      <c r="B139" t="s">
        <v>1734</v>
      </c>
      <c r="C139" t="str">
        <f t="shared" si="8"/>
        <v>local/mass_enroll:enrol</v>
      </c>
      <c r="D139" t="str">
        <f t="shared" si="11"/>
        <v>.</v>
      </c>
      <c r="E139" t="b">
        <f t="shared" si="9"/>
        <v>0</v>
      </c>
      <c r="F139" t="str">
        <f t="shared" si="10"/>
        <v>block/quickmail:cansend</v>
      </c>
      <c r="G139" t="s">
        <v>1690</v>
      </c>
    </row>
    <row r="140" spans="1:7">
      <c r="A140" t="s">
        <v>61</v>
      </c>
      <c r="B140" t="s">
        <v>1736</v>
      </c>
      <c r="C140" t="str">
        <f t="shared" si="8"/>
        <v>local/mass_enroll:unenrol</v>
      </c>
      <c r="D140" t="str">
        <f t="shared" si="11"/>
        <v>.</v>
      </c>
      <c r="E140" t="b">
        <f t="shared" si="9"/>
        <v>0</v>
      </c>
      <c r="F140" t="str">
        <f t="shared" si="10"/>
        <v>block/quickmail:myaddinstance</v>
      </c>
      <c r="G140" t="s">
        <v>1690</v>
      </c>
    </row>
    <row r="141" spans="1:7">
      <c r="A141" t="s">
        <v>1658</v>
      </c>
      <c r="B141" t="s">
        <v>1738</v>
      </c>
      <c r="C141" t="str">
        <f t="shared" si="8"/>
        <v>local/repositoryfileupload:upload</v>
      </c>
      <c r="D141" t="str">
        <f t="shared" si="11"/>
        <v>block/quickscan:addinstance</v>
      </c>
      <c r="E141" t="b">
        <f t="shared" si="9"/>
        <v>0</v>
      </c>
      <c r="F141" t="b">
        <f t="shared" si="10"/>
        <v>0</v>
      </c>
      <c r="G141" t="s">
        <v>73</v>
      </c>
    </row>
    <row r="142" spans="1:7">
      <c r="A142" t="s">
        <v>63</v>
      </c>
      <c r="B142" t="s">
        <v>1740</v>
      </c>
      <c r="C142" t="str">
        <f t="shared" si="8"/>
        <v>local/testaccount_automation:create</v>
      </c>
      <c r="D142" t="str">
        <f t="shared" si="11"/>
        <v>block/quickscan:myaddinstance</v>
      </c>
      <c r="E142" t="b">
        <f t="shared" si="9"/>
        <v>0</v>
      </c>
      <c r="F142" t="b">
        <f t="shared" si="10"/>
        <v>0</v>
      </c>
      <c r="G142" t="s">
        <v>73</v>
      </c>
    </row>
    <row r="143" spans="1:7">
      <c r="A143" t="s">
        <v>1660</v>
      </c>
      <c r="B143" t="s">
        <v>1742</v>
      </c>
      <c r="C143" t="str">
        <f t="shared" si="8"/>
        <v>mod/aspirelist:addinstance</v>
      </c>
      <c r="D143" t="str">
        <f t="shared" si="11"/>
        <v>.</v>
      </c>
      <c r="E143" t="b">
        <f t="shared" si="9"/>
        <v>0</v>
      </c>
      <c r="F143" t="str">
        <f t="shared" si="10"/>
        <v>block/quiz_results:addinstance</v>
      </c>
      <c r="G143" t="s">
        <v>872</v>
      </c>
    </row>
    <row r="144" spans="1:7">
      <c r="A144" t="s">
        <v>1662</v>
      </c>
      <c r="B144" t="s">
        <v>1748</v>
      </c>
      <c r="C144" t="str">
        <f t="shared" si="8"/>
        <v>mod/aspirelist:view</v>
      </c>
      <c r="D144" t="str">
        <f t="shared" si="11"/>
        <v>.</v>
      </c>
      <c r="E144" t="b">
        <f t="shared" si="9"/>
        <v>0</v>
      </c>
      <c r="F144" t="str">
        <f t="shared" si="10"/>
        <v>block/recent_activity:addinstance</v>
      </c>
      <c r="G144" t="s">
        <v>872</v>
      </c>
    </row>
    <row r="145" spans="1:7">
      <c r="A145" t="s">
        <v>309</v>
      </c>
      <c r="B145" t="s">
        <v>549</v>
      </c>
      <c r="C145" t="str">
        <f t="shared" si="8"/>
        <v>.</v>
      </c>
      <c r="D145" t="str">
        <f t="shared" si="11"/>
        <v>block/reportsdash:addinstance</v>
      </c>
      <c r="E145" t="str">
        <f t="shared" si="9"/>
        <v>mod/assign:addinstance</v>
      </c>
      <c r="F145" t="b">
        <f t="shared" si="10"/>
        <v>0</v>
      </c>
      <c r="G145" t="s">
        <v>874</v>
      </c>
    </row>
    <row r="146" spans="1:7">
      <c r="A146" t="s">
        <v>311</v>
      </c>
      <c r="B146" t="s">
        <v>894</v>
      </c>
      <c r="C146" t="str">
        <f t="shared" si="8"/>
        <v>.</v>
      </c>
      <c r="D146" t="str">
        <f t="shared" si="11"/>
        <v>block/reportsdash:configure_reportsdash</v>
      </c>
      <c r="E146" t="str">
        <f t="shared" si="9"/>
        <v>mod/assign:exportownsubmission</v>
      </c>
      <c r="F146" t="b">
        <f t="shared" si="10"/>
        <v>0</v>
      </c>
      <c r="G146" t="s">
        <v>874</v>
      </c>
    </row>
    <row r="147" spans="1:7">
      <c r="A147" t="s">
        <v>1664</v>
      </c>
      <c r="B147" t="s">
        <v>896</v>
      </c>
      <c r="C147" t="str">
        <f t="shared" si="8"/>
        <v>.</v>
      </c>
      <c r="D147" t="str">
        <f t="shared" si="11"/>
        <v>.</v>
      </c>
      <c r="E147" t="str">
        <f t="shared" si="9"/>
        <v>mod/assign:grade</v>
      </c>
      <c r="F147" t="str">
        <f t="shared" si="10"/>
        <v>block/rss_client:addinstance</v>
      </c>
      <c r="G147" t="s">
        <v>876</v>
      </c>
    </row>
    <row r="148" spans="1:7">
      <c r="A148" t="s">
        <v>1666</v>
      </c>
      <c r="B148" t="s">
        <v>898</v>
      </c>
      <c r="C148" t="str">
        <f t="shared" si="8"/>
        <v>.</v>
      </c>
      <c r="D148" t="str">
        <f t="shared" si="11"/>
        <v>.</v>
      </c>
      <c r="E148" t="str">
        <f t="shared" si="9"/>
        <v>mod/assign:grantextension</v>
      </c>
      <c r="F148" t="str">
        <f t="shared" si="10"/>
        <v>block/rss_client:manageanyfeeds</v>
      </c>
      <c r="G148" t="s">
        <v>876</v>
      </c>
    </row>
    <row r="149" spans="1:7">
      <c r="A149" t="s">
        <v>1668</v>
      </c>
      <c r="B149" t="s">
        <v>900</v>
      </c>
      <c r="C149" t="str">
        <f t="shared" si="8"/>
        <v>.</v>
      </c>
      <c r="D149" t="str">
        <f t="shared" si="11"/>
        <v>.</v>
      </c>
      <c r="E149" t="str">
        <f t="shared" si="9"/>
        <v>mod/assign:manageallocations</v>
      </c>
      <c r="F149" t="str">
        <f t="shared" si="10"/>
        <v>block/rss_client:manageownfeeds</v>
      </c>
      <c r="G149" t="s">
        <v>313</v>
      </c>
    </row>
    <row r="150" spans="1:7">
      <c r="A150" t="s">
        <v>65</v>
      </c>
      <c r="B150" t="s">
        <v>902</v>
      </c>
      <c r="C150" t="str">
        <f t="shared" si="8"/>
        <v>.</v>
      </c>
      <c r="D150" t="str">
        <f t="shared" si="11"/>
        <v>.</v>
      </c>
      <c r="E150" t="str">
        <f t="shared" si="9"/>
        <v>mod/assign:managegrades</v>
      </c>
      <c r="F150" t="str">
        <f t="shared" si="10"/>
        <v>block/rss_client:myaddinstance</v>
      </c>
      <c r="G150" t="s">
        <v>313</v>
      </c>
    </row>
    <row r="151" spans="1:7">
      <c r="A151" t="s">
        <v>1670</v>
      </c>
      <c r="B151" t="s">
        <v>904</v>
      </c>
      <c r="C151" t="str">
        <f t="shared" si="8"/>
        <v>.</v>
      </c>
      <c r="D151" t="str">
        <f t="shared" si="11"/>
        <v>.</v>
      </c>
      <c r="E151" t="str">
        <f t="shared" si="9"/>
        <v>mod/assign:releasegrades</v>
      </c>
      <c r="F151" t="str">
        <f t="shared" si="10"/>
        <v>block/search_forums:addinstance</v>
      </c>
      <c r="G151" t="s">
        <v>451</v>
      </c>
    </row>
    <row r="152" spans="1:7">
      <c r="A152" t="s">
        <v>1672</v>
      </c>
      <c r="B152" t="s">
        <v>906</v>
      </c>
      <c r="C152" t="str">
        <f t="shared" si="8"/>
        <v>.</v>
      </c>
      <c r="D152" t="str">
        <f t="shared" si="11"/>
        <v>.</v>
      </c>
      <c r="E152" t="str">
        <f t="shared" si="9"/>
        <v>mod/assign:revealidentities</v>
      </c>
      <c r="F152" t="str">
        <f t="shared" si="10"/>
        <v>block/section_links:addinstance</v>
      </c>
      <c r="G152" t="s">
        <v>451</v>
      </c>
    </row>
    <row r="153" spans="1:7">
      <c r="A153" t="s">
        <v>1674</v>
      </c>
      <c r="B153" t="s">
        <v>908</v>
      </c>
      <c r="C153" t="str">
        <f t="shared" si="8"/>
        <v>.</v>
      </c>
      <c r="D153" t="str">
        <f t="shared" si="11"/>
        <v>.</v>
      </c>
      <c r="E153" t="str">
        <f t="shared" si="9"/>
        <v>mod/assign:reviewgrades</v>
      </c>
      <c r="F153" t="str">
        <f t="shared" si="10"/>
        <v>block/selfcompletion:addinstance</v>
      </c>
      <c r="G153" t="s">
        <v>453</v>
      </c>
    </row>
    <row r="154" spans="1:7">
      <c r="A154" t="s">
        <v>1676</v>
      </c>
      <c r="B154" t="s">
        <v>910</v>
      </c>
      <c r="C154" t="str">
        <f t="shared" si="8"/>
        <v>.</v>
      </c>
      <c r="D154" t="str">
        <f t="shared" si="11"/>
        <v>.</v>
      </c>
      <c r="E154" t="str">
        <f t="shared" si="9"/>
        <v>mod/assign:submit</v>
      </c>
      <c r="F154" t="str">
        <f t="shared" si="10"/>
        <v>block/settings:addinstance</v>
      </c>
      <c r="G154" t="s">
        <v>453</v>
      </c>
    </row>
    <row r="155" spans="1:7">
      <c r="A155" t="s">
        <v>67</v>
      </c>
      <c r="B155" t="s">
        <v>912</v>
      </c>
      <c r="C155" t="str">
        <f t="shared" si="8"/>
        <v>.</v>
      </c>
      <c r="D155" t="str">
        <f t="shared" si="11"/>
        <v>.</v>
      </c>
      <c r="E155" t="str">
        <f t="shared" si="9"/>
        <v>mod/assign:view</v>
      </c>
      <c r="F155" t="str">
        <f t="shared" si="10"/>
        <v>block/settings:myaddinstance</v>
      </c>
      <c r="G155" t="s">
        <v>454</v>
      </c>
    </row>
    <row r="156" spans="1:7">
      <c r="A156" t="s">
        <v>1678</v>
      </c>
      <c r="B156" t="s">
        <v>550</v>
      </c>
      <c r="C156" t="str">
        <f t="shared" si="8"/>
        <v>.</v>
      </c>
      <c r="D156" t="str">
        <f t="shared" si="11"/>
        <v>block/sgul_navigation:addinstance</v>
      </c>
      <c r="E156" t="str">
        <f t="shared" si="9"/>
        <v>mod/assignment:addinstance</v>
      </c>
      <c r="F156" t="b">
        <f t="shared" si="10"/>
        <v>0</v>
      </c>
      <c r="G156" t="s">
        <v>454</v>
      </c>
    </row>
    <row r="157" spans="1:7">
      <c r="A157" t="s">
        <v>69</v>
      </c>
      <c r="B157" t="s">
        <v>913</v>
      </c>
      <c r="C157" t="str">
        <f t="shared" si="8"/>
        <v>.</v>
      </c>
      <c r="D157" t="str">
        <f t="shared" si="11"/>
        <v>block/sgul_navigation:myaddinstance</v>
      </c>
      <c r="E157" t="str">
        <f t="shared" si="9"/>
        <v>mod/assignment:exportownsubmission</v>
      </c>
      <c r="F157" t="b">
        <f t="shared" si="10"/>
        <v>0</v>
      </c>
      <c r="G157" t="s">
        <v>456</v>
      </c>
    </row>
    <row r="158" spans="1:7">
      <c r="A158" t="s">
        <v>1680</v>
      </c>
      <c r="B158" t="s">
        <v>914</v>
      </c>
      <c r="C158" t="str">
        <f t="shared" si="8"/>
        <v>.</v>
      </c>
      <c r="D158" t="str">
        <f t="shared" si="11"/>
        <v>block/sharing_cart:addinstance</v>
      </c>
      <c r="E158" t="str">
        <f t="shared" si="9"/>
        <v>mod/assignment:grade</v>
      </c>
      <c r="F158" t="b">
        <f t="shared" si="10"/>
        <v>0</v>
      </c>
      <c r="G158" t="s">
        <v>456</v>
      </c>
    </row>
    <row r="159" spans="1:7">
      <c r="A159" t="s">
        <v>1682</v>
      </c>
      <c r="B159" t="s">
        <v>915</v>
      </c>
      <c r="C159" t="str">
        <f t="shared" si="8"/>
        <v>.</v>
      </c>
      <c r="D159" t="str">
        <f t="shared" si="11"/>
        <v>block/side_bar:addinstance</v>
      </c>
      <c r="E159" t="str">
        <f t="shared" si="9"/>
        <v>mod/assignment:submit</v>
      </c>
      <c r="F159" t="b">
        <f t="shared" si="10"/>
        <v>0</v>
      </c>
      <c r="G159" t="s">
        <v>458</v>
      </c>
    </row>
    <row r="160" spans="1:7">
      <c r="A160" t="s">
        <v>1684</v>
      </c>
      <c r="B160" t="s">
        <v>916</v>
      </c>
      <c r="C160" t="str">
        <f t="shared" si="8"/>
        <v>.</v>
      </c>
      <c r="D160" t="str">
        <f t="shared" si="11"/>
        <v>.</v>
      </c>
      <c r="E160" t="str">
        <f t="shared" si="9"/>
        <v>mod/assignment:view</v>
      </c>
      <c r="F160" t="str">
        <f t="shared" si="10"/>
        <v>block/site_main_menu:addinstance</v>
      </c>
      <c r="G160" t="s">
        <v>458</v>
      </c>
    </row>
    <row r="161" spans="1:7">
      <c r="A161" t="s">
        <v>1686</v>
      </c>
      <c r="B161" t="s">
        <v>558</v>
      </c>
      <c r="C161" t="str">
        <f t="shared" si="8"/>
        <v>.</v>
      </c>
      <c r="D161" t="str">
        <f t="shared" si="11"/>
        <v>block/slideshow:addinstance</v>
      </c>
      <c r="E161" t="str">
        <f t="shared" si="9"/>
        <v>mod/book:addinstance</v>
      </c>
      <c r="F161" t="b">
        <f t="shared" si="10"/>
        <v>0</v>
      </c>
      <c r="G161" t="s">
        <v>460</v>
      </c>
    </row>
    <row r="162" spans="1:7">
      <c r="A162" t="s">
        <v>71</v>
      </c>
      <c r="B162" t="s">
        <v>948</v>
      </c>
      <c r="C162" t="str">
        <f t="shared" si="8"/>
        <v>.</v>
      </c>
      <c r="D162" t="str">
        <f t="shared" si="11"/>
        <v>block/slideshow:myaddinstance</v>
      </c>
      <c r="E162" t="str">
        <f t="shared" si="9"/>
        <v>mod/book:edit</v>
      </c>
      <c r="F162" t="b">
        <f t="shared" si="10"/>
        <v>0</v>
      </c>
      <c r="G162" t="s">
        <v>460</v>
      </c>
    </row>
    <row r="163" spans="1:7">
      <c r="A163" t="s">
        <v>1688</v>
      </c>
      <c r="B163" t="s">
        <v>950</v>
      </c>
      <c r="C163" t="str">
        <f t="shared" si="8"/>
        <v>.</v>
      </c>
      <c r="D163" t="str">
        <f t="shared" si="11"/>
        <v>.</v>
      </c>
      <c r="E163" t="str">
        <f t="shared" si="9"/>
        <v>mod/book:read</v>
      </c>
      <c r="F163" t="str">
        <f t="shared" si="10"/>
        <v>block/social_activities:addinstance</v>
      </c>
      <c r="G163" t="s">
        <v>462</v>
      </c>
    </row>
    <row r="164" spans="1:7">
      <c r="A164" t="s">
        <v>1692</v>
      </c>
      <c r="B164" t="s">
        <v>952</v>
      </c>
      <c r="C164" t="str">
        <f t="shared" si="8"/>
        <v>.</v>
      </c>
      <c r="D164" t="str">
        <f t="shared" si="11"/>
        <v>.</v>
      </c>
      <c r="E164" t="str">
        <f t="shared" si="9"/>
        <v>mod/book:viewhiddenchapters</v>
      </c>
      <c r="F164" t="str">
        <f t="shared" si="10"/>
        <v>block/tag_flickr:addinstance</v>
      </c>
      <c r="G164" t="s">
        <v>462</v>
      </c>
    </row>
    <row r="165" spans="1:7">
      <c r="A165" t="s">
        <v>1694</v>
      </c>
      <c r="B165" t="s">
        <v>562</v>
      </c>
      <c r="C165" t="str">
        <f t="shared" si="8"/>
        <v>.</v>
      </c>
      <c r="D165" t="str">
        <f t="shared" si="11"/>
        <v>.</v>
      </c>
      <c r="E165" t="str">
        <f t="shared" si="9"/>
        <v>mod/certificate:addinstance</v>
      </c>
      <c r="F165" t="str">
        <f t="shared" si="10"/>
        <v>block/tag_youtube:addinstance</v>
      </c>
      <c r="G165" t="s">
        <v>464</v>
      </c>
    </row>
    <row r="166" spans="1:7">
      <c r="A166" t="s">
        <v>1690</v>
      </c>
      <c r="B166" t="s">
        <v>966</v>
      </c>
      <c r="C166" t="str">
        <f t="shared" si="8"/>
        <v>.</v>
      </c>
      <c r="D166" t="str">
        <f t="shared" si="11"/>
        <v>.</v>
      </c>
      <c r="E166" t="str">
        <f t="shared" si="9"/>
        <v>mod/certificate:manage</v>
      </c>
      <c r="F166" t="str">
        <f t="shared" si="10"/>
        <v>block/tags:addinstance</v>
      </c>
      <c r="G166" t="s">
        <v>464</v>
      </c>
    </row>
    <row r="167" spans="1:7">
      <c r="A167" t="s">
        <v>73</v>
      </c>
      <c r="B167" t="s">
        <v>968</v>
      </c>
      <c r="C167" t="str">
        <f t="shared" si="8"/>
        <v>.</v>
      </c>
      <c r="D167" t="str">
        <f t="shared" si="11"/>
        <v>.</v>
      </c>
      <c r="E167" t="str">
        <f t="shared" si="9"/>
        <v>mod/certificate:printteacher</v>
      </c>
      <c r="F167" t="str">
        <f t="shared" si="10"/>
        <v>block/tags:myaddinstance</v>
      </c>
      <c r="G167" t="s">
        <v>466</v>
      </c>
    </row>
    <row r="168" spans="1:7">
      <c r="A168" t="s">
        <v>75</v>
      </c>
      <c r="B168" t="s">
        <v>970</v>
      </c>
      <c r="C168" t="str">
        <f t="shared" si="8"/>
        <v>.</v>
      </c>
      <c r="D168" t="str">
        <f t="shared" si="11"/>
        <v>block/ulcc_diagnostics:addinstance</v>
      </c>
      <c r="E168" t="str">
        <f t="shared" si="9"/>
        <v>mod/certificate:view</v>
      </c>
      <c r="F168" t="b">
        <f t="shared" si="10"/>
        <v>0</v>
      </c>
      <c r="G168" t="s">
        <v>466</v>
      </c>
    </row>
    <row r="169" spans="1:7">
      <c r="A169" t="s">
        <v>77</v>
      </c>
      <c r="B169" t="s">
        <v>564</v>
      </c>
      <c r="C169" t="str">
        <f t="shared" si="8"/>
        <v>.</v>
      </c>
      <c r="D169" t="str">
        <f t="shared" si="11"/>
        <v>block/ulcc_diagnostics:myaddinstance</v>
      </c>
      <c r="E169" t="str">
        <f t="shared" si="9"/>
        <v>mod/chat:addinstance</v>
      </c>
      <c r="F169" t="b">
        <f t="shared" si="10"/>
        <v>0</v>
      </c>
      <c r="G169" t="s">
        <v>468</v>
      </c>
    </row>
    <row r="170" spans="1:7">
      <c r="A170" t="s">
        <v>872</v>
      </c>
      <c r="B170" t="s">
        <v>972</v>
      </c>
      <c r="C170" t="str">
        <f t="shared" si="8"/>
        <v>.</v>
      </c>
      <c r="D170" t="str">
        <f t="shared" si="11"/>
        <v>.</v>
      </c>
      <c r="E170" t="str">
        <f t="shared" si="9"/>
        <v>mod/chat:chat</v>
      </c>
      <c r="F170" t="str">
        <f t="shared" si="10"/>
        <v>booktool/exportimscp:export</v>
      </c>
      <c r="G170" t="s">
        <v>468</v>
      </c>
    </row>
    <row r="171" spans="1:7">
      <c r="A171" t="s">
        <v>874</v>
      </c>
      <c r="B171" t="s">
        <v>974</v>
      </c>
      <c r="C171" t="str">
        <f t="shared" si="8"/>
        <v>.</v>
      </c>
      <c r="D171" t="str">
        <f t="shared" si="11"/>
        <v>.</v>
      </c>
      <c r="E171" t="str">
        <f t="shared" si="9"/>
        <v>mod/chat:deletelog</v>
      </c>
      <c r="F171" t="str">
        <f t="shared" si="10"/>
        <v>booktool/importhtml:import</v>
      </c>
      <c r="G171" t="s">
        <v>470</v>
      </c>
    </row>
    <row r="172" spans="1:7">
      <c r="A172" t="s">
        <v>876</v>
      </c>
      <c r="B172" t="s">
        <v>976</v>
      </c>
      <c r="C172" t="str">
        <f t="shared" si="8"/>
        <v>.</v>
      </c>
      <c r="D172" t="str">
        <f t="shared" si="11"/>
        <v>.</v>
      </c>
      <c r="E172" t="str">
        <f t="shared" si="9"/>
        <v>mod/chat:exportparticipatedsession</v>
      </c>
      <c r="F172" t="str">
        <f t="shared" si="10"/>
        <v>booktool/print:print</v>
      </c>
      <c r="G172" t="s">
        <v>470</v>
      </c>
    </row>
    <row r="173" spans="1:7">
      <c r="A173" t="s">
        <v>443</v>
      </c>
      <c r="B173" t="s">
        <v>978</v>
      </c>
      <c r="C173" t="str">
        <f t="shared" si="8"/>
        <v>.</v>
      </c>
      <c r="D173" t="str">
        <f t="shared" si="11"/>
        <v>enrol/autoenrol:config</v>
      </c>
      <c r="E173" t="str">
        <f t="shared" si="9"/>
        <v>mod/chat:exportsession</v>
      </c>
      <c r="F173" t="b">
        <f t="shared" si="10"/>
        <v>0</v>
      </c>
      <c r="G173" t="s">
        <v>472</v>
      </c>
    </row>
    <row r="174" spans="1:7">
      <c r="A174" t="s">
        <v>445</v>
      </c>
      <c r="B174" t="s">
        <v>980</v>
      </c>
      <c r="C174" t="str">
        <f t="shared" si="8"/>
        <v>.</v>
      </c>
      <c r="D174" t="str">
        <f t="shared" si="11"/>
        <v>enrol/autoenrol:method</v>
      </c>
      <c r="E174" t="str">
        <f t="shared" si="9"/>
        <v>mod/chat:readlog</v>
      </c>
      <c r="F174" t="b">
        <f t="shared" si="10"/>
        <v>0</v>
      </c>
      <c r="G174" t="s">
        <v>472</v>
      </c>
    </row>
    <row r="175" spans="1:7">
      <c r="A175" t="s">
        <v>447</v>
      </c>
      <c r="B175" t="s">
        <v>568</v>
      </c>
      <c r="C175" t="str">
        <f t="shared" si="8"/>
        <v>.</v>
      </c>
      <c r="D175" t="str">
        <f t="shared" si="11"/>
        <v>enrol/autoenrol:unenrol</v>
      </c>
      <c r="E175" t="str">
        <f t="shared" si="9"/>
        <v>mod/choice:addinstance</v>
      </c>
      <c r="F175" t="b">
        <f t="shared" si="10"/>
        <v>0</v>
      </c>
      <c r="G175" t="s">
        <v>474</v>
      </c>
    </row>
    <row r="176" spans="1:7">
      <c r="A176" t="s">
        <v>449</v>
      </c>
      <c r="B176" t="s">
        <v>998</v>
      </c>
      <c r="C176" t="str">
        <f t="shared" si="8"/>
        <v>.</v>
      </c>
      <c r="D176" t="str">
        <f t="shared" si="11"/>
        <v>enrol/autoenrol:unenrolself</v>
      </c>
      <c r="E176" t="str">
        <f t="shared" si="9"/>
        <v>mod/choice:choose</v>
      </c>
      <c r="F176" t="b">
        <f t="shared" si="10"/>
        <v>0</v>
      </c>
      <c r="G176" t="s">
        <v>474</v>
      </c>
    </row>
    <row r="177" spans="1:7">
      <c r="A177" t="s">
        <v>313</v>
      </c>
      <c r="B177" t="s">
        <v>999</v>
      </c>
      <c r="C177" t="str">
        <f t="shared" si="8"/>
        <v>.</v>
      </c>
      <c r="D177" t="str">
        <f t="shared" si="11"/>
        <v>.</v>
      </c>
      <c r="E177" t="str">
        <f t="shared" si="9"/>
        <v>mod/choice:deleteresponses</v>
      </c>
      <c r="F177" t="str">
        <f t="shared" si="10"/>
        <v>enrol/category:synchronised</v>
      </c>
      <c r="G177" t="s">
        <v>476</v>
      </c>
    </row>
    <row r="178" spans="1:7">
      <c r="A178" t="s">
        <v>451</v>
      </c>
      <c r="B178" t="s">
        <v>1000</v>
      </c>
      <c r="C178" t="str">
        <f t="shared" si="8"/>
        <v>.</v>
      </c>
      <c r="D178" t="str">
        <f t="shared" si="11"/>
        <v>.</v>
      </c>
      <c r="E178" t="str">
        <f t="shared" si="9"/>
        <v>mod/choice:downloadresponses</v>
      </c>
      <c r="F178" t="str">
        <f t="shared" si="10"/>
        <v>enrol/cohort:config</v>
      </c>
      <c r="G178" t="s">
        <v>476</v>
      </c>
    </row>
    <row r="179" spans="1:7">
      <c r="A179" t="s">
        <v>453</v>
      </c>
      <c r="B179" t="s">
        <v>1001</v>
      </c>
      <c r="C179" t="str">
        <f t="shared" si="8"/>
        <v>.</v>
      </c>
      <c r="D179" t="str">
        <f t="shared" si="11"/>
        <v>.</v>
      </c>
      <c r="E179" t="str">
        <f t="shared" si="9"/>
        <v>mod/choice:readresponses</v>
      </c>
      <c r="F179" t="str">
        <f t="shared" si="10"/>
        <v>enrol/cohort:unenrol</v>
      </c>
      <c r="G179" t="s">
        <v>477</v>
      </c>
    </row>
    <row r="180" spans="1:7">
      <c r="A180" t="s">
        <v>454</v>
      </c>
      <c r="B180" t="s">
        <v>1003</v>
      </c>
      <c r="C180" t="str">
        <f t="shared" si="8"/>
        <v>.</v>
      </c>
      <c r="D180" t="str">
        <f t="shared" si="11"/>
        <v>.</v>
      </c>
      <c r="E180" t="str">
        <f t="shared" si="9"/>
        <v>mod/choicegroup:addinstance</v>
      </c>
      <c r="F180" t="str">
        <f t="shared" si="10"/>
        <v>enrol/database:unenrol</v>
      </c>
      <c r="G180" t="s">
        <v>477</v>
      </c>
    </row>
    <row r="181" spans="1:7">
      <c r="A181" t="s">
        <v>315</v>
      </c>
      <c r="B181" t="s">
        <v>1004</v>
      </c>
      <c r="C181" t="str">
        <f t="shared" si="8"/>
        <v>.</v>
      </c>
      <c r="D181" t="str">
        <f t="shared" si="11"/>
        <v>enrol/databaseextended:managerelations</v>
      </c>
      <c r="E181" t="str">
        <f t="shared" si="9"/>
        <v>mod/choicegroup:choose</v>
      </c>
      <c r="F181" t="b">
        <f t="shared" si="10"/>
        <v>0</v>
      </c>
      <c r="G181" t="s">
        <v>479</v>
      </c>
    </row>
    <row r="182" spans="1:7">
      <c r="A182" t="s">
        <v>456</v>
      </c>
      <c r="B182" t="s">
        <v>1005</v>
      </c>
      <c r="C182" t="str">
        <f t="shared" si="8"/>
        <v>.</v>
      </c>
      <c r="D182" t="str">
        <f t="shared" si="11"/>
        <v>.</v>
      </c>
      <c r="E182" t="str">
        <f t="shared" si="9"/>
        <v>mod/choicegroup:deleteresponses</v>
      </c>
      <c r="F182" t="str">
        <f t="shared" si="10"/>
        <v>enrol/flatfile:manage</v>
      </c>
      <c r="G182" t="s">
        <v>479</v>
      </c>
    </row>
    <row r="183" spans="1:7">
      <c r="A183" t="s">
        <v>458</v>
      </c>
      <c r="B183" t="s">
        <v>1006</v>
      </c>
      <c r="C183" t="str">
        <f t="shared" si="8"/>
        <v>.</v>
      </c>
      <c r="D183" t="str">
        <f t="shared" si="11"/>
        <v>.</v>
      </c>
      <c r="E183" t="str">
        <f t="shared" si="9"/>
        <v>mod/choicegroup:downloadresponses</v>
      </c>
      <c r="F183" t="str">
        <f t="shared" si="10"/>
        <v>enrol/flatfile:unenrol</v>
      </c>
      <c r="G183" t="s">
        <v>481</v>
      </c>
    </row>
    <row r="184" spans="1:7">
      <c r="A184" t="s">
        <v>460</v>
      </c>
      <c r="B184" t="s">
        <v>1007</v>
      </c>
      <c r="C184" t="str">
        <f t="shared" si="8"/>
        <v>.</v>
      </c>
      <c r="D184" t="str">
        <f t="shared" si="11"/>
        <v>.</v>
      </c>
      <c r="E184" t="str">
        <f t="shared" si="9"/>
        <v>mod/choicegroup:readresponses</v>
      </c>
      <c r="F184" t="str">
        <f t="shared" si="10"/>
        <v>enrol/guest:config</v>
      </c>
      <c r="G184" t="s">
        <v>481</v>
      </c>
    </row>
    <row r="185" spans="1:7">
      <c r="A185" t="s">
        <v>462</v>
      </c>
      <c r="B185" t="s">
        <v>570</v>
      </c>
      <c r="C185" t="str">
        <f t="shared" si="8"/>
        <v>.</v>
      </c>
      <c r="D185" t="str">
        <f t="shared" si="11"/>
        <v>.</v>
      </c>
      <c r="E185" t="str">
        <f t="shared" si="9"/>
        <v>mod/data:addinstance</v>
      </c>
      <c r="F185" t="str">
        <f t="shared" si="10"/>
        <v>enrol/ldap:manage</v>
      </c>
      <c r="G185" t="s">
        <v>483</v>
      </c>
    </row>
    <row r="186" spans="1:7">
      <c r="A186" t="s">
        <v>464</v>
      </c>
      <c r="B186" t="s">
        <v>1019</v>
      </c>
      <c r="C186" t="str">
        <f t="shared" si="8"/>
        <v>.</v>
      </c>
      <c r="D186" t="str">
        <f t="shared" si="11"/>
        <v>.</v>
      </c>
      <c r="E186" t="str">
        <f t="shared" si="9"/>
        <v>mod/data:approve</v>
      </c>
      <c r="F186" t="str">
        <f t="shared" si="10"/>
        <v>enrol/manual:config</v>
      </c>
      <c r="G186" t="s">
        <v>483</v>
      </c>
    </row>
    <row r="187" spans="1:7">
      <c r="A187" t="s">
        <v>466</v>
      </c>
      <c r="B187" t="s">
        <v>1021</v>
      </c>
      <c r="C187" t="str">
        <f t="shared" si="8"/>
        <v>.</v>
      </c>
      <c r="D187" t="str">
        <f t="shared" si="11"/>
        <v>.</v>
      </c>
      <c r="E187" t="str">
        <f t="shared" si="9"/>
        <v>mod/data:comment</v>
      </c>
      <c r="F187" t="str">
        <f t="shared" si="10"/>
        <v>enrol/manual:enrol</v>
      </c>
      <c r="G187" t="s">
        <v>484</v>
      </c>
    </row>
    <row r="188" spans="1:7">
      <c r="A188" t="s">
        <v>468</v>
      </c>
      <c r="B188" t="s">
        <v>1023</v>
      </c>
      <c r="C188" t="str">
        <f t="shared" si="8"/>
        <v>.</v>
      </c>
      <c r="D188" t="str">
        <f t="shared" si="11"/>
        <v>.</v>
      </c>
      <c r="E188" t="str">
        <f t="shared" si="9"/>
        <v>mod/data:exportallentries</v>
      </c>
      <c r="F188" t="str">
        <f t="shared" si="10"/>
        <v>enrol/manual:manage</v>
      </c>
      <c r="G188" t="s">
        <v>484</v>
      </c>
    </row>
    <row r="189" spans="1:7">
      <c r="A189" t="s">
        <v>470</v>
      </c>
      <c r="B189" t="s">
        <v>1025</v>
      </c>
      <c r="C189" t="str">
        <f t="shared" si="8"/>
        <v>.</v>
      </c>
      <c r="D189" t="str">
        <f t="shared" si="11"/>
        <v>.</v>
      </c>
      <c r="E189" t="str">
        <f t="shared" si="9"/>
        <v>mod/data:exportentry</v>
      </c>
      <c r="F189" t="str">
        <f t="shared" si="10"/>
        <v>enrol/manual:unenrol</v>
      </c>
      <c r="G189" t="s">
        <v>486</v>
      </c>
    </row>
    <row r="190" spans="1:7">
      <c r="A190" t="s">
        <v>472</v>
      </c>
      <c r="B190" t="s">
        <v>1027</v>
      </c>
      <c r="C190" t="str">
        <f t="shared" si="8"/>
        <v>.</v>
      </c>
      <c r="D190" t="str">
        <f t="shared" si="11"/>
        <v>.</v>
      </c>
      <c r="E190" t="str">
        <f t="shared" si="9"/>
        <v>mod/data:exportownentry</v>
      </c>
      <c r="F190" t="str">
        <f t="shared" si="10"/>
        <v>enrol/manual:unenrolself</v>
      </c>
      <c r="G190" t="s">
        <v>486</v>
      </c>
    </row>
    <row r="191" spans="1:7">
      <c r="A191" t="s">
        <v>474</v>
      </c>
      <c r="B191" t="s">
        <v>1029</v>
      </c>
      <c r="C191" t="str">
        <f t="shared" si="8"/>
        <v>.</v>
      </c>
      <c r="D191" t="str">
        <f t="shared" si="11"/>
        <v>.</v>
      </c>
      <c r="E191" t="str">
        <f t="shared" si="9"/>
        <v>mod/data:exportuserinfo</v>
      </c>
      <c r="F191" t="str">
        <f t="shared" si="10"/>
        <v>enrol/meta:config</v>
      </c>
      <c r="G191" t="s">
        <v>487</v>
      </c>
    </row>
    <row r="192" spans="1:7">
      <c r="A192" t="s">
        <v>476</v>
      </c>
      <c r="B192" t="s">
        <v>1031</v>
      </c>
      <c r="C192" t="str">
        <f t="shared" si="8"/>
        <v>.</v>
      </c>
      <c r="D192" t="str">
        <f t="shared" si="11"/>
        <v>.</v>
      </c>
      <c r="E192" t="str">
        <f t="shared" si="9"/>
        <v>mod/data:managecomments</v>
      </c>
      <c r="F192" t="str">
        <f t="shared" si="10"/>
        <v>enrol/meta:selectaslinked</v>
      </c>
      <c r="G192" t="s">
        <v>487</v>
      </c>
    </row>
    <row r="193" spans="1:7">
      <c r="A193" t="s">
        <v>477</v>
      </c>
      <c r="B193" t="s">
        <v>1033</v>
      </c>
      <c r="C193" t="str">
        <f t="shared" si="8"/>
        <v>.</v>
      </c>
      <c r="D193" t="str">
        <f t="shared" si="11"/>
        <v>.</v>
      </c>
      <c r="E193" t="str">
        <f t="shared" si="9"/>
        <v>mod/data:manageentries</v>
      </c>
      <c r="F193" t="str">
        <f t="shared" si="10"/>
        <v>enrol/meta:unenrol</v>
      </c>
      <c r="G193" t="s">
        <v>488</v>
      </c>
    </row>
    <row r="194" spans="1:7">
      <c r="A194" t="s">
        <v>479</v>
      </c>
      <c r="B194" t="s">
        <v>1035</v>
      </c>
      <c r="C194" t="str">
        <f t="shared" si="8"/>
        <v>.</v>
      </c>
      <c r="D194" t="str">
        <f t="shared" si="11"/>
        <v>.</v>
      </c>
      <c r="E194" t="str">
        <f t="shared" si="9"/>
        <v>mod/data:managetemplates</v>
      </c>
      <c r="F194" t="str">
        <f t="shared" si="10"/>
        <v>enrol/paypal:config</v>
      </c>
      <c r="G194" t="s">
        <v>488</v>
      </c>
    </row>
    <row r="195" spans="1:7">
      <c r="A195" t="s">
        <v>481</v>
      </c>
      <c r="B195" t="s">
        <v>1037</v>
      </c>
      <c r="C195" t="str">
        <f t="shared" ref="C195:C258" si="12">IF(VLOOKUP(B195,$A$2:$A$873,1)=B195,".",B195)</f>
        <v>.</v>
      </c>
      <c r="D195" t="str">
        <f t="shared" si="11"/>
        <v>.</v>
      </c>
      <c r="E195" t="str">
        <f t="shared" ref="E195:E258" si="13">IF(C195=".",B195)</f>
        <v>mod/data:manageuserpresets</v>
      </c>
      <c r="F195" t="str">
        <f t="shared" si="10"/>
        <v>enrol/paypal:manage</v>
      </c>
      <c r="G195" t="s">
        <v>489</v>
      </c>
    </row>
    <row r="196" spans="1:7">
      <c r="A196" t="s">
        <v>483</v>
      </c>
      <c r="B196" t="s">
        <v>1039</v>
      </c>
      <c r="C196" t="str">
        <f t="shared" si="12"/>
        <v>.</v>
      </c>
      <c r="D196" t="str">
        <f t="shared" si="11"/>
        <v>.</v>
      </c>
      <c r="E196" t="str">
        <f t="shared" si="13"/>
        <v>mod/data:rate</v>
      </c>
      <c r="F196" t="str">
        <f t="shared" ref="F196:F259" si="14">IF(D196=".",A196)</f>
        <v>enrol/paypal:unenrol</v>
      </c>
      <c r="G196" t="s">
        <v>489</v>
      </c>
    </row>
    <row r="197" spans="1:7">
      <c r="A197" t="s">
        <v>484</v>
      </c>
      <c r="B197" t="s">
        <v>1040</v>
      </c>
      <c r="C197" t="str">
        <f t="shared" si="12"/>
        <v>.</v>
      </c>
      <c r="D197" t="str">
        <f t="shared" si="11"/>
        <v>.</v>
      </c>
      <c r="E197" t="str">
        <f t="shared" si="13"/>
        <v>mod/data:viewallratings</v>
      </c>
      <c r="F197" t="str">
        <f t="shared" si="14"/>
        <v>enrol/paypal:unenrolself</v>
      </c>
      <c r="G197" t="s">
        <v>511</v>
      </c>
    </row>
    <row r="198" spans="1:7">
      <c r="A198" t="s">
        <v>486</v>
      </c>
      <c r="B198" t="s">
        <v>1042</v>
      </c>
      <c r="C198" t="str">
        <f t="shared" si="12"/>
        <v>.</v>
      </c>
      <c r="D198" t="str">
        <f t="shared" si="11"/>
        <v>.</v>
      </c>
      <c r="E198" t="str">
        <f t="shared" si="13"/>
        <v>mod/data:viewalluserpresets</v>
      </c>
      <c r="F198" t="str">
        <f t="shared" si="14"/>
        <v>enrol/self:config</v>
      </c>
      <c r="G198" t="s">
        <v>511</v>
      </c>
    </row>
    <row r="199" spans="1:7">
      <c r="A199" t="s">
        <v>487</v>
      </c>
      <c r="B199" t="s">
        <v>1043</v>
      </c>
      <c r="C199" t="str">
        <f t="shared" si="12"/>
        <v>.</v>
      </c>
      <c r="D199" t="str">
        <f t="shared" si="11"/>
        <v>.</v>
      </c>
      <c r="E199" t="str">
        <f t="shared" si="13"/>
        <v>mod/data:viewanyrating</v>
      </c>
      <c r="F199" t="str">
        <f t="shared" si="14"/>
        <v>enrol/self:manage</v>
      </c>
      <c r="G199" t="s">
        <v>513</v>
      </c>
    </row>
    <row r="200" spans="1:7">
      <c r="A200" t="s">
        <v>488</v>
      </c>
      <c r="B200" t="s">
        <v>1045</v>
      </c>
      <c r="C200" t="str">
        <f t="shared" si="12"/>
        <v>.</v>
      </c>
      <c r="D200" t="str">
        <f t="shared" ref="D200:D263" si="15">IF(VLOOKUP(A200,$B$2:$B$631,1)=A200,".",A200)</f>
        <v>.</v>
      </c>
      <c r="E200" t="str">
        <f t="shared" si="13"/>
        <v>mod/data:viewentry</v>
      </c>
      <c r="F200" t="str">
        <f t="shared" si="14"/>
        <v>enrol/self:unenrol</v>
      </c>
      <c r="G200" t="s">
        <v>513</v>
      </c>
    </row>
    <row r="201" spans="1:7">
      <c r="A201" t="s">
        <v>489</v>
      </c>
      <c r="B201" t="s">
        <v>1046</v>
      </c>
      <c r="C201" t="str">
        <f t="shared" si="12"/>
        <v>.</v>
      </c>
      <c r="D201" t="str">
        <f t="shared" si="15"/>
        <v>.</v>
      </c>
      <c r="E201" t="str">
        <f t="shared" si="13"/>
        <v>mod/data:viewrating</v>
      </c>
      <c r="F201" t="str">
        <f t="shared" si="14"/>
        <v>enrol/self:unenrolself</v>
      </c>
      <c r="G201" t="s">
        <v>515</v>
      </c>
    </row>
    <row r="202" spans="1:7">
      <c r="A202" t="s">
        <v>491</v>
      </c>
      <c r="B202" t="s">
        <v>1048</v>
      </c>
      <c r="C202" t="str">
        <f t="shared" si="12"/>
        <v>.</v>
      </c>
      <c r="D202" t="str">
        <f t="shared" si="15"/>
        <v>format/grid:changeimagecontainersize</v>
      </c>
      <c r="E202" t="str">
        <f t="shared" si="13"/>
        <v>mod/data:writeentry</v>
      </c>
      <c r="F202" t="b">
        <f t="shared" si="14"/>
        <v>0</v>
      </c>
      <c r="G202" t="s">
        <v>515</v>
      </c>
    </row>
    <row r="203" spans="1:7">
      <c r="A203" t="s">
        <v>493</v>
      </c>
      <c r="B203" t="s">
        <v>594</v>
      </c>
      <c r="C203" t="str">
        <f t="shared" si="12"/>
        <v>.</v>
      </c>
      <c r="D203" t="str">
        <f t="shared" si="15"/>
        <v>format/grid:changeimagecontainerstyle</v>
      </c>
      <c r="E203" t="str">
        <f t="shared" si="13"/>
        <v>mod/feedback:addinstance</v>
      </c>
      <c r="F203" t="b">
        <f t="shared" si="14"/>
        <v>0</v>
      </c>
      <c r="G203" t="s">
        <v>517</v>
      </c>
    </row>
    <row r="204" spans="1:7">
      <c r="A204" t="s">
        <v>495</v>
      </c>
      <c r="B204" t="s">
        <v>1090</v>
      </c>
      <c r="C204" t="str">
        <f t="shared" si="12"/>
        <v>.</v>
      </c>
      <c r="D204" t="str">
        <f t="shared" si="15"/>
        <v>format/grid:changeimageresizemethod</v>
      </c>
      <c r="E204" t="str">
        <f t="shared" si="13"/>
        <v>mod/feedback:complete</v>
      </c>
      <c r="F204" t="b">
        <f t="shared" si="14"/>
        <v>0</v>
      </c>
      <c r="G204" t="s">
        <v>517</v>
      </c>
    </row>
    <row r="205" spans="1:7">
      <c r="A205" t="s">
        <v>497</v>
      </c>
      <c r="B205" t="s">
        <v>1092</v>
      </c>
      <c r="C205" t="str">
        <f t="shared" si="12"/>
        <v>.</v>
      </c>
      <c r="D205" t="str">
        <f t="shared" si="15"/>
        <v>format/topcoll:changecolour</v>
      </c>
      <c r="E205" t="str">
        <f t="shared" si="13"/>
        <v>mod/feedback:createprivatetemplate</v>
      </c>
      <c r="F205" t="b">
        <f t="shared" si="14"/>
        <v>0</v>
      </c>
      <c r="G205" t="s">
        <v>519</v>
      </c>
    </row>
    <row r="206" spans="1:7">
      <c r="A206" t="s">
        <v>499</v>
      </c>
      <c r="B206" t="s">
        <v>1094</v>
      </c>
      <c r="C206" t="str">
        <f t="shared" si="12"/>
        <v>.</v>
      </c>
      <c r="D206" t="str">
        <f t="shared" si="15"/>
        <v>format/topcoll:changelayout</v>
      </c>
      <c r="E206" t="str">
        <f t="shared" si="13"/>
        <v>mod/feedback:createpublictemplate</v>
      </c>
      <c r="F206" t="b">
        <f t="shared" si="14"/>
        <v>0</v>
      </c>
      <c r="G206" t="s">
        <v>519</v>
      </c>
    </row>
    <row r="207" spans="1:7">
      <c r="A207" t="s">
        <v>501</v>
      </c>
      <c r="B207" t="s">
        <v>1096</v>
      </c>
      <c r="C207" t="str">
        <f t="shared" si="12"/>
        <v>.</v>
      </c>
      <c r="D207" t="str">
        <f t="shared" si="15"/>
        <v>format/topcoll:changetogglealignment</v>
      </c>
      <c r="E207" t="str">
        <f t="shared" si="13"/>
        <v>mod/feedback:deletesubmissions</v>
      </c>
      <c r="F207" t="b">
        <f t="shared" si="14"/>
        <v>0</v>
      </c>
      <c r="G207" t="s">
        <v>521</v>
      </c>
    </row>
    <row r="208" spans="1:7">
      <c r="A208" t="s">
        <v>503</v>
      </c>
      <c r="B208" t="s">
        <v>1098</v>
      </c>
      <c r="C208" t="str">
        <f t="shared" si="12"/>
        <v>.</v>
      </c>
      <c r="D208" t="str">
        <f t="shared" si="15"/>
        <v>format/topcoll:changetoggleiconset</v>
      </c>
      <c r="E208" t="str">
        <f t="shared" si="13"/>
        <v>mod/feedback:deletetemplate</v>
      </c>
      <c r="F208" t="b">
        <f t="shared" si="14"/>
        <v>0</v>
      </c>
      <c r="G208" t="s">
        <v>521</v>
      </c>
    </row>
    <row r="209" spans="1:7">
      <c r="A209" t="s">
        <v>878</v>
      </c>
      <c r="B209" t="s">
        <v>1100</v>
      </c>
      <c r="C209" t="str">
        <f t="shared" si="12"/>
        <v>.</v>
      </c>
      <c r="D209" t="str">
        <f t="shared" si="15"/>
        <v>forumngfeature/usage:view</v>
      </c>
      <c r="E209" t="str">
        <f t="shared" si="13"/>
        <v>mod/feedback:edititems</v>
      </c>
      <c r="F209" t="b">
        <f t="shared" si="14"/>
        <v>0</v>
      </c>
      <c r="G209" t="s">
        <v>523</v>
      </c>
    </row>
    <row r="210" spans="1:7">
      <c r="A210" t="s">
        <v>880</v>
      </c>
      <c r="B210" t="s">
        <v>1102</v>
      </c>
      <c r="C210" t="str">
        <f t="shared" si="12"/>
        <v>.</v>
      </c>
      <c r="D210" t="str">
        <f t="shared" si="15"/>
        <v>forumngfeature/usage:viewflagged</v>
      </c>
      <c r="E210" t="str">
        <f t="shared" si="13"/>
        <v>mod/feedback:mapcourse</v>
      </c>
      <c r="F210" t="b">
        <f t="shared" si="14"/>
        <v>0</v>
      </c>
      <c r="G210" t="s">
        <v>523</v>
      </c>
    </row>
    <row r="211" spans="1:7">
      <c r="A211" t="s">
        <v>882</v>
      </c>
      <c r="B211" t="s">
        <v>1104</v>
      </c>
      <c r="C211" t="str">
        <f t="shared" si="12"/>
        <v>.</v>
      </c>
      <c r="D211" t="str">
        <f t="shared" si="15"/>
        <v>forumngfeature/usage:viewusage</v>
      </c>
      <c r="E211" t="str">
        <f t="shared" si="13"/>
        <v>mod/feedback:receivemail</v>
      </c>
      <c r="F211" t="b">
        <f t="shared" si="14"/>
        <v>0</v>
      </c>
      <c r="G211" t="s">
        <v>525</v>
      </c>
    </row>
    <row r="212" spans="1:7">
      <c r="A212" t="s">
        <v>884</v>
      </c>
      <c r="B212" t="s">
        <v>1106</v>
      </c>
      <c r="C212" t="str">
        <f t="shared" si="12"/>
        <v>.</v>
      </c>
      <c r="D212" t="str">
        <f t="shared" si="15"/>
        <v>forumngfeature/userposts:view</v>
      </c>
      <c r="E212" t="str">
        <f t="shared" si="13"/>
        <v>mod/feedback:view</v>
      </c>
      <c r="F212" t="b">
        <f t="shared" si="14"/>
        <v>0</v>
      </c>
      <c r="G212" t="s">
        <v>525</v>
      </c>
    </row>
    <row r="213" spans="1:7">
      <c r="A213" t="s">
        <v>505</v>
      </c>
      <c r="B213" t="s">
        <v>1108</v>
      </c>
      <c r="C213" t="str">
        <f t="shared" si="12"/>
        <v>.</v>
      </c>
      <c r="D213" t="str">
        <f t="shared" si="15"/>
        <v>gradeexport/checklist:view</v>
      </c>
      <c r="E213" t="str">
        <f t="shared" si="13"/>
        <v>mod/feedback:viewanalysepage</v>
      </c>
      <c r="F213" t="b">
        <f t="shared" si="14"/>
        <v>0</v>
      </c>
      <c r="G213" t="s">
        <v>527</v>
      </c>
    </row>
    <row r="214" spans="1:7">
      <c r="A214" t="s">
        <v>507</v>
      </c>
      <c r="B214" t="s">
        <v>1109</v>
      </c>
      <c r="C214" t="str">
        <f t="shared" si="12"/>
        <v>.</v>
      </c>
      <c r="D214" t="str">
        <f t="shared" si="15"/>
        <v>gradeexport/checklist:viewall</v>
      </c>
      <c r="E214" t="str">
        <f t="shared" si="13"/>
        <v>mod/feedback:viewreports</v>
      </c>
      <c r="F214" t="b">
        <f t="shared" si="14"/>
        <v>0</v>
      </c>
      <c r="G214" t="s">
        <v>527</v>
      </c>
    </row>
    <row r="215" spans="1:7">
      <c r="A215" t="s">
        <v>509</v>
      </c>
      <c r="B215" t="s">
        <v>596</v>
      </c>
      <c r="C215" t="str">
        <f t="shared" si="12"/>
        <v>.</v>
      </c>
      <c r="D215" t="str">
        <f t="shared" si="15"/>
        <v>gradeexport/checklist:viewdistrict</v>
      </c>
      <c r="E215" t="str">
        <f t="shared" si="13"/>
        <v>mod/folder:addinstance</v>
      </c>
      <c r="F215" t="b">
        <f t="shared" si="14"/>
        <v>0</v>
      </c>
      <c r="G215" t="s">
        <v>529</v>
      </c>
    </row>
    <row r="216" spans="1:7">
      <c r="A216" t="s">
        <v>511</v>
      </c>
      <c r="B216" t="s">
        <v>1111</v>
      </c>
      <c r="C216" t="str">
        <f t="shared" si="12"/>
        <v>.</v>
      </c>
      <c r="D216" t="str">
        <f t="shared" si="15"/>
        <v>.</v>
      </c>
      <c r="E216" t="str">
        <f t="shared" si="13"/>
        <v>mod/folder:managefiles</v>
      </c>
      <c r="F216" t="str">
        <f t="shared" si="14"/>
        <v>gradeexport/ods:publish</v>
      </c>
      <c r="G216" t="s">
        <v>529</v>
      </c>
    </row>
    <row r="217" spans="1:7">
      <c r="A217" t="s">
        <v>513</v>
      </c>
      <c r="B217" t="s">
        <v>159</v>
      </c>
      <c r="C217" t="str">
        <f t="shared" si="12"/>
        <v>.</v>
      </c>
      <c r="D217" t="str">
        <f t="shared" si="15"/>
        <v>.</v>
      </c>
      <c r="E217" t="str">
        <f t="shared" si="13"/>
        <v>mod/folder:view</v>
      </c>
      <c r="F217" t="str">
        <f t="shared" si="14"/>
        <v>gradeexport/ods:view</v>
      </c>
      <c r="G217" t="s">
        <v>531</v>
      </c>
    </row>
    <row r="218" spans="1:7">
      <c r="A218" t="s">
        <v>515</v>
      </c>
      <c r="B218" t="s">
        <v>598</v>
      </c>
      <c r="C218" t="str">
        <f t="shared" si="12"/>
        <v>.</v>
      </c>
      <c r="D218" t="str">
        <f t="shared" si="15"/>
        <v>.</v>
      </c>
      <c r="E218" t="str">
        <f t="shared" si="13"/>
        <v>mod/forum:addinstance</v>
      </c>
      <c r="F218" t="str">
        <f t="shared" si="14"/>
        <v>gradeexport/txt:publish</v>
      </c>
      <c r="G218" t="s">
        <v>531</v>
      </c>
    </row>
    <row r="219" spans="1:7">
      <c r="A219" t="s">
        <v>517</v>
      </c>
      <c r="B219" t="s">
        <v>1113</v>
      </c>
      <c r="C219" t="str">
        <f t="shared" si="12"/>
        <v>.</v>
      </c>
      <c r="D219" t="str">
        <f t="shared" si="15"/>
        <v>.</v>
      </c>
      <c r="E219" t="str">
        <f t="shared" si="13"/>
        <v>mod/forum:addnews</v>
      </c>
      <c r="F219" t="str">
        <f t="shared" si="14"/>
        <v>gradeexport/txt:view</v>
      </c>
      <c r="G219" t="s">
        <v>533</v>
      </c>
    </row>
    <row r="220" spans="1:7">
      <c r="A220" t="s">
        <v>519</v>
      </c>
      <c r="B220" t="s">
        <v>1115</v>
      </c>
      <c r="C220" t="str">
        <f t="shared" si="12"/>
        <v>.</v>
      </c>
      <c r="D220" t="str">
        <f t="shared" si="15"/>
        <v>.</v>
      </c>
      <c r="E220" t="str">
        <f t="shared" si="13"/>
        <v>mod/forum:addquestion</v>
      </c>
      <c r="F220" t="str">
        <f t="shared" si="14"/>
        <v>gradeexport/xls:publish</v>
      </c>
      <c r="G220" t="s">
        <v>533</v>
      </c>
    </row>
    <row r="221" spans="1:7">
      <c r="A221" t="s">
        <v>521</v>
      </c>
      <c r="B221" t="s">
        <v>1117</v>
      </c>
      <c r="C221" t="str">
        <f t="shared" si="12"/>
        <v>.</v>
      </c>
      <c r="D221" t="str">
        <f t="shared" si="15"/>
        <v>.</v>
      </c>
      <c r="E221" t="str">
        <f t="shared" si="13"/>
        <v>mod/forum:allowforcesubscribe</v>
      </c>
      <c r="F221" t="str">
        <f t="shared" si="14"/>
        <v>gradeexport/xls:view</v>
      </c>
      <c r="G221" t="s">
        <v>535</v>
      </c>
    </row>
    <row r="222" spans="1:7">
      <c r="A222" t="s">
        <v>523</v>
      </c>
      <c r="B222" t="s">
        <v>1119</v>
      </c>
      <c r="C222" t="str">
        <f t="shared" si="12"/>
        <v>.</v>
      </c>
      <c r="D222" t="str">
        <f t="shared" si="15"/>
        <v>.</v>
      </c>
      <c r="E222" t="str">
        <f t="shared" si="13"/>
        <v>mod/forum:createattachment</v>
      </c>
      <c r="F222" t="str">
        <f t="shared" si="14"/>
        <v>gradeexport/xml:publish</v>
      </c>
      <c r="G222" t="s">
        <v>535</v>
      </c>
    </row>
    <row r="223" spans="1:7">
      <c r="A223" t="s">
        <v>525</v>
      </c>
      <c r="B223" t="s">
        <v>1121</v>
      </c>
      <c r="C223" t="str">
        <f t="shared" si="12"/>
        <v>.</v>
      </c>
      <c r="D223" t="str">
        <f t="shared" si="15"/>
        <v>.</v>
      </c>
      <c r="E223" t="str">
        <f t="shared" si="13"/>
        <v>mod/forum:deleteanypost</v>
      </c>
      <c r="F223" t="str">
        <f t="shared" si="14"/>
        <v>gradeexport/xml:view</v>
      </c>
      <c r="G223" t="s">
        <v>537</v>
      </c>
    </row>
    <row r="224" spans="1:7">
      <c r="A224" t="s">
        <v>527</v>
      </c>
      <c r="B224" t="s">
        <v>1123</v>
      </c>
      <c r="C224" t="str">
        <f t="shared" si="12"/>
        <v>.</v>
      </c>
      <c r="D224" t="str">
        <f t="shared" si="15"/>
        <v>.</v>
      </c>
      <c r="E224" t="str">
        <f t="shared" si="13"/>
        <v>mod/forum:deleteownpost</v>
      </c>
      <c r="F224" t="str">
        <f t="shared" si="14"/>
        <v>gradeimport/csv:view</v>
      </c>
      <c r="G224" t="s">
        <v>537</v>
      </c>
    </row>
    <row r="225" spans="1:7">
      <c r="A225" t="s">
        <v>529</v>
      </c>
      <c r="B225" t="s">
        <v>1125</v>
      </c>
      <c r="C225" t="str">
        <f t="shared" si="12"/>
        <v>.</v>
      </c>
      <c r="D225" t="str">
        <f t="shared" si="15"/>
        <v>.</v>
      </c>
      <c r="E225" t="str">
        <f t="shared" si="13"/>
        <v>mod/forum:editanypost</v>
      </c>
      <c r="F225" t="str">
        <f t="shared" si="14"/>
        <v>gradeimport/xml:publish</v>
      </c>
      <c r="G225" t="s">
        <v>539</v>
      </c>
    </row>
    <row r="226" spans="1:7">
      <c r="A226" t="s">
        <v>531</v>
      </c>
      <c r="B226" t="s">
        <v>1127</v>
      </c>
      <c r="C226" t="str">
        <f t="shared" si="12"/>
        <v>.</v>
      </c>
      <c r="D226" t="str">
        <f t="shared" si="15"/>
        <v>.</v>
      </c>
      <c r="E226" t="str">
        <f t="shared" si="13"/>
        <v>mod/forum:exportdiscussion</v>
      </c>
      <c r="F226" t="str">
        <f t="shared" si="14"/>
        <v>gradeimport/xml:view</v>
      </c>
      <c r="G226" t="s">
        <v>539</v>
      </c>
    </row>
    <row r="227" spans="1:7">
      <c r="A227" t="s">
        <v>533</v>
      </c>
      <c r="B227" t="s">
        <v>1129</v>
      </c>
      <c r="C227" t="str">
        <f t="shared" si="12"/>
        <v>.</v>
      </c>
      <c r="D227" t="str">
        <f t="shared" si="15"/>
        <v>.</v>
      </c>
      <c r="E227" t="str">
        <f t="shared" si="13"/>
        <v>mod/forum:exportownpost</v>
      </c>
      <c r="F227" t="str">
        <f t="shared" si="14"/>
        <v>gradereport/grader:view</v>
      </c>
      <c r="G227" t="s">
        <v>549</v>
      </c>
    </row>
    <row r="228" spans="1:7">
      <c r="A228" t="s">
        <v>535</v>
      </c>
      <c r="B228" t="s">
        <v>1131</v>
      </c>
      <c r="C228" t="str">
        <f t="shared" si="12"/>
        <v>.</v>
      </c>
      <c r="D228" t="str">
        <f t="shared" si="15"/>
        <v>.</v>
      </c>
      <c r="E228" t="str">
        <f t="shared" si="13"/>
        <v>mod/forum:exportpost</v>
      </c>
      <c r="F228" t="str">
        <f t="shared" si="14"/>
        <v>gradereport/outcomes:view</v>
      </c>
      <c r="G228" t="s">
        <v>549</v>
      </c>
    </row>
    <row r="229" spans="1:7">
      <c r="A229" t="s">
        <v>537</v>
      </c>
      <c r="B229" t="s">
        <v>1133</v>
      </c>
      <c r="C229" t="str">
        <f t="shared" si="12"/>
        <v>.</v>
      </c>
      <c r="D229" t="str">
        <f t="shared" si="15"/>
        <v>.</v>
      </c>
      <c r="E229" t="str">
        <f t="shared" si="13"/>
        <v>mod/forum:managesubscriptions</v>
      </c>
      <c r="F229" t="str">
        <f t="shared" si="14"/>
        <v>gradereport/overview:view</v>
      </c>
      <c r="G229" t="s">
        <v>894</v>
      </c>
    </row>
    <row r="230" spans="1:7">
      <c r="A230" t="s">
        <v>539</v>
      </c>
      <c r="B230" t="s">
        <v>1135</v>
      </c>
      <c r="C230" t="str">
        <f t="shared" si="12"/>
        <v>.</v>
      </c>
      <c r="D230" t="str">
        <f t="shared" si="15"/>
        <v>.</v>
      </c>
      <c r="E230" t="str">
        <f t="shared" si="13"/>
        <v>mod/forum:movediscussions</v>
      </c>
      <c r="F230" t="str">
        <f t="shared" si="14"/>
        <v>gradereport/user:view</v>
      </c>
      <c r="G230" t="s">
        <v>894</v>
      </c>
    </row>
    <row r="231" spans="1:7">
      <c r="A231" t="s">
        <v>317</v>
      </c>
      <c r="B231" t="s">
        <v>1137</v>
      </c>
      <c r="C231" t="str">
        <f t="shared" si="12"/>
        <v>.</v>
      </c>
      <c r="D231" t="str">
        <f t="shared" si="15"/>
        <v>local/bulk_mnet_enrol:enrolusers</v>
      </c>
      <c r="E231" t="str">
        <f t="shared" si="13"/>
        <v>mod/forum:postwithoutthrottling</v>
      </c>
      <c r="F231" t="b">
        <f t="shared" si="14"/>
        <v>0</v>
      </c>
      <c r="G231" t="s">
        <v>896</v>
      </c>
    </row>
    <row r="232" spans="1:7">
      <c r="A232" t="s">
        <v>79</v>
      </c>
      <c r="B232" t="s">
        <v>1139</v>
      </c>
      <c r="C232" t="str">
        <f t="shared" si="12"/>
        <v>.</v>
      </c>
      <c r="D232" t="str">
        <f t="shared" si="15"/>
        <v>local/ombiel_webservices:allowtokenlogin</v>
      </c>
      <c r="E232" t="str">
        <f t="shared" si="13"/>
        <v>mod/forum:rate</v>
      </c>
      <c r="F232" t="b">
        <f t="shared" si="14"/>
        <v>0</v>
      </c>
      <c r="G232" t="s">
        <v>896</v>
      </c>
    </row>
    <row r="233" spans="1:7">
      <c r="A233" t="s">
        <v>81</v>
      </c>
      <c r="B233" t="s">
        <v>1141</v>
      </c>
      <c r="C233" t="str">
        <f t="shared" si="12"/>
        <v>.</v>
      </c>
      <c r="D233" t="str">
        <f t="shared" si="15"/>
        <v>local/ombiel_webservices:createtimelimitedtoken</v>
      </c>
      <c r="E233" t="str">
        <f t="shared" si="13"/>
        <v>mod/forum:replynews</v>
      </c>
      <c r="F233" t="b">
        <f t="shared" si="14"/>
        <v>0</v>
      </c>
      <c r="G233" t="s">
        <v>898</v>
      </c>
    </row>
    <row r="234" spans="1:7">
      <c r="A234" t="s">
        <v>541</v>
      </c>
      <c r="B234" t="s">
        <v>1143</v>
      </c>
      <c r="C234" t="str">
        <f t="shared" si="12"/>
        <v>.</v>
      </c>
      <c r="D234" t="str">
        <f t="shared" si="15"/>
        <v>mod/adaptivequiz:addinstance</v>
      </c>
      <c r="E234" t="str">
        <f t="shared" si="13"/>
        <v>mod/forum:replypost</v>
      </c>
      <c r="F234" t="b">
        <f t="shared" si="14"/>
        <v>0</v>
      </c>
      <c r="G234" t="s">
        <v>898</v>
      </c>
    </row>
    <row r="235" spans="1:7">
      <c r="A235" t="s">
        <v>886</v>
      </c>
      <c r="B235" t="s">
        <v>1145</v>
      </c>
      <c r="C235" t="str">
        <f t="shared" si="12"/>
        <v>.</v>
      </c>
      <c r="D235" t="str">
        <f t="shared" si="15"/>
        <v>mod/adaptivequiz:attempt</v>
      </c>
      <c r="E235" t="str">
        <f t="shared" si="13"/>
        <v>mod/forum:splitdiscussions</v>
      </c>
      <c r="F235" t="b">
        <f t="shared" si="14"/>
        <v>0</v>
      </c>
      <c r="G235" t="s">
        <v>900</v>
      </c>
    </row>
    <row r="236" spans="1:7">
      <c r="A236" t="s">
        <v>543</v>
      </c>
      <c r="B236" t="s">
        <v>1147</v>
      </c>
      <c r="C236" t="str">
        <f t="shared" si="12"/>
        <v>.</v>
      </c>
      <c r="D236" t="str">
        <f t="shared" si="15"/>
        <v>mod/adaptivequiz:reviewattempts</v>
      </c>
      <c r="E236" t="str">
        <f t="shared" si="13"/>
        <v>mod/forum:startdiscussion</v>
      </c>
      <c r="F236" t="b">
        <f t="shared" si="14"/>
        <v>0</v>
      </c>
      <c r="G236" t="s">
        <v>900</v>
      </c>
    </row>
    <row r="237" spans="1:7">
      <c r="A237" t="s">
        <v>545</v>
      </c>
      <c r="B237" t="s">
        <v>1148</v>
      </c>
      <c r="C237" t="str">
        <f t="shared" si="12"/>
        <v>.</v>
      </c>
      <c r="D237" t="str">
        <f t="shared" si="15"/>
        <v>mod/adaptivequiz:viewreport</v>
      </c>
      <c r="E237" t="str">
        <f t="shared" si="13"/>
        <v>mod/forum:viewallratings</v>
      </c>
      <c r="F237" t="b">
        <f t="shared" si="14"/>
        <v>0</v>
      </c>
      <c r="G237" t="s">
        <v>902</v>
      </c>
    </row>
    <row r="238" spans="1:7">
      <c r="A238" t="s">
        <v>547</v>
      </c>
      <c r="B238" t="s">
        <v>1149</v>
      </c>
      <c r="C238" t="str">
        <f t="shared" si="12"/>
        <v>.</v>
      </c>
      <c r="D238" t="str">
        <f t="shared" si="15"/>
        <v>mod/adobeconnect:addinstance</v>
      </c>
      <c r="E238" t="str">
        <f t="shared" si="13"/>
        <v>mod/forum:viewanyrating</v>
      </c>
      <c r="F238" t="b">
        <f t="shared" si="14"/>
        <v>0</v>
      </c>
      <c r="G238" t="s">
        <v>902</v>
      </c>
    </row>
    <row r="239" spans="1:7">
      <c r="A239" t="s">
        <v>888</v>
      </c>
      <c r="B239" t="s">
        <v>1151</v>
      </c>
      <c r="C239" t="str">
        <f t="shared" si="12"/>
        <v>.</v>
      </c>
      <c r="D239" t="str">
        <f t="shared" si="15"/>
        <v>mod/adobeconnect:meetinghost</v>
      </c>
      <c r="E239" t="str">
        <f t="shared" si="13"/>
        <v>mod/forum:viewdiscussion</v>
      </c>
      <c r="F239" t="b">
        <f t="shared" si="14"/>
        <v>0</v>
      </c>
      <c r="G239" t="s">
        <v>904</v>
      </c>
    </row>
    <row r="240" spans="1:7">
      <c r="A240" t="s">
        <v>890</v>
      </c>
      <c r="B240" t="s">
        <v>1153</v>
      </c>
      <c r="C240" t="str">
        <f t="shared" si="12"/>
        <v>.</v>
      </c>
      <c r="D240" t="str">
        <f t="shared" si="15"/>
        <v>mod/adobeconnect:meetingparticipant</v>
      </c>
      <c r="E240" t="str">
        <f t="shared" si="13"/>
        <v>mod/forum:viewhiddentimedposts</v>
      </c>
      <c r="F240" t="b">
        <f t="shared" si="14"/>
        <v>0</v>
      </c>
      <c r="G240" t="s">
        <v>904</v>
      </c>
    </row>
    <row r="241" spans="1:7">
      <c r="A241" t="s">
        <v>892</v>
      </c>
      <c r="B241" t="s">
        <v>1155</v>
      </c>
      <c r="C241" t="str">
        <f t="shared" si="12"/>
        <v>.</v>
      </c>
      <c r="D241" t="str">
        <f t="shared" si="15"/>
        <v>mod/adobeconnect:meetingpresenter</v>
      </c>
      <c r="E241" t="str">
        <f t="shared" si="13"/>
        <v>mod/forum:viewqandawithoutposting</v>
      </c>
      <c r="F241" t="b">
        <f t="shared" si="14"/>
        <v>0</v>
      </c>
      <c r="G241" t="s">
        <v>906</v>
      </c>
    </row>
    <row r="242" spans="1:7">
      <c r="A242" t="s">
        <v>549</v>
      </c>
      <c r="B242" t="s">
        <v>1156</v>
      </c>
      <c r="C242" t="str">
        <f t="shared" si="12"/>
        <v>.</v>
      </c>
      <c r="D242" t="str">
        <f t="shared" si="15"/>
        <v>.</v>
      </c>
      <c r="E242" t="str">
        <f t="shared" si="13"/>
        <v>mod/forum:viewrating</v>
      </c>
      <c r="F242" t="str">
        <f t="shared" si="14"/>
        <v>mod/assign:addinstance</v>
      </c>
      <c r="G242" t="s">
        <v>906</v>
      </c>
    </row>
    <row r="243" spans="1:7">
      <c r="A243" t="s">
        <v>894</v>
      </c>
      <c r="B243" t="s">
        <v>1158</v>
      </c>
      <c r="C243" t="str">
        <f t="shared" si="12"/>
        <v>.</v>
      </c>
      <c r="D243" t="str">
        <f t="shared" si="15"/>
        <v>.</v>
      </c>
      <c r="E243" t="str">
        <f t="shared" si="13"/>
        <v>mod/forum:viewsubscribers</v>
      </c>
      <c r="F243" t="str">
        <f t="shared" si="14"/>
        <v>mod/assign:exportownsubmission</v>
      </c>
      <c r="G243" t="s">
        <v>908</v>
      </c>
    </row>
    <row r="244" spans="1:7">
      <c r="A244" t="s">
        <v>896</v>
      </c>
      <c r="B244" t="s">
        <v>602</v>
      </c>
      <c r="C244" t="str">
        <f t="shared" si="12"/>
        <v>.</v>
      </c>
      <c r="D244" t="str">
        <f t="shared" si="15"/>
        <v>.</v>
      </c>
      <c r="E244" t="str">
        <f t="shared" si="13"/>
        <v>mod/glossary:addinstance</v>
      </c>
      <c r="F244" t="str">
        <f t="shared" si="14"/>
        <v>mod/assign:grade</v>
      </c>
      <c r="G244" t="s">
        <v>908</v>
      </c>
    </row>
    <row r="245" spans="1:7">
      <c r="A245" t="s">
        <v>898</v>
      </c>
      <c r="B245" t="s">
        <v>1199</v>
      </c>
      <c r="C245" t="str">
        <f t="shared" si="12"/>
        <v>.</v>
      </c>
      <c r="D245" t="str">
        <f t="shared" si="15"/>
        <v>.</v>
      </c>
      <c r="E245" t="str">
        <f t="shared" si="13"/>
        <v>mod/glossary:approve</v>
      </c>
      <c r="F245" t="str">
        <f t="shared" si="14"/>
        <v>mod/assign:grantextension</v>
      </c>
      <c r="G245" t="s">
        <v>910</v>
      </c>
    </row>
    <row r="246" spans="1:7">
      <c r="A246" t="s">
        <v>900</v>
      </c>
      <c r="B246" t="s">
        <v>1201</v>
      </c>
      <c r="C246" t="str">
        <f t="shared" si="12"/>
        <v>.</v>
      </c>
      <c r="D246" t="str">
        <f t="shared" si="15"/>
        <v>.</v>
      </c>
      <c r="E246" t="str">
        <f t="shared" si="13"/>
        <v>mod/glossary:comment</v>
      </c>
      <c r="F246" t="str">
        <f t="shared" si="14"/>
        <v>mod/assign:manageallocations</v>
      </c>
      <c r="G246" t="s">
        <v>910</v>
      </c>
    </row>
    <row r="247" spans="1:7">
      <c r="A247" t="s">
        <v>902</v>
      </c>
      <c r="B247" t="s">
        <v>1203</v>
      </c>
      <c r="C247" t="str">
        <f t="shared" si="12"/>
        <v>.</v>
      </c>
      <c r="D247" t="str">
        <f t="shared" si="15"/>
        <v>.</v>
      </c>
      <c r="E247" t="str">
        <f t="shared" si="13"/>
        <v>mod/glossary:export</v>
      </c>
      <c r="F247" t="str">
        <f t="shared" si="14"/>
        <v>mod/assign:managegrades</v>
      </c>
      <c r="G247" t="s">
        <v>912</v>
      </c>
    </row>
    <row r="248" spans="1:7">
      <c r="A248" t="s">
        <v>904</v>
      </c>
      <c r="B248" t="s">
        <v>1205</v>
      </c>
      <c r="C248" t="str">
        <f t="shared" si="12"/>
        <v>.</v>
      </c>
      <c r="D248" t="str">
        <f t="shared" si="15"/>
        <v>.</v>
      </c>
      <c r="E248" t="str">
        <f t="shared" si="13"/>
        <v>mod/glossary:exportentry</v>
      </c>
      <c r="F248" t="str">
        <f t="shared" si="14"/>
        <v>mod/assign:releasegrades</v>
      </c>
      <c r="G248" t="s">
        <v>912</v>
      </c>
    </row>
    <row r="249" spans="1:7">
      <c r="A249" t="s">
        <v>906</v>
      </c>
      <c r="B249" t="s">
        <v>1207</v>
      </c>
      <c r="C249" t="str">
        <f t="shared" si="12"/>
        <v>.</v>
      </c>
      <c r="D249" t="str">
        <f t="shared" si="15"/>
        <v>.</v>
      </c>
      <c r="E249" t="str">
        <f t="shared" si="13"/>
        <v>mod/glossary:exportownentry</v>
      </c>
      <c r="F249" t="str">
        <f t="shared" si="14"/>
        <v>mod/assign:revealidentities</v>
      </c>
      <c r="G249" t="s">
        <v>550</v>
      </c>
    </row>
    <row r="250" spans="1:7">
      <c r="A250" t="s">
        <v>908</v>
      </c>
      <c r="B250" t="s">
        <v>1209</v>
      </c>
      <c r="C250" t="str">
        <f t="shared" si="12"/>
        <v>.</v>
      </c>
      <c r="D250" t="str">
        <f t="shared" si="15"/>
        <v>.</v>
      </c>
      <c r="E250" t="str">
        <f t="shared" si="13"/>
        <v>mod/glossary:import</v>
      </c>
      <c r="F250" t="str">
        <f t="shared" si="14"/>
        <v>mod/assign:reviewgrades</v>
      </c>
      <c r="G250" t="s">
        <v>550</v>
      </c>
    </row>
    <row r="251" spans="1:7">
      <c r="A251" t="s">
        <v>910</v>
      </c>
      <c r="B251" t="s">
        <v>1210</v>
      </c>
      <c r="C251" t="str">
        <f t="shared" si="12"/>
        <v>.</v>
      </c>
      <c r="D251" t="str">
        <f t="shared" si="15"/>
        <v>.</v>
      </c>
      <c r="E251" t="str">
        <f t="shared" si="13"/>
        <v>mod/glossary:managecategories</v>
      </c>
      <c r="F251" t="str">
        <f t="shared" si="14"/>
        <v>mod/assign:submit</v>
      </c>
      <c r="G251" t="s">
        <v>913</v>
      </c>
    </row>
    <row r="252" spans="1:7">
      <c r="A252" t="s">
        <v>912</v>
      </c>
      <c r="B252" t="s">
        <v>1211</v>
      </c>
      <c r="C252" t="str">
        <f t="shared" si="12"/>
        <v>.</v>
      </c>
      <c r="D252" t="str">
        <f t="shared" si="15"/>
        <v>.</v>
      </c>
      <c r="E252" t="str">
        <f t="shared" si="13"/>
        <v>mod/glossary:managecomments</v>
      </c>
      <c r="F252" t="str">
        <f t="shared" si="14"/>
        <v>mod/assign:view</v>
      </c>
      <c r="G252" t="s">
        <v>913</v>
      </c>
    </row>
    <row r="253" spans="1:7">
      <c r="A253" t="s">
        <v>550</v>
      </c>
      <c r="B253" t="s">
        <v>1212</v>
      </c>
      <c r="C253" t="str">
        <f t="shared" si="12"/>
        <v>.</v>
      </c>
      <c r="D253" t="str">
        <f t="shared" si="15"/>
        <v>.</v>
      </c>
      <c r="E253" t="str">
        <f t="shared" si="13"/>
        <v>mod/glossary:manageentries</v>
      </c>
      <c r="F253" t="str">
        <f t="shared" si="14"/>
        <v>mod/assignment:addinstance</v>
      </c>
      <c r="G253" t="s">
        <v>914</v>
      </c>
    </row>
    <row r="254" spans="1:7">
      <c r="A254" t="s">
        <v>913</v>
      </c>
      <c r="B254" t="s">
        <v>1213</v>
      </c>
      <c r="C254" t="str">
        <f t="shared" si="12"/>
        <v>.</v>
      </c>
      <c r="D254" t="str">
        <f t="shared" si="15"/>
        <v>.</v>
      </c>
      <c r="E254" t="str">
        <f t="shared" si="13"/>
        <v>mod/glossary:rate</v>
      </c>
      <c r="F254" t="str">
        <f t="shared" si="14"/>
        <v>mod/assignment:exportownsubmission</v>
      </c>
      <c r="G254" t="s">
        <v>914</v>
      </c>
    </row>
    <row r="255" spans="1:7">
      <c r="A255" t="s">
        <v>914</v>
      </c>
      <c r="B255" t="s">
        <v>1215</v>
      </c>
      <c r="C255" t="str">
        <f t="shared" si="12"/>
        <v>.</v>
      </c>
      <c r="D255" t="str">
        <f t="shared" si="15"/>
        <v>.</v>
      </c>
      <c r="E255" t="str">
        <f t="shared" si="13"/>
        <v>mod/glossary:view</v>
      </c>
      <c r="F255" t="str">
        <f t="shared" si="14"/>
        <v>mod/assignment:grade</v>
      </c>
      <c r="G255" t="s">
        <v>915</v>
      </c>
    </row>
    <row r="256" spans="1:7">
      <c r="A256" t="s">
        <v>915</v>
      </c>
      <c r="B256" t="s">
        <v>1216</v>
      </c>
      <c r="C256" t="str">
        <f t="shared" si="12"/>
        <v>.</v>
      </c>
      <c r="D256" t="str">
        <f t="shared" si="15"/>
        <v>.</v>
      </c>
      <c r="E256" t="str">
        <f t="shared" si="13"/>
        <v>mod/glossary:viewallratings</v>
      </c>
      <c r="F256" t="str">
        <f t="shared" si="14"/>
        <v>mod/assignment:submit</v>
      </c>
      <c r="G256" t="s">
        <v>915</v>
      </c>
    </row>
    <row r="257" spans="1:7">
      <c r="A257" t="s">
        <v>916</v>
      </c>
      <c r="B257" t="s">
        <v>1217</v>
      </c>
      <c r="C257" t="str">
        <f t="shared" si="12"/>
        <v>.</v>
      </c>
      <c r="D257" t="str">
        <f t="shared" si="15"/>
        <v>.</v>
      </c>
      <c r="E257" t="str">
        <f t="shared" si="13"/>
        <v>mod/glossary:viewanyrating</v>
      </c>
      <c r="F257" t="str">
        <f t="shared" si="14"/>
        <v>mod/assignment:view</v>
      </c>
      <c r="G257" t="s">
        <v>916</v>
      </c>
    </row>
    <row r="258" spans="1:7">
      <c r="A258" t="s">
        <v>552</v>
      </c>
      <c r="B258" t="s">
        <v>1218</v>
      </c>
      <c r="C258" t="str">
        <f t="shared" si="12"/>
        <v>.</v>
      </c>
      <c r="D258" t="str">
        <f t="shared" si="15"/>
        <v>mod/attendance:addinstance</v>
      </c>
      <c r="E258" t="str">
        <f t="shared" si="13"/>
        <v>mod/glossary:viewrating</v>
      </c>
      <c r="F258" t="b">
        <f t="shared" si="14"/>
        <v>0</v>
      </c>
      <c r="G258" t="s">
        <v>916</v>
      </c>
    </row>
    <row r="259" spans="1:7">
      <c r="A259" t="s">
        <v>918</v>
      </c>
      <c r="B259" t="s">
        <v>1220</v>
      </c>
      <c r="C259" t="str">
        <f t="shared" ref="C259:C322" si="16">IF(VLOOKUP(B259,$A$2:$A$873,1)=B259,".",B259)</f>
        <v>.</v>
      </c>
      <c r="D259" t="str">
        <f t="shared" si="15"/>
        <v>mod/attendance:canbelisted</v>
      </c>
      <c r="E259" t="str">
        <f t="shared" ref="E259:E322" si="17">IF(C259=".",B259)</f>
        <v>mod/glossary:write</v>
      </c>
      <c r="F259" t="b">
        <f t="shared" si="14"/>
        <v>0</v>
      </c>
      <c r="G259" t="s">
        <v>558</v>
      </c>
    </row>
    <row r="260" spans="1:7">
      <c r="A260" t="s">
        <v>920</v>
      </c>
      <c r="B260" t="s">
        <v>604</v>
      </c>
      <c r="C260" t="str">
        <f t="shared" si="16"/>
        <v>.</v>
      </c>
      <c r="D260" t="str">
        <f t="shared" si="15"/>
        <v>mod/attendance:changeattendances</v>
      </c>
      <c r="E260" t="str">
        <f t="shared" si="17"/>
        <v>mod/hotpot:addinstance</v>
      </c>
      <c r="F260" t="b">
        <f t="shared" ref="F260:F323" si="18">IF(D260=".",A260)</f>
        <v>0</v>
      </c>
      <c r="G260" t="s">
        <v>558</v>
      </c>
    </row>
    <row r="261" spans="1:7">
      <c r="A261" t="s">
        <v>922</v>
      </c>
      <c r="B261" t="s">
        <v>1222</v>
      </c>
      <c r="C261" t="str">
        <f t="shared" si="16"/>
        <v>.</v>
      </c>
      <c r="D261" t="str">
        <f t="shared" si="15"/>
        <v>mod/attendance:changepreferences</v>
      </c>
      <c r="E261" t="str">
        <f t="shared" si="17"/>
        <v>mod/hotpot:attempt</v>
      </c>
      <c r="F261" t="b">
        <f t="shared" si="18"/>
        <v>0</v>
      </c>
      <c r="G261" t="s">
        <v>948</v>
      </c>
    </row>
    <row r="262" spans="1:7">
      <c r="A262" t="s">
        <v>924</v>
      </c>
      <c r="B262" t="s">
        <v>1224</v>
      </c>
      <c r="C262" t="str">
        <f t="shared" si="16"/>
        <v>.</v>
      </c>
      <c r="D262" t="str">
        <f t="shared" si="15"/>
        <v>mod/attendance:export</v>
      </c>
      <c r="E262" t="str">
        <f t="shared" si="17"/>
        <v>mod/hotpot:deleteallattempts</v>
      </c>
      <c r="F262" t="b">
        <f t="shared" si="18"/>
        <v>0</v>
      </c>
      <c r="G262" t="s">
        <v>948</v>
      </c>
    </row>
    <row r="263" spans="1:7">
      <c r="A263" t="s">
        <v>926</v>
      </c>
      <c r="B263" t="s">
        <v>1226</v>
      </c>
      <c r="C263" t="str">
        <f t="shared" si="16"/>
        <v>.</v>
      </c>
      <c r="D263" t="str">
        <f t="shared" si="15"/>
        <v>mod/attendance:manageattendances</v>
      </c>
      <c r="E263" t="str">
        <f t="shared" si="17"/>
        <v>mod/hotpot:deletemyattempts</v>
      </c>
      <c r="F263" t="b">
        <f t="shared" si="18"/>
        <v>0</v>
      </c>
      <c r="G263" t="s">
        <v>950</v>
      </c>
    </row>
    <row r="264" spans="1:7">
      <c r="A264" t="s">
        <v>928</v>
      </c>
      <c r="B264" t="s">
        <v>1228</v>
      </c>
      <c r="C264" t="str">
        <f t="shared" si="16"/>
        <v>.</v>
      </c>
      <c r="D264" t="str">
        <f t="shared" ref="D264:D327" si="19">IF(VLOOKUP(A264,$B$2:$B$631,1)=A264,".",A264)</f>
        <v>mod/attendance:takeattendances</v>
      </c>
      <c r="E264" t="str">
        <f t="shared" si="17"/>
        <v>mod/hotpot:manage</v>
      </c>
      <c r="F264" t="b">
        <f t="shared" si="18"/>
        <v>0</v>
      </c>
      <c r="G264" t="s">
        <v>950</v>
      </c>
    </row>
    <row r="265" spans="1:7">
      <c r="A265" t="s">
        <v>930</v>
      </c>
      <c r="B265" t="s">
        <v>1230</v>
      </c>
      <c r="C265" t="str">
        <f t="shared" si="16"/>
        <v>.</v>
      </c>
      <c r="D265" t="str">
        <f t="shared" si="19"/>
        <v>mod/attendance:view</v>
      </c>
      <c r="E265" t="str">
        <f t="shared" si="17"/>
        <v>mod/hotpot:preview</v>
      </c>
      <c r="F265" t="b">
        <f t="shared" si="18"/>
        <v>0</v>
      </c>
      <c r="G265" t="s">
        <v>952</v>
      </c>
    </row>
    <row r="266" spans="1:7">
      <c r="A266" t="s">
        <v>932</v>
      </c>
      <c r="B266" t="s">
        <v>1232</v>
      </c>
      <c r="C266" t="str">
        <f t="shared" si="16"/>
        <v>.</v>
      </c>
      <c r="D266" t="str">
        <f t="shared" si="19"/>
        <v>mod/attendance:viewreports</v>
      </c>
      <c r="E266" t="str">
        <f t="shared" si="17"/>
        <v>mod/hotpot:reviewallattempts</v>
      </c>
      <c r="F266" t="b">
        <f t="shared" si="18"/>
        <v>0</v>
      </c>
      <c r="G266" t="s">
        <v>952</v>
      </c>
    </row>
    <row r="267" spans="1:7">
      <c r="A267" t="s">
        <v>554</v>
      </c>
      <c r="B267" t="s">
        <v>1234</v>
      </c>
      <c r="C267" t="str">
        <f t="shared" si="16"/>
        <v>.</v>
      </c>
      <c r="D267" t="str">
        <f t="shared" si="19"/>
        <v>mod/attendanceregister:addinstance</v>
      </c>
      <c r="E267" t="str">
        <f t="shared" si="17"/>
        <v>mod/hotpot:reviewmyattempts</v>
      </c>
      <c r="F267" t="b">
        <f t="shared" si="18"/>
        <v>0</v>
      </c>
      <c r="G267" t="s">
        <v>562</v>
      </c>
    </row>
    <row r="268" spans="1:7">
      <c r="A268" t="s">
        <v>934</v>
      </c>
      <c r="B268" t="s">
        <v>1236</v>
      </c>
      <c r="C268" t="str">
        <f t="shared" si="16"/>
        <v>.</v>
      </c>
      <c r="D268" t="str">
        <f t="shared" si="19"/>
        <v>mod/attendanceregister:addotherofflinesess</v>
      </c>
      <c r="E268" t="str">
        <f t="shared" si="17"/>
        <v>mod/hotpot:view</v>
      </c>
      <c r="F268" t="b">
        <f t="shared" si="18"/>
        <v>0</v>
      </c>
      <c r="G268" t="s">
        <v>562</v>
      </c>
    </row>
    <row r="269" spans="1:7">
      <c r="A269" t="s">
        <v>936</v>
      </c>
      <c r="B269" t="s">
        <v>1744</v>
      </c>
      <c r="C269" t="str">
        <f t="shared" si="16"/>
        <v>mod/hotquestion:addinstance</v>
      </c>
      <c r="D269" t="str">
        <f t="shared" si="19"/>
        <v>mod/attendanceregister:addownofflinesess</v>
      </c>
      <c r="E269" t="b">
        <f t="shared" si="17"/>
        <v>0</v>
      </c>
      <c r="F269" t="b">
        <f t="shared" si="18"/>
        <v>0</v>
      </c>
      <c r="G269" t="s">
        <v>966</v>
      </c>
    </row>
    <row r="270" spans="1:7">
      <c r="A270" t="s">
        <v>938</v>
      </c>
      <c r="B270" t="s">
        <v>1750</v>
      </c>
      <c r="C270" t="str">
        <f t="shared" si="16"/>
        <v>mod/hotquestion:ask</v>
      </c>
      <c r="D270" t="str">
        <f t="shared" si="19"/>
        <v>mod/attendanceregister:deleteotherofflinesess</v>
      </c>
      <c r="E270" t="b">
        <f t="shared" si="17"/>
        <v>0</v>
      </c>
      <c r="F270" t="b">
        <f t="shared" si="18"/>
        <v>0</v>
      </c>
      <c r="G270" t="s">
        <v>966</v>
      </c>
    </row>
    <row r="271" spans="1:7">
      <c r="A271" t="s">
        <v>940</v>
      </c>
      <c r="B271" t="s">
        <v>1752</v>
      </c>
      <c r="C271" t="str">
        <f t="shared" si="16"/>
        <v>mod/hotquestion:manage</v>
      </c>
      <c r="D271" t="str">
        <f t="shared" si="19"/>
        <v>mod/attendanceregister:deleteownofflinesess</v>
      </c>
      <c r="E271" t="b">
        <f t="shared" si="17"/>
        <v>0</v>
      </c>
      <c r="F271" t="b">
        <f t="shared" si="18"/>
        <v>0</v>
      </c>
      <c r="G271" t="s">
        <v>968</v>
      </c>
    </row>
    <row r="272" spans="1:7">
      <c r="A272" t="s">
        <v>942</v>
      </c>
      <c r="B272" t="s">
        <v>1754</v>
      </c>
      <c r="C272" t="str">
        <f t="shared" si="16"/>
        <v>mod/hotquestion:view</v>
      </c>
      <c r="D272" t="str">
        <f t="shared" si="19"/>
        <v>mod/attendanceregister:recalcsessions</v>
      </c>
      <c r="E272" t="b">
        <f t="shared" si="17"/>
        <v>0</v>
      </c>
      <c r="F272" t="b">
        <f t="shared" si="18"/>
        <v>0</v>
      </c>
      <c r="G272" t="s">
        <v>968</v>
      </c>
    </row>
    <row r="273" spans="1:7">
      <c r="A273" t="s">
        <v>556</v>
      </c>
      <c r="B273" t="s">
        <v>1756</v>
      </c>
      <c r="C273" t="str">
        <f t="shared" si="16"/>
        <v>mod/hotquestion:vote</v>
      </c>
      <c r="D273" t="str">
        <f t="shared" si="19"/>
        <v>mod/attendanceregister:tracked</v>
      </c>
      <c r="E273" t="b">
        <f t="shared" si="17"/>
        <v>0</v>
      </c>
      <c r="F273" t="b">
        <f t="shared" si="18"/>
        <v>0</v>
      </c>
      <c r="G273" t="s">
        <v>970</v>
      </c>
    </row>
    <row r="274" spans="1:7">
      <c r="A274" t="s">
        <v>944</v>
      </c>
      <c r="B274" t="s">
        <v>605</v>
      </c>
      <c r="C274" t="str">
        <f t="shared" si="16"/>
        <v>.</v>
      </c>
      <c r="D274" t="str">
        <f t="shared" si="19"/>
        <v>mod/attendanceregister:viewotherregisters</v>
      </c>
      <c r="E274" t="str">
        <f t="shared" si="17"/>
        <v>mod/hsuforum:addinstance</v>
      </c>
      <c r="F274" t="b">
        <f t="shared" si="18"/>
        <v>0</v>
      </c>
      <c r="G274" t="s">
        <v>970</v>
      </c>
    </row>
    <row r="275" spans="1:7">
      <c r="A275" t="s">
        <v>946</v>
      </c>
      <c r="B275" t="s">
        <v>1237</v>
      </c>
      <c r="C275" t="str">
        <f t="shared" si="16"/>
        <v>.</v>
      </c>
      <c r="D275" t="str">
        <f t="shared" si="19"/>
        <v>mod/attendanceregister:viewownregister</v>
      </c>
      <c r="E275" t="str">
        <f t="shared" si="17"/>
        <v>mod/hsuforum:addnews</v>
      </c>
      <c r="F275" t="b">
        <f t="shared" si="18"/>
        <v>0</v>
      </c>
      <c r="G275" t="s">
        <v>564</v>
      </c>
    </row>
    <row r="276" spans="1:7">
      <c r="A276" t="s">
        <v>558</v>
      </c>
      <c r="B276" t="s">
        <v>1238</v>
      </c>
      <c r="C276" t="str">
        <f t="shared" si="16"/>
        <v>.</v>
      </c>
      <c r="D276" t="str">
        <f t="shared" si="19"/>
        <v>.</v>
      </c>
      <c r="E276" t="str">
        <f t="shared" si="17"/>
        <v>mod/hsuforum:addquestion</v>
      </c>
      <c r="F276" t="str">
        <f t="shared" si="18"/>
        <v>mod/book:addinstance</v>
      </c>
      <c r="G276" t="s">
        <v>564</v>
      </c>
    </row>
    <row r="277" spans="1:7">
      <c r="A277" t="s">
        <v>948</v>
      </c>
      <c r="B277" t="s">
        <v>1239</v>
      </c>
      <c r="C277" t="str">
        <f t="shared" si="16"/>
        <v>.</v>
      </c>
      <c r="D277" t="str">
        <f t="shared" si="19"/>
        <v>.</v>
      </c>
      <c r="E277" t="str">
        <f t="shared" si="17"/>
        <v>mod/hsuforum:allowforcesubscribe</v>
      </c>
      <c r="F277" t="str">
        <f t="shared" si="18"/>
        <v>mod/book:edit</v>
      </c>
      <c r="G277" t="s">
        <v>972</v>
      </c>
    </row>
    <row r="278" spans="1:7">
      <c r="A278" t="s">
        <v>950</v>
      </c>
      <c r="B278" t="s">
        <v>1241</v>
      </c>
      <c r="C278" t="str">
        <f t="shared" si="16"/>
        <v>.</v>
      </c>
      <c r="D278" t="str">
        <f t="shared" si="19"/>
        <v>.</v>
      </c>
      <c r="E278" t="str">
        <f t="shared" si="17"/>
        <v>mod/hsuforum:allowprivate</v>
      </c>
      <c r="F278" t="str">
        <f t="shared" si="18"/>
        <v>mod/book:read</v>
      </c>
      <c r="G278" t="s">
        <v>972</v>
      </c>
    </row>
    <row r="279" spans="1:7">
      <c r="A279" t="s">
        <v>952</v>
      </c>
      <c r="B279" t="s">
        <v>1242</v>
      </c>
      <c r="C279" t="str">
        <f t="shared" si="16"/>
        <v>.</v>
      </c>
      <c r="D279" t="str">
        <f t="shared" si="19"/>
        <v>.</v>
      </c>
      <c r="E279" t="str">
        <f t="shared" si="17"/>
        <v>mod/hsuforum:createattachment</v>
      </c>
      <c r="F279" t="str">
        <f t="shared" si="18"/>
        <v>mod/book:viewhiddenchapters</v>
      </c>
      <c r="G279" t="s">
        <v>974</v>
      </c>
    </row>
    <row r="280" spans="1:7">
      <c r="A280" t="s">
        <v>560</v>
      </c>
      <c r="B280" t="s">
        <v>1243</v>
      </c>
      <c r="C280" t="str">
        <f t="shared" si="16"/>
        <v>.</v>
      </c>
      <c r="D280" t="str">
        <f t="shared" si="19"/>
        <v>mod/booking:addinstance</v>
      </c>
      <c r="E280" t="str">
        <f t="shared" si="17"/>
        <v>mod/hsuforum:deleteanypost</v>
      </c>
      <c r="F280" t="b">
        <f t="shared" si="18"/>
        <v>0</v>
      </c>
      <c r="G280" t="s">
        <v>974</v>
      </c>
    </row>
    <row r="281" spans="1:7">
      <c r="A281" t="s">
        <v>954</v>
      </c>
      <c r="B281" t="s">
        <v>1244</v>
      </c>
      <c r="C281" t="str">
        <f t="shared" si="16"/>
        <v>.</v>
      </c>
      <c r="D281" t="str">
        <f t="shared" si="19"/>
        <v>mod/booking:choose</v>
      </c>
      <c r="E281" t="str">
        <f t="shared" si="17"/>
        <v>mod/hsuforum:deleteownpost</v>
      </c>
      <c r="F281" t="b">
        <f t="shared" si="18"/>
        <v>0</v>
      </c>
      <c r="G281" t="s">
        <v>976</v>
      </c>
    </row>
    <row r="282" spans="1:7">
      <c r="A282" t="s">
        <v>956</v>
      </c>
      <c r="B282" t="s">
        <v>1245</v>
      </c>
      <c r="C282" t="str">
        <f t="shared" si="16"/>
        <v>.</v>
      </c>
      <c r="D282" t="str">
        <f t="shared" si="19"/>
        <v>mod/booking:deleteresponses</v>
      </c>
      <c r="E282" t="str">
        <f t="shared" si="17"/>
        <v>mod/hsuforum:editanypost</v>
      </c>
      <c r="F282" t="b">
        <f t="shared" si="18"/>
        <v>0</v>
      </c>
      <c r="G282" t="s">
        <v>976</v>
      </c>
    </row>
    <row r="283" spans="1:7">
      <c r="A283" t="s">
        <v>958</v>
      </c>
      <c r="B283" t="s">
        <v>1246</v>
      </c>
      <c r="C283" t="str">
        <f t="shared" si="16"/>
        <v>.</v>
      </c>
      <c r="D283" t="str">
        <f t="shared" si="19"/>
        <v>mod/booking:downloadresponses</v>
      </c>
      <c r="E283" t="str">
        <f t="shared" si="17"/>
        <v>mod/hsuforum:exportdiscussion</v>
      </c>
      <c r="F283" t="b">
        <f t="shared" si="18"/>
        <v>0</v>
      </c>
      <c r="G283" t="s">
        <v>978</v>
      </c>
    </row>
    <row r="284" spans="1:7">
      <c r="A284" t="s">
        <v>960</v>
      </c>
      <c r="B284" t="s">
        <v>1247</v>
      </c>
      <c r="C284" t="str">
        <f t="shared" si="16"/>
        <v>.</v>
      </c>
      <c r="D284" t="str">
        <f t="shared" si="19"/>
        <v>mod/booking:readresponses</v>
      </c>
      <c r="E284" t="str">
        <f t="shared" si="17"/>
        <v>mod/hsuforum:exportownpost</v>
      </c>
      <c r="F284" t="b">
        <f t="shared" si="18"/>
        <v>0</v>
      </c>
      <c r="G284" t="s">
        <v>978</v>
      </c>
    </row>
    <row r="285" spans="1:7">
      <c r="A285" t="s">
        <v>962</v>
      </c>
      <c r="B285" t="s">
        <v>1248</v>
      </c>
      <c r="C285" t="str">
        <f t="shared" si="16"/>
        <v>.</v>
      </c>
      <c r="D285" t="str">
        <f t="shared" si="19"/>
        <v>mod/booking:subscribeusers</v>
      </c>
      <c r="E285" t="str">
        <f t="shared" si="17"/>
        <v>mod/hsuforum:exportpost</v>
      </c>
      <c r="F285" t="b">
        <f t="shared" si="18"/>
        <v>0</v>
      </c>
      <c r="G285" t="s">
        <v>980</v>
      </c>
    </row>
    <row r="286" spans="1:7">
      <c r="A286" t="s">
        <v>964</v>
      </c>
      <c r="B286" t="s">
        <v>1249</v>
      </c>
      <c r="C286" t="str">
        <f t="shared" si="16"/>
        <v>.</v>
      </c>
      <c r="D286" t="str">
        <f t="shared" si="19"/>
        <v>mod/booking:updatebooking</v>
      </c>
      <c r="E286" t="str">
        <f t="shared" si="17"/>
        <v>mod/hsuforum:managesubscriptions</v>
      </c>
      <c r="F286" t="b">
        <f t="shared" si="18"/>
        <v>0</v>
      </c>
      <c r="G286" t="s">
        <v>980</v>
      </c>
    </row>
    <row r="287" spans="1:7">
      <c r="A287" t="s">
        <v>562</v>
      </c>
      <c r="B287" t="s">
        <v>1250</v>
      </c>
      <c r="C287" t="str">
        <f t="shared" si="16"/>
        <v>.</v>
      </c>
      <c r="D287" t="str">
        <f t="shared" si="19"/>
        <v>.</v>
      </c>
      <c r="E287" t="str">
        <f t="shared" si="17"/>
        <v>mod/hsuforum:movediscussions</v>
      </c>
      <c r="F287" t="str">
        <f t="shared" si="18"/>
        <v>mod/certificate:addinstance</v>
      </c>
      <c r="G287" t="s">
        <v>568</v>
      </c>
    </row>
    <row r="288" spans="1:7">
      <c r="A288" t="s">
        <v>966</v>
      </c>
      <c r="B288" t="s">
        <v>1251</v>
      </c>
      <c r="C288" t="str">
        <f t="shared" si="16"/>
        <v>.</v>
      </c>
      <c r="D288" t="str">
        <f t="shared" si="19"/>
        <v>.</v>
      </c>
      <c r="E288" t="str">
        <f t="shared" si="17"/>
        <v>mod/hsuforum:postwithoutthrottling</v>
      </c>
      <c r="F288" t="str">
        <f t="shared" si="18"/>
        <v>mod/certificate:manage</v>
      </c>
      <c r="G288" t="s">
        <v>568</v>
      </c>
    </row>
    <row r="289" spans="1:7">
      <c r="A289" t="s">
        <v>968</v>
      </c>
      <c r="B289" t="s">
        <v>1252</v>
      </c>
      <c r="C289" t="str">
        <f t="shared" si="16"/>
        <v>.</v>
      </c>
      <c r="D289" t="str">
        <f t="shared" si="19"/>
        <v>.</v>
      </c>
      <c r="E289" t="str">
        <f t="shared" si="17"/>
        <v>mod/hsuforum:rate</v>
      </c>
      <c r="F289" t="str">
        <f t="shared" si="18"/>
        <v>mod/certificate:printteacher</v>
      </c>
      <c r="G289" t="s">
        <v>998</v>
      </c>
    </row>
    <row r="290" spans="1:7">
      <c r="A290" t="s">
        <v>970</v>
      </c>
      <c r="B290" t="s">
        <v>1253</v>
      </c>
      <c r="C290" t="str">
        <f t="shared" si="16"/>
        <v>.</v>
      </c>
      <c r="D290" t="str">
        <f t="shared" si="19"/>
        <v>.</v>
      </c>
      <c r="E290" t="str">
        <f t="shared" si="17"/>
        <v>mod/hsuforum:replynews</v>
      </c>
      <c r="F290" t="str">
        <f t="shared" si="18"/>
        <v>mod/certificate:view</v>
      </c>
      <c r="G290" t="s">
        <v>998</v>
      </c>
    </row>
    <row r="291" spans="1:7">
      <c r="A291" t="s">
        <v>564</v>
      </c>
      <c r="B291" t="s">
        <v>1254</v>
      </c>
      <c r="C291" t="str">
        <f t="shared" si="16"/>
        <v>.</v>
      </c>
      <c r="D291" t="str">
        <f t="shared" si="19"/>
        <v>.</v>
      </c>
      <c r="E291" t="str">
        <f t="shared" si="17"/>
        <v>mod/hsuforum:replypost</v>
      </c>
      <c r="F291" t="str">
        <f t="shared" si="18"/>
        <v>mod/chat:addinstance</v>
      </c>
      <c r="G291" t="s">
        <v>999</v>
      </c>
    </row>
    <row r="292" spans="1:7">
      <c r="A292" t="s">
        <v>972</v>
      </c>
      <c r="B292" t="s">
        <v>1256</v>
      </c>
      <c r="C292" t="str">
        <f t="shared" si="16"/>
        <v>.</v>
      </c>
      <c r="D292" t="str">
        <f t="shared" si="19"/>
        <v>.</v>
      </c>
      <c r="E292" t="str">
        <f t="shared" si="17"/>
        <v>mod/hsuforum:revealpost</v>
      </c>
      <c r="F292" t="str">
        <f t="shared" si="18"/>
        <v>mod/chat:chat</v>
      </c>
      <c r="G292" t="s">
        <v>999</v>
      </c>
    </row>
    <row r="293" spans="1:7">
      <c r="A293" t="s">
        <v>974</v>
      </c>
      <c r="B293" t="s">
        <v>1257</v>
      </c>
      <c r="C293" t="str">
        <f t="shared" si="16"/>
        <v>.</v>
      </c>
      <c r="D293" t="str">
        <f t="shared" si="19"/>
        <v>.</v>
      </c>
      <c r="E293" t="str">
        <f t="shared" si="17"/>
        <v>mod/hsuforum:splitdiscussions</v>
      </c>
      <c r="F293" t="str">
        <f t="shared" si="18"/>
        <v>mod/chat:deletelog</v>
      </c>
      <c r="G293" t="s">
        <v>1000</v>
      </c>
    </row>
    <row r="294" spans="1:7">
      <c r="A294" t="s">
        <v>976</v>
      </c>
      <c r="B294" t="s">
        <v>1258</v>
      </c>
      <c r="C294" t="str">
        <f t="shared" si="16"/>
        <v>.</v>
      </c>
      <c r="D294" t="str">
        <f t="shared" si="19"/>
        <v>.</v>
      </c>
      <c r="E294" t="str">
        <f t="shared" si="17"/>
        <v>mod/hsuforum:startdiscussion</v>
      </c>
      <c r="F294" t="str">
        <f t="shared" si="18"/>
        <v>mod/chat:exportparticipatedsession</v>
      </c>
      <c r="G294" t="s">
        <v>1000</v>
      </c>
    </row>
    <row r="295" spans="1:7">
      <c r="A295" t="s">
        <v>978</v>
      </c>
      <c r="B295" t="s">
        <v>1259</v>
      </c>
      <c r="C295" t="str">
        <f t="shared" si="16"/>
        <v>.</v>
      </c>
      <c r="D295" t="str">
        <f t="shared" si="19"/>
        <v>.</v>
      </c>
      <c r="E295" t="str">
        <f t="shared" si="17"/>
        <v>mod/hsuforum:viewallratings</v>
      </c>
      <c r="F295" t="str">
        <f t="shared" si="18"/>
        <v>mod/chat:exportsession</v>
      </c>
      <c r="G295" t="s">
        <v>1001</v>
      </c>
    </row>
    <row r="296" spans="1:7">
      <c r="A296" t="s">
        <v>980</v>
      </c>
      <c r="B296" t="s">
        <v>1260</v>
      </c>
      <c r="C296" t="str">
        <f t="shared" si="16"/>
        <v>.</v>
      </c>
      <c r="D296" t="str">
        <f t="shared" si="19"/>
        <v>.</v>
      </c>
      <c r="E296" t="str">
        <f t="shared" si="17"/>
        <v>mod/hsuforum:viewanyrating</v>
      </c>
      <c r="F296" t="str">
        <f t="shared" si="18"/>
        <v>mod/chat:readlog</v>
      </c>
      <c r="G296" t="s">
        <v>1001</v>
      </c>
    </row>
    <row r="297" spans="1:7">
      <c r="A297" t="s">
        <v>566</v>
      </c>
      <c r="B297" t="s">
        <v>1261</v>
      </c>
      <c r="C297" t="str">
        <f t="shared" si="16"/>
        <v>.</v>
      </c>
      <c r="D297" t="str">
        <f t="shared" si="19"/>
        <v>mod/checklist:addinstance</v>
      </c>
      <c r="E297" t="str">
        <f t="shared" si="17"/>
        <v>mod/hsuforum:viewdiscussion</v>
      </c>
      <c r="F297" t="b">
        <f t="shared" si="18"/>
        <v>0</v>
      </c>
      <c r="G297" t="s">
        <v>1003</v>
      </c>
    </row>
    <row r="298" spans="1:7">
      <c r="A298" t="s">
        <v>982</v>
      </c>
      <c r="B298" t="s">
        <v>1263</v>
      </c>
      <c r="C298" t="str">
        <f t="shared" si="16"/>
        <v>.</v>
      </c>
      <c r="D298" t="str">
        <f t="shared" si="19"/>
        <v>mod/checklist:edit</v>
      </c>
      <c r="E298" t="str">
        <f t="shared" si="17"/>
        <v>mod/hsuforum:viewflags</v>
      </c>
      <c r="F298" t="b">
        <f t="shared" si="18"/>
        <v>0</v>
      </c>
      <c r="G298" t="s">
        <v>1003</v>
      </c>
    </row>
    <row r="299" spans="1:7">
      <c r="A299" t="s">
        <v>984</v>
      </c>
      <c r="B299" t="s">
        <v>1264</v>
      </c>
      <c r="C299" t="str">
        <f t="shared" si="16"/>
        <v>.</v>
      </c>
      <c r="D299" t="str">
        <f t="shared" si="19"/>
        <v>mod/checklist:emailoncomplete</v>
      </c>
      <c r="E299" t="str">
        <f t="shared" si="17"/>
        <v>mod/hsuforum:viewhiddentimedposts</v>
      </c>
      <c r="F299" t="b">
        <f t="shared" si="18"/>
        <v>0</v>
      </c>
      <c r="G299" t="s">
        <v>1004</v>
      </c>
    </row>
    <row r="300" spans="1:7">
      <c r="A300" t="s">
        <v>986</v>
      </c>
      <c r="B300" t="s">
        <v>1266</v>
      </c>
      <c r="C300" t="str">
        <f t="shared" si="16"/>
        <v>.</v>
      </c>
      <c r="D300" t="str">
        <f t="shared" si="19"/>
        <v>mod/checklist:preview</v>
      </c>
      <c r="E300" t="str">
        <f t="shared" si="17"/>
        <v>mod/hsuforum:viewposters</v>
      </c>
      <c r="F300" t="b">
        <f t="shared" si="18"/>
        <v>0</v>
      </c>
      <c r="G300" t="s">
        <v>1004</v>
      </c>
    </row>
    <row r="301" spans="1:7">
      <c r="A301" t="s">
        <v>988</v>
      </c>
      <c r="B301" t="s">
        <v>1267</v>
      </c>
      <c r="C301" t="str">
        <f t="shared" si="16"/>
        <v>.</v>
      </c>
      <c r="D301" t="str">
        <f t="shared" si="19"/>
        <v>mod/checklist:updatelocked</v>
      </c>
      <c r="E301" t="str">
        <f t="shared" si="17"/>
        <v>mod/hsuforum:viewqandawithoutposting</v>
      </c>
      <c r="F301" t="b">
        <f t="shared" si="18"/>
        <v>0</v>
      </c>
      <c r="G301" t="s">
        <v>1005</v>
      </c>
    </row>
    <row r="302" spans="1:7">
      <c r="A302" t="s">
        <v>990</v>
      </c>
      <c r="B302" t="s">
        <v>1268</v>
      </c>
      <c r="C302" t="str">
        <f t="shared" si="16"/>
        <v>.</v>
      </c>
      <c r="D302" t="str">
        <f t="shared" si="19"/>
        <v>mod/checklist:updateother</v>
      </c>
      <c r="E302" t="str">
        <f t="shared" si="17"/>
        <v>mod/hsuforum:viewrating</v>
      </c>
      <c r="F302" t="b">
        <f t="shared" si="18"/>
        <v>0</v>
      </c>
      <c r="G302" t="s">
        <v>1005</v>
      </c>
    </row>
    <row r="303" spans="1:7">
      <c r="A303" t="s">
        <v>992</v>
      </c>
      <c r="B303" t="s">
        <v>1269</v>
      </c>
      <c r="C303" t="str">
        <f t="shared" si="16"/>
        <v>.</v>
      </c>
      <c r="D303" t="str">
        <f t="shared" si="19"/>
        <v>mod/checklist:updateown</v>
      </c>
      <c r="E303" t="str">
        <f t="shared" si="17"/>
        <v>mod/hsuforum:viewsubscribers</v>
      </c>
      <c r="F303" t="b">
        <f t="shared" si="18"/>
        <v>0</v>
      </c>
      <c r="G303" t="s">
        <v>1006</v>
      </c>
    </row>
    <row r="304" spans="1:7">
      <c r="A304" t="s">
        <v>994</v>
      </c>
      <c r="B304" t="s">
        <v>607</v>
      </c>
      <c r="C304" t="str">
        <f t="shared" si="16"/>
        <v>.</v>
      </c>
      <c r="D304" t="str">
        <f t="shared" si="19"/>
        <v>mod/checklist:viewmenteereports</v>
      </c>
      <c r="E304" t="str">
        <f t="shared" si="17"/>
        <v>mod/imscp:addinstance</v>
      </c>
      <c r="F304" t="b">
        <f t="shared" si="18"/>
        <v>0</v>
      </c>
      <c r="G304" t="s">
        <v>1006</v>
      </c>
    </row>
    <row r="305" spans="1:7">
      <c r="A305" t="s">
        <v>996</v>
      </c>
      <c r="B305" t="s">
        <v>161</v>
      </c>
      <c r="C305" t="str">
        <f t="shared" si="16"/>
        <v>.</v>
      </c>
      <c r="D305" t="str">
        <f t="shared" si="19"/>
        <v>mod/checklist:viewreports</v>
      </c>
      <c r="E305" t="str">
        <f t="shared" si="17"/>
        <v>mod/imscp:view</v>
      </c>
      <c r="F305" t="b">
        <f t="shared" si="18"/>
        <v>0</v>
      </c>
      <c r="G305" t="s">
        <v>1007</v>
      </c>
    </row>
    <row r="306" spans="1:7">
      <c r="A306" t="s">
        <v>568</v>
      </c>
      <c r="B306" t="s">
        <v>611</v>
      </c>
      <c r="C306" t="str">
        <f t="shared" si="16"/>
        <v>.</v>
      </c>
      <c r="D306" t="str">
        <f t="shared" si="19"/>
        <v>.</v>
      </c>
      <c r="E306" t="str">
        <f t="shared" si="17"/>
        <v>mod/label:addinstance</v>
      </c>
      <c r="F306" t="str">
        <f t="shared" si="18"/>
        <v>mod/choice:addinstance</v>
      </c>
      <c r="G306" t="s">
        <v>1007</v>
      </c>
    </row>
    <row r="307" spans="1:7">
      <c r="A307" t="s">
        <v>998</v>
      </c>
      <c r="B307" t="s">
        <v>613</v>
      </c>
      <c r="C307" t="str">
        <f t="shared" si="16"/>
        <v>.</v>
      </c>
      <c r="D307" t="str">
        <f t="shared" si="19"/>
        <v>.</v>
      </c>
      <c r="E307" t="str">
        <f t="shared" si="17"/>
        <v>mod/lesson:addinstance</v>
      </c>
      <c r="F307" t="str">
        <f t="shared" si="18"/>
        <v>mod/choice:choose</v>
      </c>
      <c r="G307" t="s">
        <v>570</v>
      </c>
    </row>
    <row r="308" spans="1:7">
      <c r="A308" t="s">
        <v>999</v>
      </c>
      <c r="B308" t="s">
        <v>1275</v>
      </c>
      <c r="C308" t="str">
        <f t="shared" si="16"/>
        <v>.</v>
      </c>
      <c r="D308" t="str">
        <f t="shared" si="19"/>
        <v>.</v>
      </c>
      <c r="E308" t="str">
        <f t="shared" si="17"/>
        <v>mod/lesson:edit</v>
      </c>
      <c r="F308" t="str">
        <f t="shared" si="18"/>
        <v>mod/choice:deleteresponses</v>
      </c>
      <c r="G308" t="s">
        <v>570</v>
      </c>
    </row>
    <row r="309" spans="1:7">
      <c r="A309" t="s">
        <v>1000</v>
      </c>
      <c r="B309" t="s">
        <v>1277</v>
      </c>
      <c r="C309" t="str">
        <f t="shared" si="16"/>
        <v>.</v>
      </c>
      <c r="D309" t="str">
        <f t="shared" si="19"/>
        <v>.</v>
      </c>
      <c r="E309" t="str">
        <f t="shared" si="17"/>
        <v>mod/lesson:manage</v>
      </c>
      <c r="F309" t="str">
        <f t="shared" si="18"/>
        <v>mod/choice:downloadresponses</v>
      </c>
      <c r="G309" t="s">
        <v>1019</v>
      </c>
    </row>
    <row r="310" spans="1:7">
      <c r="A310" t="s">
        <v>1001</v>
      </c>
      <c r="B310" t="s">
        <v>617</v>
      </c>
      <c r="C310" t="str">
        <f t="shared" si="16"/>
        <v>.</v>
      </c>
      <c r="D310" t="str">
        <f t="shared" si="19"/>
        <v>.</v>
      </c>
      <c r="E310" t="str">
        <f t="shared" si="17"/>
        <v>mod/lti:addcoursetool</v>
      </c>
      <c r="F310" t="str">
        <f t="shared" si="18"/>
        <v>mod/choice:readresponses</v>
      </c>
      <c r="G310" t="s">
        <v>1019</v>
      </c>
    </row>
    <row r="311" spans="1:7">
      <c r="A311" t="s">
        <v>1003</v>
      </c>
      <c r="B311" t="s">
        <v>619</v>
      </c>
      <c r="C311" t="str">
        <f t="shared" si="16"/>
        <v>.</v>
      </c>
      <c r="D311" t="str">
        <f t="shared" si="19"/>
        <v>.</v>
      </c>
      <c r="E311" t="str">
        <f t="shared" si="17"/>
        <v>mod/lti:addinstance</v>
      </c>
      <c r="F311" t="str">
        <f t="shared" si="18"/>
        <v>mod/choicegroup:addinstance</v>
      </c>
      <c r="G311" t="s">
        <v>1021</v>
      </c>
    </row>
    <row r="312" spans="1:7">
      <c r="A312" t="s">
        <v>1004</v>
      </c>
      <c r="B312" t="s">
        <v>1289</v>
      </c>
      <c r="C312" t="str">
        <f t="shared" si="16"/>
        <v>.</v>
      </c>
      <c r="D312" t="str">
        <f t="shared" si="19"/>
        <v>.</v>
      </c>
      <c r="E312" t="str">
        <f t="shared" si="17"/>
        <v>mod/lti:grade</v>
      </c>
      <c r="F312" t="str">
        <f t="shared" si="18"/>
        <v>mod/choicegroup:choose</v>
      </c>
      <c r="G312" t="s">
        <v>1021</v>
      </c>
    </row>
    <row r="313" spans="1:7">
      <c r="A313" t="s">
        <v>1005</v>
      </c>
      <c r="B313" t="s">
        <v>1291</v>
      </c>
      <c r="C313" t="str">
        <f t="shared" si="16"/>
        <v>.</v>
      </c>
      <c r="D313" t="str">
        <f t="shared" si="19"/>
        <v>.</v>
      </c>
      <c r="E313" t="str">
        <f t="shared" si="17"/>
        <v>mod/lti:manage</v>
      </c>
      <c r="F313" t="str">
        <f t="shared" si="18"/>
        <v>mod/choicegroup:deleteresponses</v>
      </c>
      <c r="G313" t="s">
        <v>1023</v>
      </c>
    </row>
    <row r="314" spans="1:7">
      <c r="A314" t="s">
        <v>1006</v>
      </c>
      <c r="B314" t="s">
        <v>621</v>
      </c>
      <c r="C314" t="str">
        <f t="shared" si="16"/>
        <v>.</v>
      </c>
      <c r="D314" t="str">
        <f t="shared" si="19"/>
        <v>.</v>
      </c>
      <c r="E314" t="str">
        <f t="shared" si="17"/>
        <v>mod/lti:requesttooladd</v>
      </c>
      <c r="F314" t="str">
        <f t="shared" si="18"/>
        <v>mod/choicegroup:downloadresponses</v>
      </c>
      <c r="G314" t="s">
        <v>1023</v>
      </c>
    </row>
    <row r="315" spans="1:7">
      <c r="A315" t="s">
        <v>1007</v>
      </c>
      <c r="B315" t="s">
        <v>1293</v>
      </c>
      <c r="C315" t="str">
        <f t="shared" si="16"/>
        <v>.</v>
      </c>
      <c r="D315" t="str">
        <f t="shared" si="19"/>
        <v>.</v>
      </c>
      <c r="E315" t="str">
        <f t="shared" si="17"/>
        <v>mod/lti:view</v>
      </c>
      <c r="F315" t="str">
        <f t="shared" si="18"/>
        <v>mod/choicegroup:readresponses</v>
      </c>
      <c r="G315" t="s">
        <v>1025</v>
      </c>
    </row>
    <row r="316" spans="1:7">
      <c r="A316" t="s">
        <v>1009</v>
      </c>
      <c r="B316" t="s">
        <v>631</v>
      </c>
      <c r="C316" t="str">
        <f t="shared" si="16"/>
        <v>.</v>
      </c>
      <c r="D316" t="str">
        <f t="shared" si="19"/>
        <v>mod/cpblog:addinstance</v>
      </c>
      <c r="E316" t="str">
        <f t="shared" si="17"/>
        <v>mod/page:addinstance</v>
      </c>
      <c r="F316" t="b">
        <f t="shared" si="18"/>
        <v>0</v>
      </c>
      <c r="G316" t="s">
        <v>1025</v>
      </c>
    </row>
    <row r="317" spans="1:7">
      <c r="A317" t="s">
        <v>1011</v>
      </c>
      <c r="B317" t="s">
        <v>165</v>
      </c>
      <c r="C317" t="str">
        <f t="shared" si="16"/>
        <v>.</v>
      </c>
      <c r="D317" t="str">
        <f t="shared" si="19"/>
        <v>mod/cpcontentitem:addinstance</v>
      </c>
      <c r="E317" t="str">
        <f t="shared" si="17"/>
        <v>mod/page:view</v>
      </c>
      <c r="F317" t="b">
        <f t="shared" si="18"/>
        <v>0</v>
      </c>
      <c r="G317" t="s">
        <v>1027</v>
      </c>
    </row>
    <row r="318" spans="1:7">
      <c r="A318" t="s">
        <v>1013</v>
      </c>
      <c r="B318" t="s">
        <v>633</v>
      </c>
      <c r="C318" t="str">
        <f t="shared" si="16"/>
        <v>.</v>
      </c>
      <c r="D318" t="str">
        <f t="shared" si="19"/>
        <v>mod/cppodcast:addinstance</v>
      </c>
      <c r="E318" t="str">
        <f t="shared" si="17"/>
        <v>mod/questionnaire:addinstance</v>
      </c>
      <c r="F318" t="b">
        <f t="shared" si="18"/>
        <v>0</v>
      </c>
      <c r="G318" t="s">
        <v>1027</v>
      </c>
    </row>
    <row r="319" spans="1:7">
      <c r="A319" t="s">
        <v>1015</v>
      </c>
      <c r="B319" t="s">
        <v>1346</v>
      </c>
      <c r="C319" t="str">
        <f t="shared" si="16"/>
        <v>.</v>
      </c>
      <c r="D319" t="str">
        <f t="shared" si="19"/>
        <v>mod/cpprivatejournal:addinstance</v>
      </c>
      <c r="E319" t="str">
        <f t="shared" si="17"/>
        <v>mod/questionnaire:createpublic</v>
      </c>
      <c r="F319" t="b">
        <f t="shared" si="18"/>
        <v>0</v>
      </c>
      <c r="G319" t="s">
        <v>1029</v>
      </c>
    </row>
    <row r="320" spans="1:7">
      <c r="A320" t="s">
        <v>1017</v>
      </c>
      <c r="B320" t="s">
        <v>1348</v>
      </c>
      <c r="C320" t="str">
        <f t="shared" si="16"/>
        <v>.</v>
      </c>
      <c r="D320" t="str">
        <f t="shared" si="19"/>
        <v>mod/cpwiki:addinstance</v>
      </c>
      <c r="E320" t="str">
        <f t="shared" si="17"/>
        <v>mod/questionnaire:createtemplates</v>
      </c>
      <c r="F320" t="b">
        <f t="shared" si="18"/>
        <v>0</v>
      </c>
      <c r="G320" t="s">
        <v>1029</v>
      </c>
    </row>
    <row r="321" spans="1:7">
      <c r="A321" t="s">
        <v>570</v>
      </c>
      <c r="B321" t="s">
        <v>1350</v>
      </c>
      <c r="C321" t="str">
        <f t="shared" si="16"/>
        <v>.</v>
      </c>
      <c r="D321" t="str">
        <f t="shared" si="19"/>
        <v>.</v>
      </c>
      <c r="E321" t="str">
        <f t="shared" si="17"/>
        <v>mod/questionnaire:deleteresponses</v>
      </c>
      <c r="F321" t="str">
        <f t="shared" si="18"/>
        <v>mod/data:addinstance</v>
      </c>
      <c r="G321" t="s">
        <v>1031</v>
      </c>
    </row>
    <row r="322" spans="1:7">
      <c r="A322" t="s">
        <v>1019</v>
      </c>
      <c r="B322" t="s">
        <v>1352</v>
      </c>
      <c r="C322" t="str">
        <f t="shared" si="16"/>
        <v>.</v>
      </c>
      <c r="D322" t="str">
        <f t="shared" si="19"/>
        <v>.</v>
      </c>
      <c r="E322" t="str">
        <f t="shared" si="17"/>
        <v>mod/questionnaire:downloadresponses</v>
      </c>
      <c r="F322" t="str">
        <f t="shared" si="18"/>
        <v>mod/data:approve</v>
      </c>
      <c r="G322" t="s">
        <v>1031</v>
      </c>
    </row>
    <row r="323" spans="1:7">
      <c r="A323" t="s">
        <v>1021</v>
      </c>
      <c r="B323" t="s">
        <v>1354</v>
      </c>
      <c r="C323" t="str">
        <f t="shared" ref="C323:C386" si="20">IF(VLOOKUP(B323,$A$2:$A$873,1)=B323,".",B323)</f>
        <v>.</v>
      </c>
      <c r="D323" t="str">
        <f t="shared" si="19"/>
        <v>.</v>
      </c>
      <c r="E323" t="str">
        <f t="shared" ref="E323:E386" si="21">IF(C323=".",B323)</f>
        <v>mod/questionnaire:editquestions</v>
      </c>
      <c r="F323" t="str">
        <f t="shared" si="18"/>
        <v>mod/data:comment</v>
      </c>
      <c r="G323" t="s">
        <v>1033</v>
      </c>
    </row>
    <row r="324" spans="1:7">
      <c r="A324" t="s">
        <v>1023</v>
      </c>
      <c r="B324" t="s">
        <v>1356</v>
      </c>
      <c r="C324" t="str">
        <f t="shared" si="20"/>
        <v>.</v>
      </c>
      <c r="D324" t="str">
        <f t="shared" si="19"/>
        <v>.</v>
      </c>
      <c r="E324" t="str">
        <f t="shared" si="21"/>
        <v>mod/questionnaire:manage</v>
      </c>
      <c r="F324" t="str">
        <f t="shared" ref="F324:F387" si="22">IF(D324=".",A324)</f>
        <v>mod/data:exportallentries</v>
      </c>
      <c r="G324" t="s">
        <v>1033</v>
      </c>
    </row>
    <row r="325" spans="1:7">
      <c r="A325" t="s">
        <v>1025</v>
      </c>
      <c r="B325" t="s">
        <v>1358</v>
      </c>
      <c r="C325" t="str">
        <f t="shared" si="20"/>
        <v>.</v>
      </c>
      <c r="D325" t="str">
        <f t="shared" si="19"/>
        <v>.</v>
      </c>
      <c r="E325" t="str">
        <f t="shared" si="21"/>
        <v>mod/questionnaire:message</v>
      </c>
      <c r="F325" t="str">
        <f t="shared" si="22"/>
        <v>mod/data:exportentry</v>
      </c>
      <c r="G325" t="s">
        <v>1035</v>
      </c>
    </row>
    <row r="326" spans="1:7">
      <c r="A326" t="s">
        <v>1027</v>
      </c>
      <c r="B326" t="s">
        <v>1360</v>
      </c>
      <c r="C326" t="str">
        <f t="shared" si="20"/>
        <v>.</v>
      </c>
      <c r="D326" t="str">
        <f t="shared" si="19"/>
        <v>.</v>
      </c>
      <c r="E326" t="str">
        <f t="shared" si="21"/>
        <v>mod/questionnaire:preview</v>
      </c>
      <c r="F326" t="str">
        <f t="shared" si="22"/>
        <v>mod/data:exportownentry</v>
      </c>
      <c r="G326" t="s">
        <v>1035</v>
      </c>
    </row>
    <row r="327" spans="1:7">
      <c r="A327" t="s">
        <v>1029</v>
      </c>
      <c r="B327" t="s">
        <v>1362</v>
      </c>
      <c r="C327" t="str">
        <f t="shared" si="20"/>
        <v>.</v>
      </c>
      <c r="D327" t="str">
        <f t="shared" si="19"/>
        <v>.</v>
      </c>
      <c r="E327" t="str">
        <f t="shared" si="21"/>
        <v>mod/questionnaire:printblank</v>
      </c>
      <c r="F327" t="str">
        <f t="shared" si="22"/>
        <v>mod/data:exportuserinfo</v>
      </c>
      <c r="G327" t="s">
        <v>1037</v>
      </c>
    </row>
    <row r="328" spans="1:7">
      <c r="A328" t="s">
        <v>1031</v>
      </c>
      <c r="B328" t="s">
        <v>1364</v>
      </c>
      <c r="C328" t="str">
        <f t="shared" si="20"/>
        <v>.</v>
      </c>
      <c r="D328" t="str">
        <f t="shared" ref="D328:D391" si="23">IF(VLOOKUP(A328,$B$2:$B$631,1)=A328,".",A328)</f>
        <v>.</v>
      </c>
      <c r="E328" t="str">
        <f t="shared" si="21"/>
        <v>mod/questionnaire:readallresponseanytime</v>
      </c>
      <c r="F328" t="str">
        <f t="shared" si="22"/>
        <v>mod/data:managecomments</v>
      </c>
      <c r="G328" t="s">
        <v>1037</v>
      </c>
    </row>
    <row r="329" spans="1:7">
      <c r="A329" t="s">
        <v>1033</v>
      </c>
      <c r="B329" t="s">
        <v>1366</v>
      </c>
      <c r="C329" t="str">
        <f t="shared" si="20"/>
        <v>.</v>
      </c>
      <c r="D329" t="str">
        <f t="shared" si="23"/>
        <v>.</v>
      </c>
      <c r="E329" t="str">
        <f t="shared" si="21"/>
        <v>mod/questionnaire:readallresponses</v>
      </c>
      <c r="F329" t="str">
        <f t="shared" si="22"/>
        <v>mod/data:manageentries</v>
      </c>
      <c r="G329" t="s">
        <v>1039</v>
      </c>
    </row>
    <row r="330" spans="1:7">
      <c r="A330" t="s">
        <v>1035</v>
      </c>
      <c r="B330" t="s">
        <v>1368</v>
      </c>
      <c r="C330" t="str">
        <f t="shared" si="20"/>
        <v>.</v>
      </c>
      <c r="D330" t="str">
        <f t="shared" si="23"/>
        <v>.</v>
      </c>
      <c r="E330" t="str">
        <f t="shared" si="21"/>
        <v>mod/questionnaire:readownresponses</v>
      </c>
      <c r="F330" t="str">
        <f t="shared" si="22"/>
        <v>mod/data:managetemplates</v>
      </c>
      <c r="G330" t="s">
        <v>1039</v>
      </c>
    </row>
    <row r="331" spans="1:7">
      <c r="A331" t="s">
        <v>1037</v>
      </c>
      <c r="B331" t="s">
        <v>1370</v>
      </c>
      <c r="C331" t="str">
        <f t="shared" si="20"/>
        <v>.</v>
      </c>
      <c r="D331" t="str">
        <f t="shared" si="23"/>
        <v>.</v>
      </c>
      <c r="E331" t="str">
        <f t="shared" si="21"/>
        <v>mod/questionnaire:submit</v>
      </c>
      <c r="F331" t="str">
        <f t="shared" si="22"/>
        <v>mod/data:manageuserpresets</v>
      </c>
      <c r="G331" t="s">
        <v>1040</v>
      </c>
    </row>
    <row r="332" spans="1:7">
      <c r="A332" t="s">
        <v>1039</v>
      </c>
      <c r="B332" t="s">
        <v>1372</v>
      </c>
      <c r="C332" t="str">
        <f t="shared" si="20"/>
        <v>.</v>
      </c>
      <c r="D332" t="str">
        <f t="shared" si="23"/>
        <v>.</v>
      </c>
      <c r="E332" t="str">
        <f t="shared" si="21"/>
        <v>mod/questionnaire:view</v>
      </c>
      <c r="F332" t="str">
        <f t="shared" si="22"/>
        <v>mod/data:rate</v>
      </c>
      <c r="G332" t="s">
        <v>1040</v>
      </c>
    </row>
    <row r="333" spans="1:7">
      <c r="A333" t="s">
        <v>1040</v>
      </c>
      <c r="B333" t="s">
        <v>1374</v>
      </c>
      <c r="C333" t="str">
        <f t="shared" si="20"/>
        <v>.</v>
      </c>
      <c r="D333" t="str">
        <f t="shared" si="23"/>
        <v>.</v>
      </c>
      <c r="E333" t="str">
        <f t="shared" si="21"/>
        <v>mod/questionnaire:viewsingleresponse</v>
      </c>
      <c r="F333" t="str">
        <f t="shared" si="22"/>
        <v>mod/data:viewallratings</v>
      </c>
      <c r="G333" t="s">
        <v>1042</v>
      </c>
    </row>
    <row r="334" spans="1:7">
      <c r="A334" t="s">
        <v>1042</v>
      </c>
      <c r="B334" t="s">
        <v>635</v>
      </c>
      <c r="C334" t="str">
        <f t="shared" si="20"/>
        <v>.</v>
      </c>
      <c r="D334" t="str">
        <f t="shared" si="23"/>
        <v>.</v>
      </c>
      <c r="E334" t="str">
        <f t="shared" si="21"/>
        <v>mod/quiz:addinstance</v>
      </c>
      <c r="F334" t="str">
        <f t="shared" si="22"/>
        <v>mod/data:viewalluserpresets</v>
      </c>
      <c r="G334" t="s">
        <v>1042</v>
      </c>
    </row>
    <row r="335" spans="1:7">
      <c r="A335" t="s">
        <v>1043</v>
      </c>
      <c r="B335" t="s">
        <v>1376</v>
      </c>
      <c r="C335" t="str">
        <f t="shared" si="20"/>
        <v>.</v>
      </c>
      <c r="D335" t="str">
        <f t="shared" si="23"/>
        <v>.</v>
      </c>
      <c r="E335" t="str">
        <f t="shared" si="21"/>
        <v>mod/quiz:attempt</v>
      </c>
      <c r="F335" t="str">
        <f t="shared" si="22"/>
        <v>mod/data:viewanyrating</v>
      </c>
      <c r="G335" t="s">
        <v>1043</v>
      </c>
    </row>
    <row r="336" spans="1:7">
      <c r="A336" t="s">
        <v>1045</v>
      </c>
      <c r="B336" t="s">
        <v>1378</v>
      </c>
      <c r="C336" t="str">
        <f t="shared" si="20"/>
        <v>.</v>
      </c>
      <c r="D336" t="str">
        <f t="shared" si="23"/>
        <v>.</v>
      </c>
      <c r="E336" t="str">
        <f t="shared" si="21"/>
        <v>mod/quiz:deleteattempts</v>
      </c>
      <c r="F336" t="str">
        <f t="shared" si="22"/>
        <v>mod/data:viewentry</v>
      </c>
      <c r="G336" t="s">
        <v>1043</v>
      </c>
    </row>
    <row r="337" spans="1:7">
      <c r="A337" t="s">
        <v>1046</v>
      </c>
      <c r="B337" t="s">
        <v>1380</v>
      </c>
      <c r="C337" t="str">
        <f t="shared" si="20"/>
        <v>.</v>
      </c>
      <c r="D337" t="str">
        <f t="shared" si="23"/>
        <v>.</v>
      </c>
      <c r="E337" t="str">
        <f t="shared" si="21"/>
        <v>mod/quiz:emailconfirmsubmission</v>
      </c>
      <c r="F337" t="str">
        <f t="shared" si="22"/>
        <v>mod/data:viewrating</v>
      </c>
      <c r="G337" t="s">
        <v>1045</v>
      </c>
    </row>
    <row r="338" spans="1:7">
      <c r="A338" t="s">
        <v>1048</v>
      </c>
      <c r="B338" t="s">
        <v>1382</v>
      </c>
      <c r="C338" t="str">
        <f t="shared" si="20"/>
        <v>.</v>
      </c>
      <c r="D338" t="str">
        <f t="shared" si="23"/>
        <v>.</v>
      </c>
      <c r="E338" t="str">
        <f t="shared" si="21"/>
        <v>mod/quiz:emailnotifysubmission</v>
      </c>
      <c r="F338" t="str">
        <f t="shared" si="22"/>
        <v>mod/data:writeentry</v>
      </c>
      <c r="G338" t="s">
        <v>1045</v>
      </c>
    </row>
    <row r="339" spans="1:7">
      <c r="A339" t="s">
        <v>572</v>
      </c>
      <c r="B339" t="s">
        <v>1384</v>
      </c>
      <c r="C339" t="str">
        <f t="shared" si="20"/>
        <v>.</v>
      </c>
      <c r="D339" t="str">
        <f t="shared" si="23"/>
        <v>mod/elluminate:addinstance</v>
      </c>
      <c r="E339" t="str">
        <f t="shared" si="21"/>
        <v>mod/quiz:emailwarnoverdue</v>
      </c>
      <c r="F339" t="b">
        <f t="shared" si="22"/>
        <v>0</v>
      </c>
      <c r="G339" t="s">
        <v>1046</v>
      </c>
    </row>
    <row r="340" spans="1:7">
      <c r="A340" t="s">
        <v>1050</v>
      </c>
      <c r="B340" t="s">
        <v>1386</v>
      </c>
      <c r="C340" t="str">
        <f t="shared" si="20"/>
        <v>.</v>
      </c>
      <c r="D340" t="str">
        <f t="shared" si="23"/>
        <v>mod/elluminate:convertallrecordings</v>
      </c>
      <c r="E340" t="str">
        <f t="shared" si="21"/>
        <v>mod/quiz:grade</v>
      </c>
      <c r="F340" t="b">
        <f t="shared" si="22"/>
        <v>0</v>
      </c>
      <c r="G340" t="s">
        <v>1046</v>
      </c>
    </row>
    <row r="341" spans="1:7">
      <c r="A341" t="s">
        <v>1052</v>
      </c>
      <c r="B341" t="s">
        <v>1388</v>
      </c>
      <c r="C341" t="str">
        <f t="shared" si="20"/>
        <v>.</v>
      </c>
      <c r="D341" t="str">
        <f t="shared" si="23"/>
        <v>mod/elluminate:convertownrecordings</v>
      </c>
      <c r="E341" t="str">
        <f t="shared" si="21"/>
        <v>mod/quiz:ignoretimelimits</v>
      </c>
      <c r="F341" t="b">
        <f t="shared" si="22"/>
        <v>0</v>
      </c>
      <c r="G341" t="s">
        <v>1048</v>
      </c>
    </row>
    <row r="342" spans="1:7">
      <c r="A342" t="s">
        <v>1054</v>
      </c>
      <c r="B342" t="s">
        <v>1390</v>
      </c>
      <c r="C342" t="str">
        <f t="shared" si="20"/>
        <v>.</v>
      </c>
      <c r="D342" t="str">
        <f t="shared" si="23"/>
        <v>mod/elluminate:deleteanyrecordings</v>
      </c>
      <c r="E342" t="str">
        <f t="shared" si="21"/>
        <v>mod/quiz:manage</v>
      </c>
      <c r="F342" t="b">
        <f t="shared" si="22"/>
        <v>0</v>
      </c>
      <c r="G342" t="s">
        <v>1048</v>
      </c>
    </row>
    <row r="343" spans="1:7">
      <c r="A343" t="s">
        <v>1056</v>
      </c>
      <c r="B343" t="s">
        <v>1392</v>
      </c>
      <c r="C343" t="str">
        <f t="shared" si="20"/>
        <v>.</v>
      </c>
      <c r="D343" t="str">
        <f t="shared" si="23"/>
        <v>mod/elluminate:deleterecordings</v>
      </c>
      <c r="E343" t="str">
        <f t="shared" si="21"/>
        <v>mod/quiz:manageoverrides</v>
      </c>
      <c r="F343" t="b">
        <f t="shared" si="22"/>
        <v>0</v>
      </c>
      <c r="G343" t="s">
        <v>594</v>
      </c>
    </row>
    <row r="344" spans="1:7">
      <c r="A344" t="s">
        <v>1058</v>
      </c>
      <c r="B344" t="s">
        <v>1394</v>
      </c>
      <c r="C344" t="str">
        <f t="shared" si="20"/>
        <v>.</v>
      </c>
      <c r="D344" t="str">
        <f t="shared" si="23"/>
        <v>mod/elluminate:editallrecordings</v>
      </c>
      <c r="E344" t="str">
        <f t="shared" si="21"/>
        <v>mod/quiz:preview</v>
      </c>
      <c r="F344" t="b">
        <f t="shared" si="22"/>
        <v>0</v>
      </c>
      <c r="G344" t="s">
        <v>594</v>
      </c>
    </row>
    <row r="345" spans="1:7">
      <c r="A345" t="s">
        <v>1060</v>
      </c>
      <c r="B345" t="s">
        <v>1396</v>
      </c>
      <c r="C345" t="str">
        <f t="shared" si="20"/>
        <v>.</v>
      </c>
      <c r="D345" t="str">
        <f t="shared" si="23"/>
        <v>mod/elluminate:editownrecordings</v>
      </c>
      <c r="E345" t="str">
        <f t="shared" si="21"/>
        <v>mod/quiz:regrade</v>
      </c>
      <c r="F345" t="b">
        <f t="shared" si="22"/>
        <v>0</v>
      </c>
      <c r="G345" t="s">
        <v>1090</v>
      </c>
    </row>
    <row r="346" spans="1:7">
      <c r="A346" t="s">
        <v>1062</v>
      </c>
      <c r="B346" t="s">
        <v>1398</v>
      </c>
      <c r="C346" t="str">
        <f t="shared" si="20"/>
        <v>.</v>
      </c>
      <c r="D346" t="str">
        <f t="shared" si="23"/>
        <v>mod/elluminate:enablerecordings</v>
      </c>
      <c r="E346" t="str">
        <f t="shared" si="21"/>
        <v>mod/quiz:reviewmyattempts</v>
      </c>
      <c r="F346" t="b">
        <f t="shared" si="22"/>
        <v>0</v>
      </c>
      <c r="G346" t="s">
        <v>1090</v>
      </c>
    </row>
    <row r="347" spans="1:7">
      <c r="A347" t="s">
        <v>151</v>
      </c>
      <c r="B347" t="s">
        <v>1400</v>
      </c>
      <c r="C347" t="str">
        <f t="shared" si="20"/>
        <v>.</v>
      </c>
      <c r="D347" t="str">
        <f t="shared" si="23"/>
        <v>mod/elluminate:joinmeeting</v>
      </c>
      <c r="E347" t="str">
        <f t="shared" si="21"/>
        <v>mod/quiz:view</v>
      </c>
      <c r="F347" t="b">
        <f t="shared" si="22"/>
        <v>0</v>
      </c>
      <c r="G347" t="s">
        <v>1092</v>
      </c>
    </row>
    <row r="348" spans="1:7">
      <c r="A348" t="s">
        <v>1064</v>
      </c>
      <c r="B348" t="s">
        <v>1402</v>
      </c>
      <c r="C348" t="str">
        <f t="shared" si="20"/>
        <v>.</v>
      </c>
      <c r="D348" t="str">
        <f t="shared" si="23"/>
        <v>mod/elluminate:manage</v>
      </c>
      <c r="E348" t="str">
        <f t="shared" si="21"/>
        <v>mod/quiz:viewreports</v>
      </c>
      <c r="F348" t="b">
        <f t="shared" si="22"/>
        <v>0</v>
      </c>
      <c r="G348" t="s">
        <v>1092</v>
      </c>
    </row>
    <row r="349" spans="1:7">
      <c r="A349" t="s">
        <v>1066</v>
      </c>
      <c r="B349" t="s">
        <v>637</v>
      </c>
      <c r="C349" t="str">
        <f t="shared" si="20"/>
        <v>.</v>
      </c>
      <c r="D349" t="str">
        <f t="shared" si="23"/>
        <v>mod/elluminate:manageanyrecordings</v>
      </c>
      <c r="E349" t="str">
        <f t="shared" si="21"/>
        <v>mod/resource:addinstance</v>
      </c>
      <c r="F349" t="b">
        <f t="shared" si="22"/>
        <v>0</v>
      </c>
      <c r="G349" t="s">
        <v>1094</v>
      </c>
    </row>
    <row r="350" spans="1:7">
      <c r="A350" t="s">
        <v>1068</v>
      </c>
      <c r="B350" t="s">
        <v>167</v>
      </c>
      <c r="C350" t="str">
        <f t="shared" si="20"/>
        <v>.</v>
      </c>
      <c r="D350" t="str">
        <f t="shared" si="23"/>
        <v>mod/elluminate:manageattendance</v>
      </c>
      <c r="E350" t="str">
        <f t="shared" si="21"/>
        <v>mod/resource:view</v>
      </c>
      <c r="F350" t="b">
        <f t="shared" si="22"/>
        <v>0</v>
      </c>
      <c r="G350" t="s">
        <v>1094</v>
      </c>
    </row>
    <row r="351" spans="1:7">
      <c r="A351" t="s">
        <v>1070</v>
      </c>
      <c r="B351" t="s">
        <v>641</v>
      </c>
      <c r="C351" t="str">
        <f t="shared" si="20"/>
        <v>.</v>
      </c>
      <c r="D351" t="str">
        <f t="shared" si="23"/>
        <v>mod/elluminate:managemoderators</v>
      </c>
      <c r="E351" t="str">
        <f t="shared" si="21"/>
        <v>mod/scheduler:addinstance</v>
      </c>
      <c r="F351" t="b">
        <f t="shared" si="22"/>
        <v>0</v>
      </c>
      <c r="G351" t="s">
        <v>1096</v>
      </c>
    </row>
    <row r="352" spans="1:7">
      <c r="A352" t="s">
        <v>1072</v>
      </c>
      <c r="B352" t="s">
        <v>1404</v>
      </c>
      <c r="C352" t="str">
        <f t="shared" si="20"/>
        <v>.</v>
      </c>
      <c r="D352" t="str">
        <f t="shared" si="23"/>
        <v>mod/elluminate:manageparticipants</v>
      </c>
      <c r="E352" t="str">
        <f t="shared" si="21"/>
        <v>mod/scheduler:appoint</v>
      </c>
      <c r="F352" t="b">
        <f t="shared" si="22"/>
        <v>0</v>
      </c>
      <c r="G352" t="s">
        <v>1096</v>
      </c>
    </row>
    <row r="353" spans="1:7">
      <c r="A353" t="s">
        <v>1074</v>
      </c>
      <c r="B353" t="s">
        <v>1406</v>
      </c>
      <c r="C353" t="str">
        <f t="shared" si="20"/>
        <v>.</v>
      </c>
      <c r="D353" t="str">
        <f t="shared" si="23"/>
        <v>mod/elluminate:managepreloads</v>
      </c>
      <c r="E353" t="str">
        <f t="shared" si="21"/>
        <v>mod/scheduler:attend</v>
      </c>
      <c r="F353" t="b">
        <f t="shared" si="22"/>
        <v>0</v>
      </c>
      <c r="G353" t="s">
        <v>1098</v>
      </c>
    </row>
    <row r="354" spans="1:7">
      <c r="A354" t="s">
        <v>1076</v>
      </c>
      <c r="B354" t="s">
        <v>1408</v>
      </c>
      <c r="C354" t="str">
        <f t="shared" si="20"/>
        <v>.</v>
      </c>
      <c r="D354" t="str">
        <f t="shared" si="23"/>
        <v>mod/elluminate:managerecordings</v>
      </c>
      <c r="E354" t="str">
        <f t="shared" si="21"/>
        <v>mod/scheduler:canscheduletootherteachers</v>
      </c>
      <c r="F354" t="b">
        <f t="shared" si="22"/>
        <v>0</v>
      </c>
      <c r="G354" t="s">
        <v>1098</v>
      </c>
    </row>
    <row r="355" spans="1:7">
      <c r="A355" t="s">
        <v>1078</v>
      </c>
      <c r="B355" t="s">
        <v>1410</v>
      </c>
      <c r="C355" t="str">
        <f t="shared" si="20"/>
        <v>.</v>
      </c>
      <c r="D355" t="str">
        <f t="shared" si="23"/>
        <v>mod/elluminate:moderatemeeting</v>
      </c>
      <c r="E355" t="str">
        <f t="shared" si="21"/>
        <v>mod/scheduler:canseeotherteachersbooking</v>
      </c>
      <c r="F355" t="b">
        <f t="shared" si="22"/>
        <v>0</v>
      </c>
      <c r="G355" t="s">
        <v>1100</v>
      </c>
    </row>
    <row r="356" spans="1:7">
      <c r="A356" t="s">
        <v>153</v>
      </c>
      <c r="B356" t="s">
        <v>1412</v>
      </c>
      <c r="C356" t="str">
        <f t="shared" si="20"/>
        <v>.</v>
      </c>
      <c r="D356" t="str">
        <f t="shared" si="23"/>
        <v>mod/elluminate:view</v>
      </c>
      <c r="E356" t="str">
        <f t="shared" si="21"/>
        <v>mod/scheduler:disengage</v>
      </c>
      <c r="F356" t="b">
        <f t="shared" si="22"/>
        <v>0</v>
      </c>
      <c r="G356" t="s">
        <v>1100</v>
      </c>
    </row>
    <row r="357" spans="1:7">
      <c r="A357" t="s">
        <v>1080</v>
      </c>
      <c r="B357" t="s">
        <v>1414</v>
      </c>
      <c r="C357" t="str">
        <f t="shared" si="20"/>
        <v>.</v>
      </c>
      <c r="D357" t="str">
        <f t="shared" si="23"/>
        <v>mod/elluminate:viewattendance</v>
      </c>
      <c r="E357" t="str">
        <f t="shared" si="21"/>
        <v>mod/scheduler:manage</v>
      </c>
      <c r="F357" t="b">
        <f t="shared" si="22"/>
        <v>0</v>
      </c>
      <c r="G357" t="s">
        <v>1102</v>
      </c>
    </row>
    <row r="358" spans="1:7">
      <c r="A358" t="s">
        <v>1082</v>
      </c>
      <c r="B358" t="s">
        <v>1416</v>
      </c>
      <c r="C358" t="str">
        <f t="shared" si="20"/>
        <v>.</v>
      </c>
      <c r="D358" t="str">
        <f t="shared" si="23"/>
        <v>mod/elluminate:viewguestlink</v>
      </c>
      <c r="E358" t="str">
        <f t="shared" si="21"/>
        <v>mod/scheduler:manageallappointments</v>
      </c>
      <c r="F358" t="b">
        <f t="shared" si="22"/>
        <v>0</v>
      </c>
      <c r="G358" t="s">
        <v>1102</v>
      </c>
    </row>
    <row r="359" spans="1:7">
      <c r="A359" t="s">
        <v>155</v>
      </c>
      <c r="B359" t="s">
        <v>1418</v>
      </c>
      <c r="C359" t="str">
        <f t="shared" si="20"/>
        <v>.</v>
      </c>
      <c r="D359" t="str">
        <f t="shared" si="23"/>
        <v>mod/elluminate:viewrecordings</v>
      </c>
      <c r="E359" t="str">
        <f t="shared" si="21"/>
        <v>mod/scheduler:seeotherstudentsbooking</v>
      </c>
      <c r="F359" t="b">
        <f t="shared" si="22"/>
        <v>0</v>
      </c>
      <c r="G359" t="s">
        <v>1104</v>
      </c>
    </row>
    <row r="360" spans="1:7">
      <c r="A360" t="s">
        <v>574</v>
      </c>
      <c r="B360" t="s">
        <v>1420</v>
      </c>
      <c r="C360" t="str">
        <f t="shared" si="20"/>
        <v>.</v>
      </c>
      <c r="D360" t="str">
        <f t="shared" si="23"/>
        <v>mod/equella:addinstance</v>
      </c>
      <c r="E360" t="str">
        <f t="shared" si="21"/>
        <v>mod/scheduler:seeotherstudentsresults</v>
      </c>
      <c r="F360" t="b">
        <f t="shared" si="22"/>
        <v>0</v>
      </c>
      <c r="G360" t="s">
        <v>1104</v>
      </c>
    </row>
    <row r="361" spans="1:7">
      <c r="A361" t="s">
        <v>1084</v>
      </c>
      <c r="B361" t="s">
        <v>643</v>
      </c>
      <c r="C361" t="str">
        <f t="shared" si="20"/>
        <v>.</v>
      </c>
      <c r="D361" t="str">
        <f t="shared" si="23"/>
        <v>mod/equella:manage</v>
      </c>
      <c r="E361" t="str">
        <f t="shared" si="21"/>
        <v>mod/scorm:addinstance</v>
      </c>
      <c r="F361" t="b">
        <f t="shared" si="22"/>
        <v>0</v>
      </c>
      <c r="G361" t="s">
        <v>1106</v>
      </c>
    </row>
    <row r="362" spans="1:7">
      <c r="A362" t="s">
        <v>157</v>
      </c>
      <c r="B362" t="s">
        <v>1422</v>
      </c>
      <c r="C362" t="str">
        <f t="shared" si="20"/>
        <v>.</v>
      </c>
      <c r="D362" t="str">
        <f t="shared" si="23"/>
        <v>mod/equella:view</v>
      </c>
      <c r="E362" t="str">
        <f t="shared" si="21"/>
        <v>mod/scorm:deleteownresponses</v>
      </c>
      <c r="F362" t="b">
        <f t="shared" si="22"/>
        <v>0</v>
      </c>
      <c r="G362" t="s">
        <v>1106</v>
      </c>
    </row>
    <row r="363" spans="1:7">
      <c r="A363" t="s">
        <v>576</v>
      </c>
      <c r="B363" t="s">
        <v>1424</v>
      </c>
      <c r="C363" t="str">
        <f t="shared" si="20"/>
        <v>.</v>
      </c>
      <c r="D363" t="str">
        <f t="shared" si="23"/>
        <v>mod/facetoface:addattendees</v>
      </c>
      <c r="E363" t="str">
        <f t="shared" si="21"/>
        <v>mod/scorm:deleteresponses</v>
      </c>
      <c r="F363" t="b">
        <f t="shared" si="22"/>
        <v>0</v>
      </c>
      <c r="G363" t="s">
        <v>1108</v>
      </c>
    </row>
    <row r="364" spans="1:7">
      <c r="A364" t="s">
        <v>578</v>
      </c>
      <c r="B364" t="s">
        <v>1426</v>
      </c>
      <c r="C364" t="str">
        <f t="shared" si="20"/>
        <v>.</v>
      </c>
      <c r="D364" t="str">
        <f t="shared" si="23"/>
        <v>mod/facetoface:addinstance</v>
      </c>
      <c r="E364" t="str">
        <f t="shared" si="21"/>
        <v>mod/scorm:savetrack</v>
      </c>
      <c r="F364" t="b">
        <f t="shared" si="22"/>
        <v>0</v>
      </c>
      <c r="G364" t="s">
        <v>1108</v>
      </c>
    </row>
    <row r="365" spans="1:7">
      <c r="A365" t="s">
        <v>580</v>
      </c>
      <c r="B365" t="s">
        <v>1428</v>
      </c>
      <c r="C365" t="str">
        <f t="shared" si="20"/>
        <v>.</v>
      </c>
      <c r="D365" t="str">
        <f t="shared" si="23"/>
        <v>mod/facetoface:editsessions</v>
      </c>
      <c r="E365" t="str">
        <f t="shared" si="21"/>
        <v>mod/scorm:skipview</v>
      </c>
      <c r="F365" t="b">
        <f t="shared" si="22"/>
        <v>0</v>
      </c>
      <c r="G365" t="s">
        <v>1109</v>
      </c>
    </row>
    <row r="366" spans="1:7">
      <c r="A366" t="s">
        <v>582</v>
      </c>
      <c r="B366" t="s">
        <v>1429</v>
      </c>
      <c r="C366" t="str">
        <f t="shared" si="20"/>
        <v>.</v>
      </c>
      <c r="D366" t="str">
        <f t="shared" si="23"/>
        <v>mod/facetoface:overbook</v>
      </c>
      <c r="E366" t="str">
        <f t="shared" si="21"/>
        <v>mod/scorm:viewreport</v>
      </c>
      <c r="F366" t="b">
        <f t="shared" si="22"/>
        <v>0</v>
      </c>
      <c r="G366" t="s">
        <v>1109</v>
      </c>
    </row>
    <row r="367" spans="1:7">
      <c r="A367" t="s">
        <v>584</v>
      </c>
      <c r="B367" t="s">
        <v>1431</v>
      </c>
      <c r="C367" t="str">
        <f t="shared" si="20"/>
        <v>.</v>
      </c>
      <c r="D367" t="str">
        <f t="shared" si="23"/>
        <v>mod/facetoface:removeattendees</v>
      </c>
      <c r="E367" t="str">
        <f t="shared" si="21"/>
        <v>mod/scorm:viewscores</v>
      </c>
      <c r="F367" t="b">
        <f t="shared" si="22"/>
        <v>0</v>
      </c>
      <c r="G367" t="s">
        <v>596</v>
      </c>
    </row>
    <row r="368" spans="1:7">
      <c r="A368" t="s">
        <v>586</v>
      </c>
      <c r="B368" t="s">
        <v>1746</v>
      </c>
      <c r="C368" t="str">
        <f t="shared" si="20"/>
        <v>mod/slideshow:addinstance</v>
      </c>
      <c r="D368" t="str">
        <f t="shared" si="23"/>
        <v>mod/facetoface:signup</v>
      </c>
      <c r="E368" t="b">
        <f t="shared" si="21"/>
        <v>0</v>
      </c>
      <c r="F368" t="b">
        <f t="shared" si="22"/>
        <v>0</v>
      </c>
      <c r="G368" t="s">
        <v>596</v>
      </c>
    </row>
    <row r="369" spans="1:7">
      <c r="A369" t="s">
        <v>588</v>
      </c>
      <c r="B369" t="s">
        <v>1759</v>
      </c>
      <c r="C369" t="str">
        <f t="shared" si="20"/>
        <v>mod/slideshow:manage</v>
      </c>
      <c r="D369" t="str">
        <f t="shared" si="23"/>
        <v>mod/facetoface:takeattendance</v>
      </c>
      <c r="E369" t="b">
        <f t="shared" si="21"/>
        <v>0</v>
      </c>
      <c r="F369" t="b">
        <f t="shared" si="22"/>
        <v>0</v>
      </c>
      <c r="G369" t="s">
        <v>1111</v>
      </c>
    </row>
    <row r="370" spans="1:7">
      <c r="A370" t="s">
        <v>1086</v>
      </c>
      <c r="B370" t="s">
        <v>1761</v>
      </c>
      <c r="C370" t="str">
        <f t="shared" si="20"/>
        <v>mod/slideshow:preview</v>
      </c>
      <c r="D370" t="str">
        <f t="shared" si="23"/>
        <v>mod/facetoface:view</v>
      </c>
      <c r="E370" t="b">
        <f t="shared" si="21"/>
        <v>0</v>
      </c>
      <c r="F370" t="b">
        <f t="shared" si="22"/>
        <v>0</v>
      </c>
      <c r="G370" t="s">
        <v>1111</v>
      </c>
    </row>
    <row r="371" spans="1:7">
      <c r="A371" t="s">
        <v>590</v>
      </c>
      <c r="B371" t="s">
        <v>1763</v>
      </c>
      <c r="C371" t="str">
        <f t="shared" si="20"/>
        <v>mod/slideshow:view</v>
      </c>
      <c r="D371" t="str">
        <f t="shared" si="23"/>
        <v>mod/facetoface:viewattendees</v>
      </c>
      <c r="E371" t="b">
        <f t="shared" si="21"/>
        <v>0</v>
      </c>
      <c r="F371" t="b">
        <f t="shared" si="22"/>
        <v>0</v>
      </c>
      <c r="G371" t="s">
        <v>159</v>
      </c>
    </row>
    <row r="372" spans="1:7">
      <c r="A372" t="s">
        <v>592</v>
      </c>
      <c r="B372" t="s">
        <v>649</v>
      </c>
      <c r="C372" t="str">
        <f t="shared" si="20"/>
        <v>.</v>
      </c>
      <c r="D372" t="str">
        <f t="shared" si="23"/>
        <v>mod/facetoface:viewcancellations</v>
      </c>
      <c r="E372" t="str">
        <f t="shared" si="21"/>
        <v>mod/survey:addinstance</v>
      </c>
      <c r="F372" t="b">
        <f t="shared" si="22"/>
        <v>0</v>
      </c>
      <c r="G372" t="s">
        <v>159</v>
      </c>
    </row>
    <row r="373" spans="1:7">
      <c r="A373" t="s">
        <v>1088</v>
      </c>
      <c r="B373" t="s">
        <v>1436</v>
      </c>
      <c r="C373" t="str">
        <f t="shared" si="20"/>
        <v>.</v>
      </c>
      <c r="D373" t="str">
        <f t="shared" si="23"/>
        <v>mod/facetoface:viewemptyactivities</v>
      </c>
      <c r="E373" t="str">
        <f t="shared" si="21"/>
        <v>mod/survey:download</v>
      </c>
      <c r="F373" t="b">
        <f t="shared" si="22"/>
        <v>0</v>
      </c>
      <c r="G373" t="s">
        <v>598</v>
      </c>
    </row>
    <row r="374" spans="1:7">
      <c r="A374" t="s">
        <v>594</v>
      </c>
      <c r="B374" t="s">
        <v>1438</v>
      </c>
      <c r="C374" t="str">
        <f t="shared" si="20"/>
        <v>.</v>
      </c>
      <c r="D374" t="str">
        <f t="shared" si="23"/>
        <v>.</v>
      </c>
      <c r="E374" t="str">
        <f t="shared" si="21"/>
        <v>mod/survey:participate</v>
      </c>
      <c r="F374" t="str">
        <f t="shared" si="22"/>
        <v>mod/feedback:addinstance</v>
      </c>
      <c r="G374" t="s">
        <v>598</v>
      </c>
    </row>
    <row r="375" spans="1:7">
      <c r="A375" t="s">
        <v>1090</v>
      </c>
      <c r="B375" t="s">
        <v>1440</v>
      </c>
      <c r="C375" t="str">
        <f t="shared" si="20"/>
        <v>.</v>
      </c>
      <c r="D375" t="str">
        <f t="shared" si="23"/>
        <v>.</v>
      </c>
      <c r="E375" t="str">
        <f t="shared" si="21"/>
        <v>mod/survey:readresponses</v>
      </c>
      <c r="F375" t="str">
        <f t="shared" si="22"/>
        <v>mod/feedback:complete</v>
      </c>
      <c r="G375" t="s">
        <v>1113</v>
      </c>
    </row>
    <row r="376" spans="1:7">
      <c r="A376" t="s">
        <v>1092</v>
      </c>
      <c r="B376" t="s">
        <v>1444</v>
      </c>
      <c r="C376" t="str">
        <f t="shared" si="20"/>
        <v>.</v>
      </c>
      <c r="D376" t="str">
        <f t="shared" si="23"/>
        <v>.</v>
      </c>
      <c r="E376" t="str">
        <f t="shared" si="21"/>
        <v>mod/turnitintool:addinstance</v>
      </c>
      <c r="F376" t="str">
        <f t="shared" si="22"/>
        <v>mod/feedback:createprivatetemplate</v>
      </c>
      <c r="G376" t="s">
        <v>1113</v>
      </c>
    </row>
    <row r="377" spans="1:7">
      <c r="A377" t="s">
        <v>1094</v>
      </c>
      <c r="B377" t="s">
        <v>1446</v>
      </c>
      <c r="C377" t="str">
        <f t="shared" si="20"/>
        <v>.</v>
      </c>
      <c r="D377" t="str">
        <f t="shared" si="23"/>
        <v>.</v>
      </c>
      <c r="E377" t="str">
        <f t="shared" si="21"/>
        <v>mod/turnitintool:grade</v>
      </c>
      <c r="F377" t="str">
        <f t="shared" si="22"/>
        <v>mod/feedback:createpublictemplate</v>
      </c>
      <c r="G377" t="s">
        <v>1115</v>
      </c>
    </row>
    <row r="378" spans="1:7">
      <c r="A378" t="s">
        <v>1096</v>
      </c>
      <c r="B378" t="s">
        <v>1448</v>
      </c>
      <c r="C378" t="str">
        <f t="shared" si="20"/>
        <v>.</v>
      </c>
      <c r="D378" t="str">
        <f t="shared" si="23"/>
        <v>.</v>
      </c>
      <c r="E378" t="str">
        <f t="shared" si="21"/>
        <v>mod/turnitintool:submit</v>
      </c>
      <c r="F378" t="str">
        <f t="shared" si="22"/>
        <v>mod/feedback:deletesubmissions</v>
      </c>
      <c r="G378" t="s">
        <v>1115</v>
      </c>
    </row>
    <row r="379" spans="1:7">
      <c r="A379" t="s">
        <v>1098</v>
      </c>
      <c r="B379" t="s">
        <v>1450</v>
      </c>
      <c r="C379" t="str">
        <f t="shared" si="20"/>
        <v>.</v>
      </c>
      <c r="D379" t="str">
        <f t="shared" si="23"/>
        <v>.</v>
      </c>
      <c r="E379" t="str">
        <f t="shared" si="21"/>
        <v>mod/turnitintool:view</v>
      </c>
      <c r="F379" t="str">
        <f t="shared" si="22"/>
        <v>mod/feedback:deletetemplate</v>
      </c>
      <c r="G379" t="s">
        <v>1117</v>
      </c>
    </row>
    <row r="380" spans="1:7">
      <c r="A380" t="s">
        <v>1100</v>
      </c>
      <c r="B380" t="s">
        <v>1764</v>
      </c>
      <c r="C380" t="str">
        <f t="shared" si="20"/>
        <v>mod/turnitintooltwo:addinstance</v>
      </c>
      <c r="D380" t="str">
        <f t="shared" si="23"/>
        <v>.</v>
      </c>
      <c r="E380" t="b">
        <f t="shared" si="21"/>
        <v>0</v>
      </c>
      <c r="F380" t="str">
        <f t="shared" si="22"/>
        <v>mod/feedback:edititems</v>
      </c>
      <c r="G380" t="s">
        <v>1117</v>
      </c>
    </row>
    <row r="381" spans="1:7">
      <c r="A381" t="s">
        <v>1102</v>
      </c>
      <c r="B381" t="s">
        <v>1765</v>
      </c>
      <c r="C381" t="str">
        <f t="shared" si="20"/>
        <v>mod/turnitintooltwo:grade</v>
      </c>
      <c r="D381" t="str">
        <f t="shared" si="23"/>
        <v>.</v>
      </c>
      <c r="E381" t="b">
        <f t="shared" si="21"/>
        <v>0</v>
      </c>
      <c r="F381" t="str">
        <f t="shared" si="22"/>
        <v>mod/feedback:mapcourse</v>
      </c>
      <c r="G381" t="s">
        <v>1119</v>
      </c>
    </row>
    <row r="382" spans="1:7">
      <c r="A382" t="s">
        <v>1104</v>
      </c>
      <c r="B382" t="s">
        <v>1767</v>
      </c>
      <c r="C382" t="str">
        <f t="shared" si="20"/>
        <v>mod/turnitintooltwo:read</v>
      </c>
      <c r="D382" t="str">
        <f t="shared" si="23"/>
        <v>.</v>
      </c>
      <c r="E382" t="b">
        <f t="shared" si="21"/>
        <v>0</v>
      </c>
      <c r="F382" t="str">
        <f t="shared" si="22"/>
        <v>mod/feedback:receivemail</v>
      </c>
      <c r="G382" t="s">
        <v>1119</v>
      </c>
    </row>
    <row r="383" spans="1:7">
      <c r="A383" t="s">
        <v>1106</v>
      </c>
      <c r="B383" t="s">
        <v>1768</v>
      </c>
      <c r="C383" t="str">
        <f t="shared" si="20"/>
        <v>mod/turnitintooltwo:submit</v>
      </c>
      <c r="D383" t="str">
        <f t="shared" si="23"/>
        <v>.</v>
      </c>
      <c r="E383" t="b">
        <f t="shared" si="21"/>
        <v>0</v>
      </c>
      <c r="F383" t="str">
        <f t="shared" si="22"/>
        <v>mod/feedback:view</v>
      </c>
      <c r="G383" t="s">
        <v>1121</v>
      </c>
    </row>
    <row r="384" spans="1:7">
      <c r="A384" t="s">
        <v>1108</v>
      </c>
      <c r="B384" t="s">
        <v>1769</v>
      </c>
      <c r="C384" t="str">
        <f t="shared" si="20"/>
        <v>mod/turnitintooltwo:view</v>
      </c>
      <c r="D384" t="str">
        <f t="shared" si="23"/>
        <v>.</v>
      </c>
      <c r="E384" t="b">
        <f t="shared" si="21"/>
        <v>0</v>
      </c>
      <c r="F384" t="str">
        <f t="shared" si="22"/>
        <v>mod/feedback:viewanalysepage</v>
      </c>
      <c r="G384" t="s">
        <v>1121</v>
      </c>
    </row>
    <row r="385" spans="1:7">
      <c r="A385" t="s">
        <v>1109</v>
      </c>
      <c r="B385" t="s">
        <v>651</v>
      </c>
      <c r="C385" t="str">
        <f t="shared" si="20"/>
        <v>.</v>
      </c>
      <c r="D385" t="str">
        <f t="shared" si="23"/>
        <v>.</v>
      </c>
      <c r="E385" t="str">
        <f t="shared" si="21"/>
        <v>mod/url:addinstance</v>
      </c>
      <c r="F385" t="str">
        <f t="shared" si="22"/>
        <v>mod/feedback:viewreports</v>
      </c>
      <c r="G385" t="s">
        <v>1123</v>
      </c>
    </row>
    <row r="386" spans="1:7">
      <c r="A386" t="s">
        <v>596</v>
      </c>
      <c r="B386" t="s">
        <v>173</v>
      </c>
      <c r="C386" t="str">
        <f t="shared" si="20"/>
        <v>.</v>
      </c>
      <c r="D386" t="str">
        <f t="shared" si="23"/>
        <v>.</v>
      </c>
      <c r="E386" t="str">
        <f t="shared" si="21"/>
        <v>mod/url:view</v>
      </c>
      <c r="F386" t="str">
        <f t="shared" si="22"/>
        <v>mod/folder:addinstance</v>
      </c>
      <c r="G386" t="s">
        <v>1123</v>
      </c>
    </row>
    <row r="387" spans="1:7">
      <c r="A387" t="s">
        <v>1111</v>
      </c>
      <c r="B387" t="s">
        <v>653</v>
      </c>
      <c r="C387" t="str">
        <f t="shared" ref="C387:C450" si="24">IF(VLOOKUP(B387,$A$2:$A$873,1)=B387,".",B387)</f>
        <v>.</v>
      </c>
      <c r="D387" t="str">
        <f t="shared" si="23"/>
        <v>.</v>
      </c>
      <c r="E387" t="str">
        <f t="shared" ref="E387:E450" si="25">IF(C387=".",B387)</f>
        <v>mod/wiki:addinstance</v>
      </c>
      <c r="F387" t="str">
        <f t="shared" si="22"/>
        <v>mod/folder:managefiles</v>
      </c>
      <c r="G387" t="s">
        <v>1125</v>
      </c>
    </row>
    <row r="388" spans="1:7">
      <c r="A388" t="s">
        <v>159</v>
      </c>
      <c r="B388" t="s">
        <v>1452</v>
      </c>
      <c r="C388" t="str">
        <f t="shared" si="24"/>
        <v>.</v>
      </c>
      <c r="D388" t="str">
        <f t="shared" si="23"/>
        <v>.</v>
      </c>
      <c r="E388" t="str">
        <f t="shared" si="25"/>
        <v>mod/wiki:createpage</v>
      </c>
      <c r="F388" t="str">
        <f t="shared" ref="F388:F451" si="26">IF(D388=".",A388)</f>
        <v>mod/folder:view</v>
      </c>
      <c r="G388" t="s">
        <v>1125</v>
      </c>
    </row>
    <row r="389" spans="1:7">
      <c r="A389" t="s">
        <v>598</v>
      </c>
      <c r="B389" t="s">
        <v>1454</v>
      </c>
      <c r="C389" t="str">
        <f t="shared" si="24"/>
        <v>.</v>
      </c>
      <c r="D389" t="str">
        <f t="shared" si="23"/>
        <v>.</v>
      </c>
      <c r="E389" t="str">
        <f t="shared" si="25"/>
        <v>mod/wiki:editcomment</v>
      </c>
      <c r="F389" t="str">
        <f t="shared" si="26"/>
        <v>mod/forum:addinstance</v>
      </c>
      <c r="G389" t="s">
        <v>1127</v>
      </c>
    </row>
    <row r="390" spans="1:7">
      <c r="A390" t="s">
        <v>1113</v>
      </c>
      <c r="B390" t="s">
        <v>1456</v>
      </c>
      <c r="C390" t="str">
        <f t="shared" si="24"/>
        <v>.</v>
      </c>
      <c r="D390" t="str">
        <f t="shared" si="23"/>
        <v>.</v>
      </c>
      <c r="E390" t="str">
        <f t="shared" si="25"/>
        <v>mod/wiki:editpage</v>
      </c>
      <c r="F390" t="str">
        <f t="shared" si="26"/>
        <v>mod/forum:addnews</v>
      </c>
      <c r="G390" t="s">
        <v>1127</v>
      </c>
    </row>
    <row r="391" spans="1:7">
      <c r="A391" t="s">
        <v>1115</v>
      </c>
      <c r="B391" t="s">
        <v>1458</v>
      </c>
      <c r="C391" t="str">
        <f t="shared" si="24"/>
        <v>.</v>
      </c>
      <c r="D391" t="str">
        <f t="shared" si="23"/>
        <v>.</v>
      </c>
      <c r="E391" t="str">
        <f t="shared" si="25"/>
        <v>mod/wiki:managecomment</v>
      </c>
      <c r="F391" t="str">
        <f t="shared" si="26"/>
        <v>mod/forum:addquestion</v>
      </c>
      <c r="G391" t="s">
        <v>1129</v>
      </c>
    </row>
    <row r="392" spans="1:7">
      <c r="A392" t="s">
        <v>1117</v>
      </c>
      <c r="B392" t="s">
        <v>1460</v>
      </c>
      <c r="C392" t="str">
        <f t="shared" si="24"/>
        <v>.</v>
      </c>
      <c r="D392" t="str">
        <f t="shared" ref="D392:D455" si="27">IF(VLOOKUP(A392,$B$2:$B$631,1)=A392,".",A392)</f>
        <v>.</v>
      </c>
      <c r="E392" t="str">
        <f t="shared" si="25"/>
        <v>mod/wiki:managefiles</v>
      </c>
      <c r="F392" t="str">
        <f t="shared" si="26"/>
        <v>mod/forum:allowforcesubscribe</v>
      </c>
      <c r="G392" t="s">
        <v>1129</v>
      </c>
    </row>
    <row r="393" spans="1:7">
      <c r="A393" t="s">
        <v>1119</v>
      </c>
      <c r="B393" t="s">
        <v>1462</v>
      </c>
      <c r="C393" t="str">
        <f t="shared" si="24"/>
        <v>.</v>
      </c>
      <c r="D393" t="str">
        <f t="shared" si="27"/>
        <v>.</v>
      </c>
      <c r="E393" t="str">
        <f t="shared" si="25"/>
        <v>mod/wiki:managewiki</v>
      </c>
      <c r="F393" t="str">
        <f t="shared" si="26"/>
        <v>mod/forum:createattachment</v>
      </c>
      <c r="G393" t="s">
        <v>1131</v>
      </c>
    </row>
    <row r="394" spans="1:7">
      <c r="A394" t="s">
        <v>1121</v>
      </c>
      <c r="B394" t="s">
        <v>1464</v>
      </c>
      <c r="C394" t="str">
        <f t="shared" si="24"/>
        <v>.</v>
      </c>
      <c r="D394" t="str">
        <f t="shared" si="27"/>
        <v>.</v>
      </c>
      <c r="E394" t="str">
        <f t="shared" si="25"/>
        <v>mod/wiki:overridelock</v>
      </c>
      <c r="F394" t="str">
        <f t="shared" si="26"/>
        <v>mod/forum:deleteanypost</v>
      </c>
      <c r="G394" t="s">
        <v>1131</v>
      </c>
    </row>
    <row r="395" spans="1:7">
      <c r="A395" t="s">
        <v>1123</v>
      </c>
      <c r="B395" t="s">
        <v>1466</v>
      </c>
      <c r="C395" t="str">
        <f t="shared" si="24"/>
        <v>.</v>
      </c>
      <c r="D395" t="str">
        <f t="shared" si="27"/>
        <v>.</v>
      </c>
      <c r="E395" t="str">
        <f t="shared" si="25"/>
        <v>mod/wiki:viewcomment</v>
      </c>
      <c r="F395" t="str">
        <f t="shared" si="26"/>
        <v>mod/forum:deleteownpost</v>
      </c>
      <c r="G395" t="s">
        <v>1133</v>
      </c>
    </row>
    <row r="396" spans="1:7">
      <c r="A396" t="s">
        <v>1125</v>
      </c>
      <c r="B396" t="s">
        <v>1468</v>
      </c>
      <c r="C396" t="str">
        <f t="shared" si="24"/>
        <v>.</v>
      </c>
      <c r="D396" t="str">
        <f t="shared" si="27"/>
        <v>.</v>
      </c>
      <c r="E396" t="str">
        <f t="shared" si="25"/>
        <v>mod/wiki:viewpage</v>
      </c>
      <c r="F396" t="str">
        <f t="shared" si="26"/>
        <v>mod/forum:editanypost</v>
      </c>
      <c r="G396" t="s">
        <v>1133</v>
      </c>
    </row>
    <row r="397" spans="1:7">
      <c r="A397" t="s">
        <v>1127</v>
      </c>
      <c r="B397" t="s">
        <v>655</v>
      </c>
      <c r="C397" t="str">
        <f t="shared" si="24"/>
        <v>.</v>
      </c>
      <c r="D397" t="str">
        <f t="shared" si="27"/>
        <v>.</v>
      </c>
      <c r="E397" t="str">
        <f t="shared" si="25"/>
        <v>mod/workshop:addinstance</v>
      </c>
      <c r="F397" t="str">
        <f t="shared" si="26"/>
        <v>mod/forum:exportdiscussion</v>
      </c>
      <c r="G397" t="s">
        <v>1135</v>
      </c>
    </row>
    <row r="398" spans="1:7">
      <c r="A398" t="s">
        <v>1129</v>
      </c>
      <c r="B398" t="s">
        <v>1470</v>
      </c>
      <c r="C398" t="str">
        <f t="shared" si="24"/>
        <v>.</v>
      </c>
      <c r="D398" t="str">
        <f t="shared" si="27"/>
        <v>.</v>
      </c>
      <c r="E398" t="str">
        <f t="shared" si="25"/>
        <v>mod/workshop:allocate</v>
      </c>
      <c r="F398" t="str">
        <f t="shared" si="26"/>
        <v>mod/forum:exportownpost</v>
      </c>
      <c r="G398" t="s">
        <v>1135</v>
      </c>
    </row>
    <row r="399" spans="1:7">
      <c r="A399" t="s">
        <v>1131</v>
      </c>
      <c r="B399" t="s">
        <v>1472</v>
      </c>
      <c r="C399" t="str">
        <f t="shared" si="24"/>
        <v>.</v>
      </c>
      <c r="D399" t="str">
        <f t="shared" si="27"/>
        <v>.</v>
      </c>
      <c r="E399" t="str">
        <f t="shared" si="25"/>
        <v>mod/workshop:editdimensions</v>
      </c>
      <c r="F399" t="str">
        <f t="shared" si="26"/>
        <v>mod/forum:exportpost</v>
      </c>
      <c r="G399" t="s">
        <v>1137</v>
      </c>
    </row>
    <row r="400" spans="1:7">
      <c r="A400" t="s">
        <v>1133</v>
      </c>
      <c r="B400" t="s">
        <v>1474</v>
      </c>
      <c r="C400" t="str">
        <f t="shared" si="24"/>
        <v>.</v>
      </c>
      <c r="D400" t="str">
        <f t="shared" si="27"/>
        <v>.</v>
      </c>
      <c r="E400" t="str">
        <f t="shared" si="25"/>
        <v>mod/workshop:ignoredeadlines</v>
      </c>
      <c r="F400" t="str">
        <f t="shared" si="26"/>
        <v>mod/forum:managesubscriptions</v>
      </c>
      <c r="G400" t="s">
        <v>1137</v>
      </c>
    </row>
    <row r="401" spans="1:7">
      <c r="A401" t="s">
        <v>1135</v>
      </c>
      <c r="B401" t="s">
        <v>1476</v>
      </c>
      <c r="C401" t="str">
        <f t="shared" si="24"/>
        <v>.</v>
      </c>
      <c r="D401" t="str">
        <f t="shared" si="27"/>
        <v>.</v>
      </c>
      <c r="E401" t="str">
        <f t="shared" si="25"/>
        <v>mod/workshop:manageexamples</v>
      </c>
      <c r="F401" t="str">
        <f t="shared" si="26"/>
        <v>mod/forum:movediscussions</v>
      </c>
      <c r="G401" t="s">
        <v>1139</v>
      </c>
    </row>
    <row r="402" spans="1:7">
      <c r="A402" t="s">
        <v>1137</v>
      </c>
      <c r="B402" t="s">
        <v>1478</v>
      </c>
      <c r="C402" t="str">
        <f t="shared" si="24"/>
        <v>.</v>
      </c>
      <c r="D402" t="str">
        <f t="shared" si="27"/>
        <v>.</v>
      </c>
      <c r="E402" t="str">
        <f t="shared" si="25"/>
        <v>mod/workshop:overridegrades</v>
      </c>
      <c r="F402" t="str">
        <f t="shared" si="26"/>
        <v>mod/forum:postwithoutthrottling</v>
      </c>
      <c r="G402" t="s">
        <v>1139</v>
      </c>
    </row>
    <row r="403" spans="1:7">
      <c r="A403" t="s">
        <v>1139</v>
      </c>
      <c r="B403" t="s">
        <v>1480</v>
      </c>
      <c r="C403" t="str">
        <f t="shared" si="24"/>
        <v>.</v>
      </c>
      <c r="D403" t="str">
        <f t="shared" si="27"/>
        <v>.</v>
      </c>
      <c r="E403" t="str">
        <f t="shared" si="25"/>
        <v>mod/workshop:peerassess</v>
      </c>
      <c r="F403" t="str">
        <f t="shared" si="26"/>
        <v>mod/forum:rate</v>
      </c>
      <c r="G403" t="s">
        <v>1141</v>
      </c>
    </row>
    <row r="404" spans="1:7">
      <c r="A404" t="s">
        <v>1141</v>
      </c>
      <c r="B404" t="s">
        <v>1482</v>
      </c>
      <c r="C404" t="str">
        <f t="shared" si="24"/>
        <v>.</v>
      </c>
      <c r="D404" t="str">
        <f t="shared" si="27"/>
        <v>.</v>
      </c>
      <c r="E404" t="str">
        <f t="shared" si="25"/>
        <v>mod/workshop:publishsubmissions</v>
      </c>
      <c r="F404" t="str">
        <f t="shared" si="26"/>
        <v>mod/forum:replynews</v>
      </c>
      <c r="G404" t="s">
        <v>1141</v>
      </c>
    </row>
    <row r="405" spans="1:7">
      <c r="A405" t="s">
        <v>1143</v>
      </c>
      <c r="B405" t="s">
        <v>1484</v>
      </c>
      <c r="C405" t="str">
        <f t="shared" si="24"/>
        <v>.</v>
      </c>
      <c r="D405" t="str">
        <f t="shared" si="27"/>
        <v>.</v>
      </c>
      <c r="E405" t="str">
        <f t="shared" si="25"/>
        <v>mod/workshop:submit</v>
      </c>
      <c r="F405" t="str">
        <f t="shared" si="26"/>
        <v>mod/forum:replypost</v>
      </c>
      <c r="G405" t="s">
        <v>1143</v>
      </c>
    </row>
    <row r="406" spans="1:7">
      <c r="A406" t="s">
        <v>1145</v>
      </c>
      <c r="B406" t="s">
        <v>1486</v>
      </c>
      <c r="C406" t="str">
        <f t="shared" si="24"/>
        <v>.</v>
      </c>
      <c r="D406" t="str">
        <f t="shared" si="27"/>
        <v>.</v>
      </c>
      <c r="E406" t="str">
        <f t="shared" si="25"/>
        <v>mod/workshop:switchphase</v>
      </c>
      <c r="F406" t="str">
        <f t="shared" si="26"/>
        <v>mod/forum:splitdiscussions</v>
      </c>
      <c r="G406" t="s">
        <v>1143</v>
      </c>
    </row>
    <row r="407" spans="1:7">
      <c r="A407" t="s">
        <v>1147</v>
      </c>
      <c r="B407" t="s">
        <v>1488</v>
      </c>
      <c r="C407" t="str">
        <f t="shared" si="24"/>
        <v>.</v>
      </c>
      <c r="D407" t="str">
        <f t="shared" si="27"/>
        <v>.</v>
      </c>
      <c r="E407" t="str">
        <f t="shared" si="25"/>
        <v>mod/workshop:view</v>
      </c>
      <c r="F407" t="str">
        <f t="shared" si="26"/>
        <v>mod/forum:startdiscussion</v>
      </c>
      <c r="G407" t="s">
        <v>1145</v>
      </c>
    </row>
    <row r="408" spans="1:7">
      <c r="A408" t="s">
        <v>1148</v>
      </c>
      <c r="B408" t="s">
        <v>1490</v>
      </c>
      <c r="C408" t="str">
        <f t="shared" si="24"/>
        <v>.</v>
      </c>
      <c r="D408" t="str">
        <f t="shared" si="27"/>
        <v>.</v>
      </c>
      <c r="E408" t="str">
        <f t="shared" si="25"/>
        <v>mod/workshop:viewallassessments</v>
      </c>
      <c r="F408" t="str">
        <f t="shared" si="26"/>
        <v>mod/forum:viewallratings</v>
      </c>
      <c r="G408" t="s">
        <v>1145</v>
      </c>
    </row>
    <row r="409" spans="1:7">
      <c r="A409" t="s">
        <v>1149</v>
      </c>
      <c r="B409" t="s">
        <v>1492</v>
      </c>
      <c r="C409" t="str">
        <f t="shared" si="24"/>
        <v>.</v>
      </c>
      <c r="D409" t="str">
        <f t="shared" si="27"/>
        <v>.</v>
      </c>
      <c r="E409" t="str">
        <f t="shared" si="25"/>
        <v>mod/workshop:viewallsubmissions</v>
      </c>
      <c r="F409" t="str">
        <f t="shared" si="26"/>
        <v>mod/forum:viewanyrating</v>
      </c>
      <c r="G409" t="s">
        <v>1147</v>
      </c>
    </row>
    <row r="410" spans="1:7">
      <c r="A410" t="s">
        <v>1151</v>
      </c>
      <c r="B410" t="s">
        <v>1494</v>
      </c>
      <c r="C410" t="str">
        <f t="shared" si="24"/>
        <v>.</v>
      </c>
      <c r="D410" t="str">
        <f t="shared" si="27"/>
        <v>.</v>
      </c>
      <c r="E410" t="str">
        <f t="shared" si="25"/>
        <v>mod/workshop:viewauthornames</v>
      </c>
      <c r="F410" t="str">
        <f t="shared" si="26"/>
        <v>mod/forum:viewdiscussion</v>
      </c>
      <c r="G410" t="s">
        <v>1147</v>
      </c>
    </row>
    <row r="411" spans="1:7">
      <c r="A411" t="s">
        <v>1153</v>
      </c>
      <c r="B411" t="s">
        <v>1496</v>
      </c>
      <c r="C411" t="str">
        <f t="shared" si="24"/>
        <v>.</v>
      </c>
      <c r="D411" t="str">
        <f t="shared" si="27"/>
        <v>.</v>
      </c>
      <c r="E411" t="str">
        <f t="shared" si="25"/>
        <v>mod/workshop:viewauthorpublished</v>
      </c>
      <c r="F411" t="str">
        <f t="shared" si="26"/>
        <v>mod/forum:viewhiddentimedposts</v>
      </c>
      <c r="G411" t="s">
        <v>1148</v>
      </c>
    </row>
    <row r="412" spans="1:7">
      <c r="A412" t="s">
        <v>1155</v>
      </c>
      <c r="B412" t="s">
        <v>1498</v>
      </c>
      <c r="C412" t="str">
        <f t="shared" si="24"/>
        <v>.</v>
      </c>
      <c r="D412" t="str">
        <f t="shared" si="27"/>
        <v>.</v>
      </c>
      <c r="E412" t="str">
        <f t="shared" si="25"/>
        <v>mod/workshop:viewpublishedsubmissions</v>
      </c>
      <c r="F412" t="str">
        <f t="shared" si="26"/>
        <v>mod/forum:viewqandawithoutposting</v>
      </c>
      <c r="G412" t="s">
        <v>1148</v>
      </c>
    </row>
    <row r="413" spans="1:7">
      <c r="A413" t="s">
        <v>1156</v>
      </c>
      <c r="B413" t="s">
        <v>1500</v>
      </c>
      <c r="C413" t="str">
        <f t="shared" si="24"/>
        <v>.</v>
      </c>
      <c r="D413" t="str">
        <f t="shared" si="27"/>
        <v>.</v>
      </c>
      <c r="E413" t="str">
        <f t="shared" si="25"/>
        <v>mod/workshop:viewreviewernames</v>
      </c>
      <c r="F413" t="str">
        <f t="shared" si="26"/>
        <v>mod/forum:viewrating</v>
      </c>
      <c r="G413" t="s">
        <v>1149</v>
      </c>
    </row>
    <row r="414" spans="1:7">
      <c r="A414" t="s">
        <v>1158</v>
      </c>
      <c r="B414" t="s">
        <v>657</v>
      </c>
      <c r="C414" t="str">
        <f t="shared" si="24"/>
        <v>.</v>
      </c>
      <c r="D414" t="str">
        <f t="shared" si="27"/>
        <v>.</v>
      </c>
      <c r="E414" t="str">
        <f t="shared" si="25"/>
        <v>moodle/backup:anonymise</v>
      </c>
      <c r="F414" t="str">
        <f t="shared" si="26"/>
        <v>mod/forum:viewsubscribers</v>
      </c>
      <c r="G414" t="s">
        <v>1149</v>
      </c>
    </row>
    <row r="415" spans="1:7">
      <c r="A415" t="s">
        <v>600</v>
      </c>
      <c r="B415" t="s">
        <v>1502</v>
      </c>
      <c r="C415" t="str">
        <f t="shared" si="24"/>
        <v>.</v>
      </c>
      <c r="D415" t="str">
        <f t="shared" si="27"/>
        <v>mod/forumng:addinstance</v>
      </c>
      <c r="E415" t="str">
        <f t="shared" si="25"/>
        <v>moodle/backup:backupactivity</v>
      </c>
      <c r="F415" t="b">
        <f t="shared" si="26"/>
        <v>0</v>
      </c>
      <c r="G415" t="s">
        <v>1151</v>
      </c>
    </row>
    <row r="416" spans="1:7">
      <c r="A416" t="s">
        <v>1160</v>
      </c>
      <c r="B416" t="s">
        <v>659</v>
      </c>
      <c r="C416" t="str">
        <f t="shared" si="24"/>
        <v>.</v>
      </c>
      <c r="D416" t="str">
        <f t="shared" si="27"/>
        <v>mod/forumng:copydiscussion</v>
      </c>
      <c r="E416" t="str">
        <f t="shared" si="25"/>
        <v>moodle/backup:backupcourse</v>
      </c>
      <c r="F416" t="b">
        <f t="shared" si="26"/>
        <v>0</v>
      </c>
      <c r="G416" t="s">
        <v>1151</v>
      </c>
    </row>
    <row r="417" spans="1:7">
      <c r="A417" t="s">
        <v>1161</v>
      </c>
      <c r="B417" t="s">
        <v>661</v>
      </c>
      <c r="C417" t="str">
        <f t="shared" si="24"/>
        <v>.</v>
      </c>
      <c r="D417" t="str">
        <f t="shared" si="27"/>
        <v>mod/forumng:createattachment</v>
      </c>
      <c r="E417" t="str">
        <f t="shared" si="25"/>
        <v>moodle/backup:backupsection</v>
      </c>
      <c r="F417" t="b">
        <f t="shared" si="26"/>
        <v>0</v>
      </c>
      <c r="G417" t="s">
        <v>1153</v>
      </c>
    </row>
    <row r="418" spans="1:7">
      <c r="A418" t="s">
        <v>1163</v>
      </c>
      <c r="B418" t="s">
        <v>663</v>
      </c>
      <c r="C418" t="str">
        <f t="shared" si="24"/>
        <v>.</v>
      </c>
      <c r="D418" t="str">
        <f t="shared" si="27"/>
        <v>mod/forumng:deleteanypost</v>
      </c>
      <c r="E418" t="str">
        <f t="shared" si="25"/>
        <v>moodle/backup:backuptargethub</v>
      </c>
      <c r="F418" t="b">
        <f t="shared" si="26"/>
        <v>0</v>
      </c>
      <c r="G418" t="s">
        <v>1153</v>
      </c>
    </row>
    <row r="419" spans="1:7">
      <c r="A419" t="s">
        <v>1164</v>
      </c>
      <c r="B419" t="s">
        <v>665</v>
      </c>
      <c r="C419" t="str">
        <f t="shared" si="24"/>
        <v>.</v>
      </c>
      <c r="D419" t="str">
        <f t="shared" si="27"/>
        <v>mod/forumng:editanypost</v>
      </c>
      <c r="E419" t="str">
        <f t="shared" si="25"/>
        <v>moodle/backup:backuptargetimport</v>
      </c>
      <c r="F419" t="b">
        <f t="shared" si="26"/>
        <v>0</v>
      </c>
      <c r="G419" t="s">
        <v>1155</v>
      </c>
    </row>
    <row r="420" spans="1:7">
      <c r="A420" t="s">
        <v>1166</v>
      </c>
      <c r="B420" t="s">
        <v>667</v>
      </c>
      <c r="C420" t="str">
        <f t="shared" si="24"/>
        <v>.</v>
      </c>
      <c r="D420" t="str">
        <f t="shared" si="27"/>
        <v>mod/forumng:forwardposts</v>
      </c>
      <c r="E420" t="str">
        <f t="shared" si="25"/>
        <v>moodle/backup:configure</v>
      </c>
      <c r="F420" t="b">
        <f t="shared" si="26"/>
        <v>0</v>
      </c>
      <c r="G420" t="s">
        <v>1155</v>
      </c>
    </row>
    <row r="421" spans="1:7">
      <c r="A421" t="s">
        <v>1168</v>
      </c>
      <c r="B421" t="s">
        <v>669</v>
      </c>
      <c r="C421" t="str">
        <f t="shared" si="24"/>
        <v>.</v>
      </c>
      <c r="D421" t="str">
        <f t="shared" si="27"/>
        <v>mod/forumng:grade</v>
      </c>
      <c r="E421" t="str">
        <f t="shared" si="25"/>
        <v>moodle/backup:downloadfile</v>
      </c>
      <c r="F421" t="b">
        <f t="shared" si="26"/>
        <v>0</v>
      </c>
      <c r="G421" t="s">
        <v>1156</v>
      </c>
    </row>
    <row r="422" spans="1:7">
      <c r="A422" t="s">
        <v>1170</v>
      </c>
      <c r="B422" t="s">
        <v>671</v>
      </c>
      <c r="C422" t="str">
        <f t="shared" si="24"/>
        <v>.</v>
      </c>
      <c r="D422" t="str">
        <f t="shared" si="27"/>
        <v>mod/forumng:ignorepostlimits</v>
      </c>
      <c r="E422" t="str">
        <f t="shared" si="25"/>
        <v>moodle/backup:userinfo</v>
      </c>
      <c r="F422" t="b">
        <f t="shared" si="26"/>
        <v>0</v>
      </c>
      <c r="G422" t="s">
        <v>1156</v>
      </c>
    </row>
    <row r="423" spans="1:7">
      <c r="A423" t="s">
        <v>1172</v>
      </c>
      <c r="B423" t="s">
        <v>673</v>
      </c>
      <c r="C423" t="str">
        <f t="shared" si="24"/>
        <v>.</v>
      </c>
      <c r="D423" t="str">
        <f t="shared" si="27"/>
        <v>mod/forumng:mailnow</v>
      </c>
      <c r="E423" t="str">
        <f t="shared" si="25"/>
        <v>moodle/badges:awardbadge</v>
      </c>
      <c r="F423" t="b">
        <f t="shared" si="26"/>
        <v>0</v>
      </c>
      <c r="G423" t="s">
        <v>1158</v>
      </c>
    </row>
    <row r="424" spans="1:7">
      <c r="A424" t="s">
        <v>1174</v>
      </c>
      <c r="B424" t="s">
        <v>675</v>
      </c>
      <c r="C424" t="str">
        <f t="shared" si="24"/>
        <v>.</v>
      </c>
      <c r="D424" t="str">
        <f t="shared" si="27"/>
        <v>mod/forumng:managediscussions</v>
      </c>
      <c r="E424" t="str">
        <f t="shared" si="25"/>
        <v>moodle/badges:configurecriteria</v>
      </c>
      <c r="F424" t="b">
        <f t="shared" si="26"/>
        <v>0</v>
      </c>
      <c r="G424" t="s">
        <v>1158</v>
      </c>
    </row>
    <row r="425" spans="1:7">
      <c r="A425" t="s">
        <v>1175</v>
      </c>
      <c r="B425" t="s">
        <v>677</v>
      </c>
      <c r="C425" t="str">
        <f t="shared" si="24"/>
        <v>.</v>
      </c>
      <c r="D425" t="str">
        <f t="shared" si="27"/>
        <v>mod/forumng:managesubscriptions</v>
      </c>
      <c r="E425" t="str">
        <f t="shared" si="25"/>
        <v>moodle/badges:configuredetails</v>
      </c>
      <c r="F425" t="b">
        <f t="shared" si="26"/>
        <v>0</v>
      </c>
      <c r="G425" t="s">
        <v>602</v>
      </c>
    </row>
    <row r="426" spans="1:7">
      <c r="A426" t="s">
        <v>1176</v>
      </c>
      <c r="B426" t="s">
        <v>679</v>
      </c>
      <c r="C426" t="str">
        <f t="shared" si="24"/>
        <v>.</v>
      </c>
      <c r="D426" t="str">
        <f t="shared" si="27"/>
        <v>mod/forumng:movediscussions</v>
      </c>
      <c r="E426" t="str">
        <f t="shared" si="25"/>
        <v>moodle/badges:configuremessages</v>
      </c>
      <c r="F426" t="b">
        <f t="shared" si="26"/>
        <v>0</v>
      </c>
      <c r="G426" t="s">
        <v>602</v>
      </c>
    </row>
    <row r="427" spans="1:7">
      <c r="A427" t="s">
        <v>1178</v>
      </c>
      <c r="B427" t="s">
        <v>681</v>
      </c>
      <c r="C427" t="str">
        <f t="shared" si="24"/>
        <v>.</v>
      </c>
      <c r="D427" t="str">
        <f t="shared" si="27"/>
        <v>mod/forumng:postanon</v>
      </c>
      <c r="E427" t="str">
        <f t="shared" si="25"/>
        <v>moodle/badges:createbadge</v>
      </c>
      <c r="F427" t="b">
        <f t="shared" si="26"/>
        <v>0</v>
      </c>
      <c r="G427" t="s">
        <v>1199</v>
      </c>
    </row>
    <row r="428" spans="1:7">
      <c r="A428" t="s">
        <v>1180</v>
      </c>
      <c r="B428" t="s">
        <v>683</v>
      </c>
      <c r="C428" t="str">
        <f t="shared" si="24"/>
        <v>.</v>
      </c>
      <c r="D428" t="str">
        <f t="shared" si="27"/>
        <v>mod/forumng:postasmoderator</v>
      </c>
      <c r="E428" t="str">
        <f t="shared" si="25"/>
        <v>moodle/badges:deletebadge</v>
      </c>
      <c r="F428" t="b">
        <f t="shared" si="26"/>
        <v>0</v>
      </c>
      <c r="G428" t="s">
        <v>1199</v>
      </c>
    </row>
    <row r="429" spans="1:7">
      <c r="A429" t="s">
        <v>1181</v>
      </c>
      <c r="B429" t="s">
        <v>129</v>
      </c>
      <c r="C429" t="str">
        <f t="shared" si="24"/>
        <v>.</v>
      </c>
      <c r="D429" t="str">
        <f t="shared" si="27"/>
        <v>mod/forumng:rate</v>
      </c>
      <c r="E429" t="str">
        <f t="shared" si="25"/>
        <v>moodle/badges:earnbadge</v>
      </c>
      <c r="F429" t="b">
        <f t="shared" si="26"/>
        <v>0</v>
      </c>
      <c r="G429" t="s">
        <v>1201</v>
      </c>
    </row>
    <row r="430" spans="1:7">
      <c r="A430" t="s">
        <v>1182</v>
      </c>
      <c r="B430" t="s">
        <v>87</v>
      </c>
      <c r="C430" t="str">
        <f t="shared" si="24"/>
        <v>.</v>
      </c>
      <c r="D430" t="str">
        <f t="shared" si="27"/>
        <v>mod/forumng:replypost</v>
      </c>
      <c r="E430" t="str">
        <f t="shared" si="25"/>
        <v>moodle/badges:manageglobalsettings</v>
      </c>
      <c r="F430" t="b">
        <f t="shared" si="26"/>
        <v>0</v>
      </c>
      <c r="G430" t="s">
        <v>1201</v>
      </c>
    </row>
    <row r="431" spans="1:7">
      <c r="A431" t="s">
        <v>1184</v>
      </c>
      <c r="B431" t="s">
        <v>125</v>
      </c>
      <c r="C431" t="str">
        <f t="shared" si="24"/>
        <v>.</v>
      </c>
      <c r="D431" t="str">
        <f t="shared" si="27"/>
        <v>mod/forumng:setimportant</v>
      </c>
      <c r="E431" t="str">
        <f t="shared" si="25"/>
        <v>moodle/badges:manageownbadges</v>
      </c>
      <c r="F431" t="b">
        <f t="shared" si="26"/>
        <v>0</v>
      </c>
      <c r="G431" t="s">
        <v>1203</v>
      </c>
    </row>
    <row r="432" spans="1:7">
      <c r="A432" t="s">
        <v>1185</v>
      </c>
      <c r="B432" t="s">
        <v>685</v>
      </c>
      <c r="C432" t="str">
        <f t="shared" si="24"/>
        <v>.</v>
      </c>
      <c r="D432" t="str">
        <f t="shared" si="27"/>
        <v>mod/forumng:splitdiscussions</v>
      </c>
      <c r="E432" t="str">
        <f t="shared" si="25"/>
        <v>moodle/badges:viewawarded</v>
      </c>
      <c r="F432" t="b">
        <f t="shared" si="26"/>
        <v>0</v>
      </c>
      <c r="G432" t="s">
        <v>1203</v>
      </c>
    </row>
    <row r="433" spans="1:7">
      <c r="A433" t="s">
        <v>1186</v>
      </c>
      <c r="B433" t="s">
        <v>131</v>
      </c>
      <c r="C433" t="str">
        <f t="shared" si="24"/>
        <v>.</v>
      </c>
      <c r="D433" t="str">
        <f t="shared" si="27"/>
        <v>mod/forumng:startdiscussion</v>
      </c>
      <c r="E433" t="str">
        <f t="shared" si="25"/>
        <v>moodle/badges:viewbadges</v>
      </c>
      <c r="F433" t="b">
        <f t="shared" si="26"/>
        <v>0</v>
      </c>
      <c r="G433" t="s">
        <v>1205</v>
      </c>
    </row>
    <row r="434" spans="1:7">
      <c r="A434" t="s">
        <v>1188</v>
      </c>
      <c r="B434" t="s">
        <v>389</v>
      </c>
      <c r="C434" t="str">
        <f t="shared" si="24"/>
        <v>.</v>
      </c>
      <c r="D434" t="str">
        <f t="shared" si="27"/>
        <v>mod/forumng:view</v>
      </c>
      <c r="E434" t="str">
        <f t="shared" si="25"/>
        <v>moodle/badges:viewotherbadges</v>
      </c>
      <c r="F434" t="b">
        <f t="shared" si="26"/>
        <v>0</v>
      </c>
      <c r="G434" t="s">
        <v>1205</v>
      </c>
    </row>
    <row r="435" spans="1:7">
      <c r="A435" t="s">
        <v>1190</v>
      </c>
      <c r="B435" t="s">
        <v>1696</v>
      </c>
      <c r="C435" t="str">
        <f t="shared" si="24"/>
        <v>.</v>
      </c>
      <c r="D435" t="str">
        <f t="shared" si="27"/>
        <v>mod/forumng:viewallposts</v>
      </c>
      <c r="E435" t="str">
        <f t="shared" si="25"/>
        <v>moodle/block:edit</v>
      </c>
      <c r="F435" t="b">
        <f t="shared" si="26"/>
        <v>0</v>
      </c>
      <c r="G435" t="s">
        <v>1207</v>
      </c>
    </row>
    <row r="436" spans="1:7">
      <c r="A436" t="s">
        <v>1192</v>
      </c>
      <c r="B436" t="s">
        <v>248</v>
      </c>
      <c r="C436" t="str">
        <f t="shared" si="24"/>
        <v>.</v>
      </c>
      <c r="D436" t="str">
        <f t="shared" si="27"/>
        <v>mod/forumng:viewanyrating</v>
      </c>
      <c r="E436" t="str">
        <f t="shared" si="25"/>
        <v>moodle/block:view</v>
      </c>
      <c r="F436" t="b">
        <f t="shared" si="26"/>
        <v>0</v>
      </c>
      <c r="G436" t="s">
        <v>1207</v>
      </c>
    </row>
    <row r="437" spans="1:7">
      <c r="A437" t="s">
        <v>1193</v>
      </c>
      <c r="B437" t="s">
        <v>133</v>
      </c>
      <c r="C437" t="str">
        <f t="shared" si="24"/>
        <v>.</v>
      </c>
      <c r="D437" t="str">
        <f t="shared" si="27"/>
        <v>mod/forumng:viewdiscussion</v>
      </c>
      <c r="E437" t="str">
        <f t="shared" si="25"/>
        <v>moodle/blog:associatecourse</v>
      </c>
      <c r="F437" t="b">
        <f t="shared" si="26"/>
        <v>0</v>
      </c>
      <c r="G437" t="s">
        <v>1209</v>
      </c>
    </row>
    <row r="438" spans="1:7">
      <c r="A438" t="s">
        <v>1195</v>
      </c>
      <c r="B438" t="s">
        <v>174</v>
      </c>
      <c r="C438" t="str">
        <f t="shared" si="24"/>
        <v>.</v>
      </c>
      <c r="D438" t="str">
        <f t="shared" si="27"/>
        <v>mod/forumng:viewrating</v>
      </c>
      <c r="E438" t="str">
        <f t="shared" si="25"/>
        <v>moodle/blog:associatemodule</v>
      </c>
      <c r="F438" t="b">
        <f t="shared" si="26"/>
        <v>0</v>
      </c>
      <c r="G438" t="s">
        <v>1209</v>
      </c>
    </row>
    <row r="439" spans="1:7">
      <c r="A439" t="s">
        <v>1197</v>
      </c>
      <c r="B439" t="s">
        <v>89</v>
      </c>
      <c r="C439" t="str">
        <f t="shared" si="24"/>
        <v>.</v>
      </c>
      <c r="D439" t="str">
        <f t="shared" si="27"/>
        <v>mod/forumng:viewreadinfo</v>
      </c>
      <c r="E439" t="str">
        <f t="shared" si="25"/>
        <v>moodle/blog:create</v>
      </c>
      <c r="F439" t="b">
        <f t="shared" si="26"/>
        <v>0</v>
      </c>
      <c r="G439" t="s">
        <v>1210</v>
      </c>
    </row>
    <row r="440" spans="1:7">
      <c r="A440" t="s">
        <v>1198</v>
      </c>
      <c r="B440" t="s">
        <v>321</v>
      </c>
      <c r="C440" t="str">
        <f t="shared" si="24"/>
        <v>.</v>
      </c>
      <c r="D440" t="str">
        <f t="shared" si="27"/>
        <v>mod/forumng:viewsubscribers</v>
      </c>
      <c r="E440" t="str">
        <f t="shared" si="25"/>
        <v>moodle/blog:manageentries</v>
      </c>
      <c r="F440" t="b">
        <f t="shared" si="26"/>
        <v>0</v>
      </c>
      <c r="G440" t="s">
        <v>1210</v>
      </c>
    </row>
    <row r="441" spans="1:7">
      <c r="A441" t="s">
        <v>602</v>
      </c>
      <c r="B441" t="s">
        <v>91</v>
      </c>
      <c r="C441" t="str">
        <f t="shared" si="24"/>
        <v>.</v>
      </c>
      <c r="D441" t="str">
        <f t="shared" si="27"/>
        <v>.</v>
      </c>
      <c r="E441" t="str">
        <f t="shared" si="25"/>
        <v>moodle/blog:manageexternal</v>
      </c>
      <c r="F441" t="str">
        <f t="shared" si="26"/>
        <v>mod/glossary:addinstance</v>
      </c>
      <c r="G441" t="s">
        <v>1211</v>
      </c>
    </row>
    <row r="442" spans="1:7">
      <c r="A442" t="s">
        <v>1199</v>
      </c>
      <c r="B442" t="s">
        <v>93</v>
      </c>
      <c r="C442" t="str">
        <f t="shared" si="24"/>
        <v>.</v>
      </c>
      <c r="D442" t="str">
        <f t="shared" si="27"/>
        <v>.</v>
      </c>
      <c r="E442" t="str">
        <f t="shared" si="25"/>
        <v>moodle/blog:search</v>
      </c>
      <c r="F442" t="str">
        <f t="shared" si="26"/>
        <v>mod/glossary:approve</v>
      </c>
      <c r="G442" t="s">
        <v>1211</v>
      </c>
    </row>
    <row r="443" spans="1:7">
      <c r="A443" t="s">
        <v>1201</v>
      </c>
      <c r="B443" t="s">
        <v>95</v>
      </c>
      <c r="C443" t="str">
        <f t="shared" si="24"/>
        <v>.</v>
      </c>
      <c r="D443" t="str">
        <f t="shared" si="27"/>
        <v>.</v>
      </c>
      <c r="E443" t="str">
        <f t="shared" si="25"/>
        <v>moodle/blog:view</v>
      </c>
      <c r="F443" t="str">
        <f t="shared" si="26"/>
        <v>mod/glossary:comment</v>
      </c>
      <c r="G443" t="s">
        <v>1212</v>
      </c>
    </row>
    <row r="444" spans="1:7">
      <c r="A444" t="s">
        <v>1203</v>
      </c>
      <c r="B444" t="s">
        <v>323</v>
      </c>
      <c r="C444" t="str">
        <f t="shared" si="24"/>
        <v>.</v>
      </c>
      <c r="D444" t="str">
        <f t="shared" si="27"/>
        <v>.</v>
      </c>
      <c r="E444" t="str">
        <f t="shared" si="25"/>
        <v>moodle/blog:viewdrafts</v>
      </c>
      <c r="F444" t="str">
        <f t="shared" si="26"/>
        <v>mod/glossary:export</v>
      </c>
      <c r="G444" t="s">
        <v>1212</v>
      </c>
    </row>
    <row r="445" spans="1:7">
      <c r="A445" t="s">
        <v>1205</v>
      </c>
      <c r="B445" t="s">
        <v>687</v>
      </c>
      <c r="C445" t="str">
        <f t="shared" si="24"/>
        <v>.</v>
      </c>
      <c r="D445" t="str">
        <f t="shared" si="27"/>
        <v>.</v>
      </c>
      <c r="E445" t="str">
        <f t="shared" si="25"/>
        <v>moodle/calendar:manageentries</v>
      </c>
      <c r="F445" t="str">
        <f t="shared" si="26"/>
        <v>mod/glossary:exportentry</v>
      </c>
      <c r="G445" t="s">
        <v>1213</v>
      </c>
    </row>
    <row r="446" spans="1:7">
      <c r="A446" t="s">
        <v>1207</v>
      </c>
      <c r="B446" t="s">
        <v>689</v>
      </c>
      <c r="C446" t="str">
        <f t="shared" si="24"/>
        <v>.</v>
      </c>
      <c r="D446" t="str">
        <f t="shared" si="27"/>
        <v>.</v>
      </c>
      <c r="E446" t="str">
        <f t="shared" si="25"/>
        <v>moodle/calendar:managegroupentries</v>
      </c>
      <c r="F446" t="str">
        <f t="shared" si="26"/>
        <v>mod/glossary:exportownentry</v>
      </c>
      <c r="G446" t="s">
        <v>1213</v>
      </c>
    </row>
    <row r="447" spans="1:7">
      <c r="A447" t="s">
        <v>1209</v>
      </c>
      <c r="B447" t="s">
        <v>135</v>
      </c>
      <c r="C447" t="str">
        <f t="shared" si="24"/>
        <v>.</v>
      </c>
      <c r="D447" t="str">
        <f t="shared" si="27"/>
        <v>.</v>
      </c>
      <c r="E447" t="str">
        <f t="shared" si="25"/>
        <v>moodle/calendar:manageownentries</v>
      </c>
      <c r="F447" t="str">
        <f t="shared" si="26"/>
        <v>mod/glossary:import</v>
      </c>
      <c r="G447" t="s">
        <v>1215</v>
      </c>
    </row>
    <row r="448" spans="1:7">
      <c r="A448" t="s">
        <v>1210</v>
      </c>
      <c r="B448" t="s">
        <v>405</v>
      </c>
      <c r="C448" t="str">
        <f t="shared" si="24"/>
        <v>.</v>
      </c>
      <c r="D448" t="str">
        <f t="shared" si="27"/>
        <v>.</v>
      </c>
      <c r="E448" t="str">
        <f t="shared" si="25"/>
        <v>moodle/category:manage</v>
      </c>
      <c r="F448" t="str">
        <f t="shared" si="26"/>
        <v>mod/glossary:managecategories</v>
      </c>
      <c r="G448" t="s">
        <v>1215</v>
      </c>
    </row>
    <row r="449" spans="1:7">
      <c r="A449" t="s">
        <v>1211</v>
      </c>
      <c r="B449" t="s">
        <v>407</v>
      </c>
      <c r="C449" t="str">
        <f t="shared" si="24"/>
        <v>.</v>
      </c>
      <c r="D449" t="str">
        <f t="shared" si="27"/>
        <v>.</v>
      </c>
      <c r="E449" t="str">
        <f t="shared" si="25"/>
        <v>moodle/category:viewhiddencategories</v>
      </c>
      <c r="F449" t="str">
        <f t="shared" si="26"/>
        <v>mod/glossary:managecomments</v>
      </c>
      <c r="G449" t="s">
        <v>1216</v>
      </c>
    </row>
    <row r="450" spans="1:7">
      <c r="A450" t="s">
        <v>1212</v>
      </c>
      <c r="B450" t="s">
        <v>409</v>
      </c>
      <c r="C450" t="str">
        <f t="shared" si="24"/>
        <v>.</v>
      </c>
      <c r="D450" t="str">
        <f t="shared" si="27"/>
        <v>.</v>
      </c>
      <c r="E450" t="str">
        <f t="shared" si="25"/>
        <v>moodle/cohort:assign</v>
      </c>
      <c r="F450" t="str">
        <f t="shared" si="26"/>
        <v>mod/glossary:manageentries</v>
      </c>
      <c r="G450" t="s">
        <v>1216</v>
      </c>
    </row>
    <row r="451" spans="1:7">
      <c r="A451" t="s">
        <v>1213</v>
      </c>
      <c r="B451" t="s">
        <v>411</v>
      </c>
      <c r="C451" t="str">
        <f t="shared" ref="C451:C514" si="28">IF(VLOOKUP(B451,$A$2:$A$873,1)=B451,".",B451)</f>
        <v>.</v>
      </c>
      <c r="D451" t="str">
        <f t="shared" si="27"/>
        <v>.</v>
      </c>
      <c r="E451" t="str">
        <f t="shared" ref="E451:E514" si="29">IF(C451=".",B451)</f>
        <v>moodle/cohort:manage</v>
      </c>
      <c r="F451" t="str">
        <f t="shared" si="26"/>
        <v>mod/glossary:rate</v>
      </c>
      <c r="G451" t="s">
        <v>1217</v>
      </c>
    </row>
    <row r="452" spans="1:7">
      <c r="A452" t="s">
        <v>1215</v>
      </c>
      <c r="B452" t="s">
        <v>691</v>
      </c>
      <c r="C452" t="str">
        <f t="shared" si="28"/>
        <v>.</v>
      </c>
      <c r="D452" t="str">
        <f t="shared" si="27"/>
        <v>.</v>
      </c>
      <c r="E452" t="str">
        <f t="shared" si="29"/>
        <v>moodle/cohort:view</v>
      </c>
      <c r="F452" t="str">
        <f t="shared" ref="F452:F515" si="30">IF(D452=".",A452)</f>
        <v>mod/glossary:view</v>
      </c>
      <c r="G452" t="s">
        <v>1217</v>
      </c>
    </row>
    <row r="453" spans="1:7">
      <c r="A453" t="s">
        <v>1216</v>
      </c>
      <c r="B453" t="s">
        <v>693</v>
      </c>
      <c r="C453" t="str">
        <f t="shared" si="28"/>
        <v>.</v>
      </c>
      <c r="D453" t="str">
        <f t="shared" si="27"/>
        <v>.</v>
      </c>
      <c r="E453" t="str">
        <f t="shared" si="29"/>
        <v>moodle/comment:delete</v>
      </c>
      <c r="F453" t="str">
        <f t="shared" si="30"/>
        <v>mod/glossary:viewallratings</v>
      </c>
      <c r="G453" t="s">
        <v>1218</v>
      </c>
    </row>
    <row r="454" spans="1:7">
      <c r="A454" t="s">
        <v>1217</v>
      </c>
      <c r="B454" t="s">
        <v>137</v>
      </c>
      <c r="C454" t="str">
        <f t="shared" si="28"/>
        <v>.</v>
      </c>
      <c r="D454" t="str">
        <f t="shared" si="27"/>
        <v>.</v>
      </c>
      <c r="E454" t="str">
        <f t="shared" si="29"/>
        <v>moodle/comment:post</v>
      </c>
      <c r="F454" t="str">
        <f t="shared" si="30"/>
        <v>mod/glossary:viewanyrating</v>
      </c>
      <c r="G454" t="s">
        <v>1218</v>
      </c>
    </row>
    <row r="455" spans="1:7">
      <c r="A455" t="s">
        <v>1218</v>
      </c>
      <c r="B455" t="s">
        <v>139</v>
      </c>
      <c r="C455" t="str">
        <f t="shared" si="28"/>
        <v>.</v>
      </c>
      <c r="D455" t="str">
        <f t="shared" si="27"/>
        <v>.</v>
      </c>
      <c r="E455" t="str">
        <f t="shared" si="29"/>
        <v>moodle/comment:view</v>
      </c>
      <c r="F455" t="str">
        <f t="shared" si="30"/>
        <v>mod/glossary:viewrating</v>
      </c>
      <c r="G455" t="s">
        <v>1220</v>
      </c>
    </row>
    <row r="456" spans="1:7">
      <c r="A456" t="s">
        <v>1220</v>
      </c>
      <c r="B456" t="s">
        <v>325</v>
      </c>
      <c r="C456" t="str">
        <f t="shared" si="28"/>
        <v>.</v>
      </c>
      <c r="D456" t="str">
        <f t="shared" ref="D456:D519" si="31">IF(VLOOKUP(A456,$B$2:$B$631,1)=A456,".",A456)</f>
        <v>.</v>
      </c>
      <c r="E456" t="str">
        <f t="shared" si="29"/>
        <v>moodle/community:add</v>
      </c>
      <c r="F456" t="str">
        <f t="shared" si="30"/>
        <v>mod/glossary:write</v>
      </c>
      <c r="G456" t="s">
        <v>1220</v>
      </c>
    </row>
    <row r="457" spans="1:7">
      <c r="A457" t="s">
        <v>604</v>
      </c>
      <c r="B457" t="s">
        <v>327</v>
      </c>
      <c r="C457" t="str">
        <f t="shared" si="28"/>
        <v>.</v>
      </c>
      <c r="D457" t="str">
        <f t="shared" si="31"/>
        <v>.</v>
      </c>
      <c r="E457" t="str">
        <f t="shared" si="29"/>
        <v>moodle/community:download</v>
      </c>
      <c r="F457" t="str">
        <f t="shared" si="30"/>
        <v>mod/hotpot:addinstance</v>
      </c>
      <c r="G457" t="s">
        <v>604</v>
      </c>
    </row>
    <row r="458" spans="1:7">
      <c r="A458" t="s">
        <v>1222</v>
      </c>
      <c r="B458" t="s">
        <v>1504</v>
      </c>
      <c r="C458" t="str">
        <f t="shared" si="28"/>
        <v>.</v>
      </c>
      <c r="D458" t="str">
        <f t="shared" si="31"/>
        <v>.</v>
      </c>
      <c r="E458" t="str">
        <f t="shared" si="29"/>
        <v>moodle/course:activityvisibility</v>
      </c>
      <c r="F458" t="str">
        <f t="shared" si="30"/>
        <v>mod/hotpot:attempt</v>
      </c>
      <c r="G458" t="s">
        <v>604</v>
      </c>
    </row>
    <row r="459" spans="1:7">
      <c r="A459" t="s">
        <v>1224</v>
      </c>
      <c r="B459" t="s">
        <v>695</v>
      </c>
      <c r="C459" t="str">
        <f t="shared" si="28"/>
        <v>.</v>
      </c>
      <c r="D459" t="str">
        <f t="shared" si="31"/>
        <v>.</v>
      </c>
      <c r="E459" t="str">
        <f t="shared" si="29"/>
        <v>moodle/course:bulkmessaging</v>
      </c>
      <c r="F459" t="str">
        <f t="shared" si="30"/>
        <v>mod/hotpot:deleteallattempts</v>
      </c>
      <c r="G459" t="s">
        <v>1222</v>
      </c>
    </row>
    <row r="460" spans="1:7">
      <c r="A460" t="s">
        <v>1226</v>
      </c>
      <c r="B460" t="s">
        <v>697</v>
      </c>
      <c r="C460" t="str">
        <f t="shared" si="28"/>
        <v>.</v>
      </c>
      <c r="D460" t="str">
        <f t="shared" si="31"/>
        <v>.</v>
      </c>
      <c r="E460" t="str">
        <f t="shared" si="29"/>
        <v>moodle/course:changecategory</v>
      </c>
      <c r="F460" t="str">
        <f t="shared" si="30"/>
        <v>mod/hotpot:deletemyattempts</v>
      </c>
      <c r="G460" t="s">
        <v>1222</v>
      </c>
    </row>
    <row r="461" spans="1:7">
      <c r="A461" t="s">
        <v>1228</v>
      </c>
      <c r="B461" t="s">
        <v>699</v>
      </c>
      <c r="C461" t="str">
        <f t="shared" si="28"/>
        <v>.</v>
      </c>
      <c r="D461" t="str">
        <f t="shared" si="31"/>
        <v>.</v>
      </c>
      <c r="E461" t="str">
        <f t="shared" si="29"/>
        <v>moodle/course:changefullname</v>
      </c>
      <c r="F461" t="str">
        <f t="shared" si="30"/>
        <v>mod/hotpot:manage</v>
      </c>
      <c r="G461" t="s">
        <v>1224</v>
      </c>
    </row>
    <row r="462" spans="1:7">
      <c r="A462" t="s">
        <v>1230</v>
      </c>
      <c r="B462" t="s">
        <v>701</v>
      </c>
      <c r="C462" t="str">
        <f t="shared" si="28"/>
        <v>.</v>
      </c>
      <c r="D462" t="str">
        <f t="shared" si="31"/>
        <v>.</v>
      </c>
      <c r="E462" t="str">
        <f t="shared" si="29"/>
        <v>moodle/course:changeidnumber</v>
      </c>
      <c r="F462" t="str">
        <f t="shared" si="30"/>
        <v>mod/hotpot:preview</v>
      </c>
      <c r="G462" t="s">
        <v>1224</v>
      </c>
    </row>
    <row r="463" spans="1:7">
      <c r="A463" t="s">
        <v>1232</v>
      </c>
      <c r="B463" t="s">
        <v>703</v>
      </c>
      <c r="C463" t="str">
        <f t="shared" si="28"/>
        <v>.</v>
      </c>
      <c r="D463" t="str">
        <f t="shared" si="31"/>
        <v>.</v>
      </c>
      <c r="E463" t="str">
        <f t="shared" si="29"/>
        <v>moodle/course:changeshortname</v>
      </c>
      <c r="F463" t="str">
        <f t="shared" si="30"/>
        <v>mod/hotpot:reviewallattempts</v>
      </c>
      <c r="G463" t="s">
        <v>1226</v>
      </c>
    </row>
    <row r="464" spans="1:7">
      <c r="A464" t="s">
        <v>1234</v>
      </c>
      <c r="B464" t="s">
        <v>705</v>
      </c>
      <c r="C464" t="str">
        <f t="shared" si="28"/>
        <v>.</v>
      </c>
      <c r="D464" t="str">
        <f t="shared" si="31"/>
        <v>.</v>
      </c>
      <c r="E464" t="str">
        <f t="shared" si="29"/>
        <v>moodle/course:changesummary</v>
      </c>
      <c r="F464" t="str">
        <f t="shared" si="30"/>
        <v>mod/hotpot:reviewmyattempts</v>
      </c>
      <c r="G464" t="s">
        <v>1226</v>
      </c>
    </row>
    <row r="465" spans="1:7">
      <c r="A465" t="s">
        <v>1236</v>
      </c>
      <c r="B465" t="s">
        <v>413</v>
      </c>
      <c r="C465" t="str">
        <f t="shared" si="28"/>
        <v>.</v>
      </c>
      <c r="D465" t="str">
        <f t="shared" si="31"/>
        <v>.</v>
      </c>
      <c r="E465" t="str">
        <f t="shared" si="29"/>
        <v>moodle/course:create</v>
      </c>
      <c r="F465" t="str">
        <f t="shared" si="30"/>
        <v>mod/hotpot:view</v>
      </c>
      <c r="G465" t="s">
        <v>1228</v>
      </c>
    </row>
    <row r="466" spans="1:7">
      <c r="A466" t="s">
        <v>605</v>
      </c>
      <c r="B466" t="s">
        <v>707</v>
      </c>
      <c r="C466" t="str">
        <f t="shared" si="28"/>
        <v>.</v>
      </c>
      <c r="D466" t="str">
        <f t="shared" si="31"/>
        <v>.</v>
      </c>
      <c r="E466" t="str">
        <f t="shared" si="29"/>
        <v>moodle/course:delete</v>
      </c>
      <c r="F466" t="str">
        <f t="shared" si="30"/>
        <v>mod/hsuforum:addinstance</v>
      </c>
      <c r="G466" t="s">
        <v>1228</v>
      </c>
    </row>
    <row r="467" spans="1:7">
      <c r="A467" t="s">
        <v>1237</v>
      </c>
      <c r="B467" t="s">
        <v>709</v>
      </c>
      <c r="C467" t="str">
        <f t="shared" si="28"/>
        <v>.</v>
      </c>
      <c r="D467" t="str">
        <f t="shared" si="31"/>
        <v>.</v>
      </c>
      <c r="E467" t="str">
        <f t="shared" si="29"/>
        <v>moodle/course:enrolconfig</v>
      </c>
      <c r="F467" t="str">
        <f t="shared" si="30"/>
        <v>mod/hsuforum:addnews</v>
      </c>
      <c r="G467" t="s">
        <v>1230</v>
      </c>
    </row>
    <row r="468" spans="1:7">
      <c r="A468" t="s">
        <v>1238</v>
      </c>
      <c r="B468" t="s">
        <v>711</v>
      </c>
      <c r="C468" t="str">
        <f t="shared" si="28"/>
        <v>.</v>
      </c>
      <c r="D468" t="str">
        <f t="shared" si="31"/>
        <v>.</v>
      </c>
      <c r="E468" t="str">
        <f t="shared" si="29"/>
        <v>moodle/course:enrolreview</v>
      </c>
      <c r="F468" t="str">
        <f t="shared" si="30"/>
        <v>mod/hsuforum:addquestion</v>
      </c>
      <c r="G468" t="s">
        <v>1230</v>
      </c>
    </row>
    <row r="469" spans="1:7">
      <c r="A469" t="s">
        <v>1239</v>
      </c>
      <c r="B469" t="s">
        <v>713</v>
      </c>
      <c r="C469" t="str">
        <f t="shared" si="28"/>
        <v>.</v>
      </c>
      <c r="D469" t="str">
        <f t="shared" si="31"/>
        <v>.</v>
      </c>
      <c r="E469" t="str">
        <f t="shared" si="29"/>
        <v>moodle/course:ignorefilesizelimits</v>
      </c>
      <c r="F469" t="str">
        <f t="shared" si="30"/>
        <v>mod/hsuforum:allowforcesubscribe</v>
      </c>
      <c r="G469" t="s">
        <v>1232</v>
      </c>
    </row>
    <row r="470" spans="1:7">
      <c r="A470" t="s">
        <v>1241</v>
      </c>
      <c r="B470" t="s">
        <v>715</v>
      </c>
      <c r="C470" t="str">
        <f t="shared" si="28"/>
        <v>.</v>
      </c>
      <c r="D470" t="str">
        <f t="shared" si="31"/>
        <v>.</v>
      </c>
      <c r="E470" t="str">
        <f t="shared" si="29"/>
        <v>moodle/course:isincompletionreports</v>
      </c>
      <c r="F470" t="str">
        <f t="shared" si="30"/>
        <v>mod/hsuforum:allowprivate</v>
      </c>
      <c r="G470" t="s">
        <v>1232</v>
      </c>
    </row>
    <row r="471" spans="1:7">
      <c r="A471" t="s">
        <v>1242</v>
      </c>
      <c r="B471" t="s">
        <v>1506</v>
      </c>
      <c r="C471" t="str">
        <f t="shared" si="28"/>
        <v>.</v>
      </c>
      <c r="D471" t="str">
        <f t="shared" si="31"/>
        <v>.</v>
      </c>
      <c r="E471" t="str">
        <f t="shared" si="29"/>
        <v>moodle/course:manageactivities</v>
      </c>
      <c r="F471" t="str">
        <f t="shared" si="30"/>
        <v>mod/hsuforum:createattachment</v>
      </c>
      <c r="G471" t="s">
        <v>1234</v>
      </c>
    </row>
    <row r="472" spans="1:7">
      <c r="A472" t="s">
        <v>1243</v>
      </c>
      <c r="B472" t="s">
        <v>717</v>
      </c>
      <c r="C472" t="str">
        <f t="shared" si="28"/>
        <v>.</v>
      </c>
      <c r="D472" t="str">
        <f t="shared" si="31"/>
        <v>.</v>
      </c>
      <c r="E472" t="str">
        <f t="shared" si="29"/>
        <v>moodle/course:managefiles</v>
      </c>
      <c r="F472" t="str">
        <f t="shared" si="30"/>
        <v>mod/hsuforum:deleteanypost</v>
      </c>
      <c r="G472" t="s">
        <v>1234</v>
      </c>
    </row>
    <row r="473" spans="1:7">
      <c r="A473" t="s">
        <v>1244</v>
      </c>
      <c r="B473" t="s">
        <v>719</v>
      </c>
      <c r="C473" t="str">
        <f t="shared" si="28"/>
        <v>.</v>
      </c>
      <c r="D473" t="str">
        <f t="shared" si="31"/>
        <v>.</v>
      </c>
      <c r="E473" t="str">
        <f t="shared" si="29"/>
        <v>moodle/course:managegroups</v>
      </c>
      <c r="F473" t="str">
        <f t="shared" si="30"/>
        <v>mod/hsuforum:deleteownpost</v>
      </c>
      <c r="G473" t="s">
        <v>1236</v>
      </c>
    </row>
    <row r="474" spans="1:7">
      <c r="A474" t="s">
        <v>1245</v>
      </c>
      <c r="B474" t="s">
        <v>721</v>
      </c>
      <c r="C474" t="str">
        <f t="shared" si="28"/>
        <v>.</v>
      </c>
      <c r="D474" t="str">
        <f t="shared" si="31"/>
        <v>.</v>
      </c>
      <c r="E474" t="str">
        <f t="shared" si="29"/>
        <v>moodle/course:managescales</v>
      </c>
      <c r="F474" t="str">
        <f t="shared" si="30"/>
        <v>mod/hsuforum:editanypost</v>
      </c>
      <c r="G474" t="s">
        <v>1236</v>
      </c>
    </row>
    <row r="475" spans="1:7">
      <c r="A475" t="s">
        <v>1246</v>
      </c>
      <c r="B475" t="s">
        <v>723</v>
      </c>
      <c r="C475" t="str">
        <f t="shared" si="28"/>
        <v>.</v>
      </c>
      <c r="D475" t="str">
        <f t="shared" si="31"/>
        <v>.</v>
      </c>
      <c r="E475" t="str">
        <f t="shared" si="29"/>
        <v>moodle/course:markcomplete</v>
      </c>
      <c r="F475" t="str">
        <f t="shared" si="30"/>
        <v>mod/hsuforum:exportdiscussion</v>
      </c>
      <c r="G475" t="s">
        <v>605</v>
      </c>
    </row>
    <row r="476" spans="1:7">
      <c r="A476" t="s">
        <v>1247</v>
      </c>
      <c r="B476" t="s">
        <v>725</v>
      </c>
      <c r="C476" t="str">
        <f t="shared" si="28"/>
        <v>.</v>
      </c>
      <c r="D476" t="str">
        <f t="shared" si="31"/>
        <v>.</v>
      </c>
      <c r="E476" t="str">
        <f t="shared" si="29"/>
        <v>moodle/course:movesections</v>
      </c>
      <c r="F476" t="str">
        <f t="shared" si="30"/>
        <v>mod/hsuforum:exportownpost</v>
      </c>
      <c r="G476" t="s">
        <v>605</v>
      </c>
    </row>
    <row r="477" spans="1:7">
      <c r="A477" t="s">
        <v>1248</v>
      </c>
      <c r="B477" t="s">
        <v>329</v>
      </c>
      <c r="C477" t="str">
        <f t="shared" si="28"/>
        <v>.</v>
      </c>
      <c r="D477" t="str">
        <f t="shared" si="31"/>
        <v>.</v>
      </c>
      <c r="E477" t="str">
        <f t="shared" si="29"/>
        <v>moodle/course:publish</v>
      </c>
      <c r="F477" t="str">
        <f t="shared" si="30"/>
        <v>mod/hsuforum:exportpost</v>
      </c>
      <c r="G477" t="s">
        <v>1237</v>
      </c>
    </row>
    <row r="478" spans="1:7">
      <c r="A478" t="s">
        <v>1249</v>
      </c>
      <c r="B478" t="s">
        <v>97</v>
      </c>
      <c r="C478" t="str">
        <f t="shared" si="28"/>
        <v>.</v>
      </c>
      <c r="D478" t="str">
        <f t="shared" si="31"/>
        <v>.</v>
      </c>
      <c r="E478" t="str">
        <f t="shared" si="29"/>
        <v>moodle/course:request</v>
      </c>
      <c r="F478" t="str">
        <f t="shared" si="30"/>
        <v>mod/hsuforum:managesubscriptions</v>
      </c>
      <c r="G478" t="s">
        <v>1237</v>
      </c>
    </row>
    <row r="479" spans="1:7">
      <c r="A479" t="s">
        <v>1250</v>
      </c>
      <c r="B479" t="s">
        <v>727</v>
      </c>
      <c r="C479" t="str">
        <f t="shared" si="28"/>
        <v>.</v>
      </c>
      <c r="D479" t="str">
        <f t="shared" si="31"/>
        <v>.</v>
      </c>
      <c r="E479" t="str">
        <f t="shared" si="29"/>
        <v>moodle/course:reset</v>
      </c>
      <c r="F479" t="str">
        <f t="shared" si="30"/>
        <v>mod/hsuforum:movediscussions</v>
      </c>
      <c r="G479" t="s">
        <v>1238</v>
      </c>
    </row>
    <row r="480" spans="1:7">
      <c r="A480" t="s">
        <v>1251</v>
      </c>
      <c r="B480" t="s">
        <v>729</v>
      </c>
      <c r="C480" t="str">
        <f t="shared" si="28"/>
        <v>.</v>
      </c>
      <c r="D480" t="str">
        <f t="shared" si="31"/>
        <v>.</v>
      </c>
      <c r="E480" t="str">
        <f t="shared" si="29"/>
        <v>moodle/course:sectionvisibility</v>
      </c>
      <c r="F480" t="str">
        <f t="shared" si="30"/>
        <v>mod/hsuforum:postwithoutthrottling</v>
      </c>
      <c r="G480" t="s">
        <v>1238</v>
      </c>
    </row>
    <row r="481" spans="1:7">
      <c r="A481" t="s">
        <v>1252</v>
      </c>
      <c r="B481" t="s">
        <v>731</v>
      </c>
      <c r="C481" t="str">
        <f t="shared" si="28"/>
        <v>.</v>
      </c>
      <c r="D481" t="str">
        <f t="shared" si="31"/>
        <v>.</v>
      </c>
      <c r="E481" t="str">
        <f t="shared" si="29"/>
        <v>moodle/course:setcurrentsection</v>
      </c>
      <c r="F481" t="str">
        <f t="shared" si="30"/>
        <v>mod/hsuforum:rate</v>
      </c>
      <c r="G481" t="s">
        <v>1239</v>
      </c>
    </row>
    <row r="482" spans="1:7">
      <c r="A482" t="s">
        <v>1253</v>
      </c>
      <c r="B482" t="s">
        <v>733</v>
      </c>
      <c r="C482" t="str">
        <f t="shared" si="28"/>
        <v>.</v>
      </c>
      <c r="D482" t="str">
        <f t="shared" si="31"/>
        <v>.</v>
      </c>
      <c r="E482" t="str">
        <f t="shared" si="29"/>
        <v>moodle/course:update</v>
      </c>
      <c r="F482" t="str">
        <f t="shared" si="30"/>
        <v>mod/hsuforum:replynews</v>
      </c>
      <c r="G482" t="s">
        <v>1239</v>
      </c>
    </row>
    <row r="483" spans="1:7">
      <c r="A483" t="s">
        <v>1254</v>
      </c>
      <c r="B483" t="s">
        <v>735</v>
      </c>
      <c r="C483" t="str">
        <f t="shared" si="28"/>
        <v>.</v>
      </c>
      <c r="D483" t="str">
        <f t="shared" si="31"/>
        <v>.</v>
      </c>
      <c r="E483" t="str">
        <f t="shared" si="29"/>
        <v>moodle/course:useremail</v>
      </c>
      <c r="F483" t="str">
        <f t="shared" si="30"/>
        <v>mod/hsuforum:replypost</v>
      </c>
      <c r="G483" t="s">
        <v>1241</v>
      </c>
    </row>
    <row r="484" spans="1:7">
      <c r="A484" t="s">
        <v>1256</v>
      </c>
      <c r="B484" t="s">
        <v>737</v>
      </c>
      <c r="C484" t="str">
        <f t="shared" si="28"/>
        <v>.</v>
      </c>
      <c r="D484" t="str">
        <f t="shared" si="31"/>
        <v>.</v>
      </c>
      <c r="E484" t="str">
        <f t="shared" si="29"/>
        <v>moodle/course:view</v>
      </c>
      <c r="F484" t="str">
        <f t="shared" si="30"/>
        <v>mod/hsuforum:revealpost</v>
      </c>
      <c r="G484" t="s">
        <v>1241</v>
      </c>
    </row>
    <row r="485" spans="1:7">
      <c r="A485" t="s">
        <v>1257</v>
      </c>
      <c r="B485" t="s">
        <v>1508</v>
      </c>
      <c r="C485" t="str">
        <f t="shared" si="28"/>
        <v>.</v>
      </c>
      <c r="D485" t="str">
        <f t="shared" si="31"/>
        <v>.</v>
      </c>
      <c r="E485" t="str">
        <f t="shared" si="29"/>
        <v>moodle/course:viewhiddenactivities</v>
      </c>
      <c r="F485" t="str">
        <f t="shared" si="30"/>
        <v>mod/hsuforum:splitdiscussions</v>
      </c>
      <c r="G485" t="s">
        <v>1242</v>
      </c>
    </row>
    <row r="486" spans="1:7">
      <c r="A486" t="s">
        <v>1258</v>
      </c>
      <c r="B486" t="s">
        <v>739</v>
      </c>
      <c r="C486" t="str">
        <f t="shared" si="28"/>
        <v>.</v>
      </c>
      <c r="D486" t="str">
        <f t="shared" si="31"/>
        <v>.</v>
      </c>
      <c r="E486" t="str">
        <f t="shared" si="29"/>
        <v>moodle/course:viewhiddencourses</v>
      </c>
      <c r="F486" t="str">
        <f t="shared" si="30"/>
        <v>mod/hsuforum:startdiscussion</v>
      </c>
      <c r="G486" t="s">
        <v>1242</v>
      </c>
    </row>
    <row r="487" spans="1:7">
      <c r="A487" t="s">
        <v>1259</v>
      </c>
      <c r="B487" t="s">
        <v>741</v>
      </c>
      <c r="C487" t="str">
        <f t="shared" si="28"/>
        <v>.</v>
      </c>
      <c r="D487" t="str">
        <f t="shared" si="31"/>
        <v>.</v>
      </c>
      <c r="E487" t="str">
        <f t="shared" si="29"/>
        <v>moodle/course:viewhiddensections</v>
      </c>
      <c r="F487" t="str">
        <f t="shared" si="30"/>
        <v>mod/hsuforum:viewallratings</v>
      </c>
      <c r="G487" t="s">
        <v>1243</v>
      </c>
    </row>
    <row r="488" spans="1:7">
      <c r="A488" t="s">
        <v>1260</v>
      </c>
      <c r="B488" t="s">
        <v>743</v>
      </c>
      <c r="C488" t="str">
        <f t="shared" si="28"/>
        <v>.</v>
      </c>
      <c r="D488" t="str">
        <f t="shared" si="31"/>
        <v>.</v>
      </c>
      <c r="E488" t="str">
        <f t="shared" si="29"/>
        <v>moodle/course:viewhiddenuserfields</v>
      </c>
      <c r="F488" t="str">
        <f t="shared" si="30"/>
        <v>mod/hsuforum:viewanyrating</v>
      </c>
      <c r="G488" t="s">
        <v>1243</v>
      </c>
    </row>
    <row r="489" spans="1:7">
      <c r="A489" t="s">
        <v>1261</v>
      </c>
      <c r="B489" t="s">
        <v>744</v>
      </c>
      <c r="C489" t="str">
        <f t="shared" si="28"/>
        <v>.</v>
      </c>
      <c r="D489" t="str">
        <f t="shared" si="31"/>
        <v>.</v>
      </c>
      <c r="E489" t="str">
        <f t="shared" si="29"/>
        <v>moodle/course:viewparticipants</v>
      </c>
      <c r="F489" t="str">
        <f t="shared" si="30"/>
        <v>mod/hsuforum:viewdiscussion</v>
      </c>
      <c r="G489" t="s">
        <v>1244</v>
      </c>
    </row>
    <row r="490" spans="1:7">
      <c r="A490" t="s">
        <v>1263</v>
      </c>
      <c r="B490" t="s">
        <v>746</v>
      </c>
      <c r="C490" t="str">
        <f t="shared" si="28"/>
        <v>.</v>
      </c>
      <c r="D490" t="str">
        <f t="shared" si="31"/>
        <v>.</v>
      </c>
      <c r="E490" t="str">
        <f t="shared" si="29"/>
        <v>moodle/course:viewscales</v>
      </c>
      <c r="F490" t="str">
        <f t="shared" si="30"/>
        <v>mod/hsuforum:viewflags</v>
      </c>
      <c r="G490" t="s">
        <v>1244</v>
      </c>
    </row>
    <row r="491" spans="1:7">
      <c r="A491" t="s">
        <v>1264</v>
      </c>
      <c r="B491" t="s">
        <v>331</v>
      </c>
      <c r="C491" t="str">
        <f t="shared" si="28"/>
        <v>.</v>
      </c>
      <c r="D491" t="str">
        <f t="shared" si="31"/>
        <v>.</v>
      </c>
      <c r="E491" t="str">
        <f t="shared" si="29"/>
        <v>moodle/course:viewsuspendedusers</v>
      </c>
      <c r="F491" t="str">
        <f t="shared" si="30"/>
        <v>mod/hsuforum:viewhiddentimedposts</v>
      </c>
      <c r="G491" t="s">
        <v>1245</v>
      </c>
    </row>
    <row r="492" spans="1:7">
      <c r="A492" t="s">
        <v>1266</v>
      </c>
      <c r="B492" t="s">
        <v>748</v>
      </c>
      <c r="C492" t="str">
        <f t="shared" si="28"/>
        <v>.</v>
      </c>
      <c r="D492" t="str">
        <f t="shared" si="31"/>
        <v>.</v>
      </c>
      <c r="E492" t="str">
        <f t="shared" si="29"/>
        <v>moodle/course:visibility</v>
      </c>
      <c r="F492" t="str">
        <f t="shared" si="30"/>
        <v>mod/hsuforum:viewposters</v>
      </c>
      <c r="G492" t="s">
        <v>1245</v>
      </c>
    </row>
    <row r="493" spans="1:7">
      <c r="A493" t="s">
        <v>1267</v>
      </c>
      <c r="B493" t="s">
        <v>750</v>
      </c>
      <c r="C493" t="str">
        <f t="shared" si="28"/>
        <v>.</v>
      </c>
      <c r="D493" t="str">
        <f t="shared" si="31"/>
        <v>.</v>
      </c>
      <c r="E493" t="str">
        <f t="shared" si="29"/>
        <v>moodle/filter:manage</v>
      </c>
      <c r="F493" t="str">
        <f t="shared" si="30"/>
        <v>mod/hsuforum:viewqandawithoutposting</v>
      </c>
      <c r="G493" t="s">
        <v>1246</v>
      </c>
    </row>
    <row r="494" spans="1:7">
      <c r="A494" t="s">
        <v>1268</v>
      </c>
      <c r="B494" t="s">
        <v>752</v>
      </c>
      <c r="C494" t="str">
        <f t="shared" si="28"/>
        <v>.</v>
      </c>
      <c r="D494" t="str">
        <f t="shared" si="31"/>
        <v>.</v>
      </c>
      <c r="E494" t="str">
        <f t="shared" si="29"/>
        <v>moodle/grade:edit</v>
      </c>
      <c r="F494" t="str">
        <f t="shared" si="30"/>
        <v>mod/hsuforum:viewrating</v>
      </c>
      <c r="G494" t="s">
        <v>1246</v>
      </c>
    </row>
    <row r="495" spans="1:7">
      <c r="A495" t="s">
        <v>1269</v>
      </c>
      <c r="B495" t="s">
        <v>754</v>
      </c>
      <c r="C495" t="str">
        <f t="shared" si="28"/>
        <v>.</v>
      </c>
      <c r="D495" t="str">
        <f t="shared" si="31"/>
        <v>.</v>
      </c>
      <c r="E495" t="str">
        <f t="shared" si="29"/>
        <v>moodle/grade:export</v>
      </c>
      <c r="F495" t="str">
        <f t="shared" si="30"/>
        <v>mod/hsuforum:viewsubscribers</v>
      </c>
      <c r="G495" t="s">
        <v>1247</v>
      </c>
    </row>
    <row r="496" spans="1:7">
      <c r="A496" t="s">
        <v>607</v>
      </c>
      <c r="B496" t="s">
        <v>756</v>
      </c>
      <c r="C496" t="str">
        <f t="shared" si="28"/>
        <v>.</v>
      </c>
      <c r="D496" t="str">
        <f t="shared" si="31"/>
        <v>.</v>
      </c>
      <c r="E496" t="str">
        <f t="shared" si="29"/>
        <v>moodle/grade:hide</v>
      </c>
      <c r="F496" t="str">
        <f t="shared" si="30"/>
        <v>mod/imscp:addinstance</v>
      </c>
      <c r="G496" t="s">
        <v>1247</v>
      </c>
    </row>
    <row r="497" spans="1:7">
      <c r="A497" t="s">
        <v>161</v>
      </c>
      <c r="B497" t="s">
        <v>758</v>
      </c>
      <c r="C497" t="str">
        <f t="shared" si="28"/>
        <v>.</v>
      </c>
      <c r="D497" t="str">
        <f t="shared" si="31"/>
        <v>.</v>
      </c>
      <c r="E497" t="str">
        <f t="shared" si="29"/>
        <v>moodle/grade:import</v>
      </c>
      <c r="F497" t="str">
        <f t="shared" si="30"/>
        <v>mod/imscp:view</v>
      </c>
      <c r="G497" t="s">
        <v>1248</v>
      </c>
    </row>
    <row r="498" spans="1:7">
      <c r="A498" t="s">
        <v>1271</v>
      </c>
      <c r="B498" t="s">
        <v>760</v>
      </c>
      <c r="C498" t="str">
        <f t="shared" si="28"/>
        <v>.</v>
      </c>
      <c r="D498" t="str">
        <f t="shared" si="31"/>
        <v>mod/journal:addentries</v>
      </c>
      <c r="E498" t="str">
        <f t="shared" si="29"/>
        <v>moodle/grade:lock</v>
      </c>
      <c r="F498" t="b">
        <f t="shared" si="30"/>
        <v>0</v>
      </c>
      <c r="G498" t="s">
        <v>1248</v>
      </c>
    </row>
    <row r="499" spans="1:7">
      <c r="A499" t="s">
        <v>609</v>
      </c>
      <c r="B499" t="s">
        <v>762</v>
      </c>
      <c r="C499" t="str">
        <f t="shared" si="28"/>
        <v>.</v>
      </c>
      <c r="D499" t="str">
        <f t="shared" si="31"/>
        <v>mod/journal:addinstance</v>
      </c>
      <c r="E499" t="str">
        <f t="shared" si="29"/>
        <v>moodle/grade:manage</v>
      </c>
      <c r="F499" t="b">
        <f t="shared" si="30"/>
        <v>0</v>
      </c>
      <c r="G499" t="s">
        <v>1249</v>
      </c>
    </row>
    <row r="500" spans="1:7">
      <c r="A500" t="s">
        <v>1273</v>
      </c>
      <c r="B500" t="s">
        <v>764</v>
      </c>
      <c r="C500" t="str">
        <f t="shared" si="28"/>
        <v>.</v>
      </c>
      <c r="D500" t="str">
        <f t="shared" si="31"/>
        <v>mod/journal:manageentries</v>
      </c>
      <c r="E500" t="str">
        <f t="shared" si="29"/>
        <v>moodle/grade:managegradingforms</v>
      </c>
      <c r="F500" t="b">
        <f t="shared" si="30"/>
        <v>0</v>
      </c>
      <c r="G500" t="s">
        <v>1249</v>
      </c>
    </row>
    <row r="501" spans="1:7">
      <c r="A501" t="s">
        <v>611</v>
      </c>
      <c r="B501" t="s">
        <v>766</v>
      </c>
      <c r="C501" t="str">
        <f t="shared" si="28"/>
        <v>.</v>
      </c>
      <c r="D501" t="str">
        <f t="shared" si="31"/>
        <v>.</v>
      </c>
      <c r="E501" t="str">
        <f t="shared" si="29"/>
        <v>moodle/grade:manageletters</v>
      </c>
      <c r="F501" t="str">
        <f t="shared" si="30"/>
        <v>mod/label:addinstance</v>
      </c>
      <c r="G501" t="s">
        <v>1250</v>
      </c>
    </row>
    <row r="502" spans="1:7">
      <c r="A502" t="s">
        <v>613</v>
      </c>
      <c r="B502" t="s">
        <v>768</v>
      </c>
      <c r="C502" t="str">
        <f t="shared" si="28"/>
        <v>.</v>
      </c>
      <c r="D502" t="str">
        <f t="shared" si="31"/>
        <v>.</v>
      </c>
      <c r="E502" t="str">
        <f t="shared" si="29"/>
        <v>moodle/grade:manageoutcomes</v>
      </c>
      <c r="F502" t="str">
        <f t="shared" si="30"/>
        <v>mod/lesson:addinstance</v>
      </c>
      <c r="G502" t="s">
        <v>1250</v>
      </c>
    </row>
    <row r="503" spans="1:7">
      <c r="A503" t="s">
        <v>1275</v>
      </c>
      <c r="B503" t="s">
        <v>333</v>
      </c>
      <c r="C503" t="str">
        <f t="shared" si="28"/>
        <v>.</v>
      </c>
      <c r="D503" t="str">
        <f t="shared" si="31"/>
        <v>.</v>
      </c>
      <c r="E503" t="str">
        <f t="shared" si="29"/>
        <v>moodle/grade:managesharedforms</v>
      </c>
      <c r="F503" t="str">
        <f t="shared" si="30"/>
        <v>mod/lesson:edit</v>
      </c>
      <c r="G503" t="s">
        <v>1251</v>
      </c>
    </row>
    <row r="504" spans="1:7">
      <c r="A504" t="s">
        <v>1277</v>
      </c>
      <c r="B504" t="s">
        <v>335</v>
      </c>
      <c r="C504" t="str">
        <f t="shared" si="28"/>
        <v>.</v>
      </c>
      <c r="D504" t="str">
        <f t="shared" si="31"/>
        <v>.</v>
      </c>
      <c r="E504" t="str">
        <f t="shared" si="29"/>
        <v>moodle/grade:sharegradingforms</v>
      </c>
      <c r="F504" t="str">
        <f t="shared" si="30"/>
        <v>mod/lesson:manage</v>
      </c>
      <c r="G504" t="s">
        <v>1251</v>
      </c>
    </row>
    <row r="505" spans="1:7">
      <c r="A505" t="s">
        <v>1279</v>
      </c>
      <c r="B505" t="s">
        <v>770</v>
      </c>
      <c r="C505" t="str">
        <f t="shared" si="28"/>
        <v>.</v>
      </c>
      <c r="D505" t="str">
        <f t="shared" si="31"/>
        <v>mod/lightboxgallery:addcomment</v>
      </c>
      <c r="E505" t="str">
        <f t="shared" si="29"/>
        <v>moodle/grade:unlock</v>
      </c>
      <c r="F505" t="b">
        <f t="shared" si="30"/>
        <v>0</v>
      </c>
      <c r="G505" t="s">
        <v>1252</v>
      </c>
    </row>
    <row r="506" spans="1:7">
      <c r="A506" t="s">
        <v>1281</v>
      </c>
      <c r="B506" t="s">
        <v>772</v>
      </c>
      <c r="C506" t="str">
        <f t="shared" si="28"/>
        <v>.</v>
      </c>
      <c r="D506" t="str">
        <f t="shared" si="31"/>
        <v>mod/lightboxgallery:addimage</v>
      </c>
      <c r="E506" t="str">
        <f t="shared" si="29"/>
        <v>moodle/grade:view</v>
      </c>
      <c r="F506" t="b">
        <f t="shared" si="30"/>
        <v>0</v>
      </c>
      <c r="G506" t="s">
        <v>1252</v>
      </c>
    </row>
    <row r="507" spans="1:7">
      <c r="A507" t="s">
        <v>615</v>
      </c>
      <c r="B507" t="s">
        <v>774</v>
      </c>
      <c r="C507" t="str">
        <f t="shared" si="28"/>
        <v>.</v>
      </c>
      <c r="D507" t="str">
        <f t="shared" si="31"/>
        <v>mod/lightboxgallery:addinstance</v>
      </c>
      <c r="E507" t="str">
        <f t="shared" si="29"/>
        <v>moodle/grade:viewall</v>
      </c>
      <c r="F507" t="b">
        <f t="shared" si="30"/>
        <v>0</v>
      </c>
      <c r="G507" t="s">
        <v>1253</v>
      </c>
    </row>
    <row r="508" spans="1:7">
      <c r="A508" t="s">
        <v>1283</v>
      </c>
      <c r="B508" t="s">
        <v>776</v>
      </c>
      <c r="C508" t="str">
        <f t="shared" si="28"/>
        <v>.</v>
      </c>
      <c r="D508" t="str">
        <f t="shared" si="31"/>
        <v>mod/lightboxgallery:edit</v>
      </c>
      <c r="E508" t="str">
        <f t="shared" si="29"/>
        <v>moodle/grade:viewhidden</v>
      </c>
      <c r="F508" t="b">
        <f t="shared" si="30"/>
        <v>0</v>
      </c>
      <c r="G508" t="s">
        <v>1253</v>
      </c>
    </row>
    <row r="509" spans="1:7">
      <c r="A509" t="s">
        <v>1285</v>
      </c>
      <c r="B509" t="s">
        <v>337</v>
      </c>
      <c r="C509" t="str">
        <f t="shared" si="28"/>
        <v>.</v>
      </c>
      <c r="D509" t="str">
        <f t="shared" si="31"/>
        <v>mod/lightboxgallery:submit</v>
      </c>
      <c r="E509" t="str">
        <f t="shared" si="29"/>
        <v>moodle/my:configsyspages</v>
      </c>
      <c r="F509" t="b">
        <f t="shared" si="30"/>
        <v>0</v>
      </c>
      <c r="G509" t="s">
        <v>1254</v>
      </c>
    </row>
    <row r="510" spans="1:7">
      <c r="A510" t="s">
        <v>1287</v>
      </c>
      <c r="B510" t="s">
        <v>99</v>
      </c>
      <c r="C510" t="str">
        <f t="shared" si="28"/>
        <v>.</v>
      </c>
      <c r="D510" t="str">
        <f t="shared" si="31"/>
        <v>mod/lightboxgallery:viewcomments</v>
      </c>
      <c r="E510" t="str">
        <f t="shared" si="29"/>
        <v>moodle/my:manageblocks</v>
      </c>
      <c r="F510" t="b">
        <f t="shared" si="30"/>
        <v>0</v>
      </c>
      <c r="G510" t="s">
        <v>1254</v>
      </c>
    </row>
    <row r="511" spans="1:7">
      <c r="A511" t="s">
        <v>617</v>
      </c>
      <c r="B511" t="s">
        <v>778</v>
      </c>
      <c r="C511" t="str">
        <f t="shared" si="28"/>
        <v>.</v>
      </c>
      <c r="D511" t="str">
        <f t="shared" si="31"/>
        <v>.</v>
      </c>
      <c r="E511" t="str">
        <f t="shared" si="29"/>
        <v>moodle/notes:manage</v>
      </c>
      <c r="F511" t="str">
        <f t="shared" si="30"/>
        <v>mod/lti:addcoursetool</v>
      </c>
      <c r="G511" t="s">
        <v>1256</v>
      </c>
    </row>
    <row r="512" spans="1:7">
      <c r="A512" t="s">
        <v>619</v>
      </c>
      <c r="B512" t="s">
        <v>780</v>
      </c>
      <c r="C512" t="str">
        <f t="shared" si="28"/>
        <v>.</v>
      </c>
      <c r="D512" t="str">
        <f t="shared" si="31"/>
        <v>.</v>
      </c>
      <c r="E512" t="str">
        <f t="shared" si="29"/>
        <v>moodle/notes:view</v>
      </c>
      <c r="F512" t="str">
        <f t="shared" si="30"/>
        <v>mod/lti:addinstance</v>
      </c>
      <c r="G512" t="s">
        <v>1256</v>
      </c>
    </row>
    <row r="513" spans="1:7">
      <c r="A513" t="s">
        <v>1289</v>
      </c>
      <c r="B513" t="s">
        <v>101</v>
      </c>
      <c r="C513" t="str">
        <f t="shared" si="28"/>
        <v>.</v>
      </c>
      <c r="D513" t="str">
        <f t="shared" si="31"/>
        <v>.</v>
      </c>
      <c r="E513" t="str">
        <f t="shared" si="29"/>
        <v>moodle/portfolio:export</v>
      </c>
      <c r="F513" t="str">
        <f t="shared" si="30"/>
        <v>mod/lti:grade</v>
      </c>
      <c r="G513" t="s">
        <v>1257</v>
      </c>
    </row>
    <row r="514" spans="1:7">
      <c r="A514" t="s">
        <v>1291</v>
      </c>
      <c r="B514" t="s">
        <v>782</v>
      </c>
      <c r="C514" t="str">
        <f t="shared" si="28"/>
        <v>.</v>
      </c>
      <c r="D514" t="str">
        <f t="shared" si="31"/>
        <v>.</v>
      </c>
      <c r="E514" t="str">
        <f t="shared" si="29"/>
        <v>moodle/question:add</v>
      </c>
      <c r="F514" t="str">
        <f t="shared" si="30"/>
        <v>mod/lti:manage</v>
      </c>
      <c r="G514" t="s">
        <v>1257</v>
      </c>
    </row>
    <row r="515" spans="1:7">
      <c r="A515" t="s">
        <v>621</v>
      </c>
      <c r="B515" t="s">
        <v>339</v>
      </c>
      <c r="C515" t="str">
        <f t="shared" ref="C515:C578" si="32">IF(VLOOKUP(B515,$A$2:$A$873,1)=B515,".",B515)</f>
        <v>.</v>
      </c>
      <c r="D515" t="str">
        <f t="shared" si="31"/>
        <v>.</v>
      </c>
      <c r="E515" t="str">
        <f t="shared" ref="E515:E578" si="33">IF(C515=".",B515)</f>
        <v>moodle/question:config</v>
      </c>
      <c r="F515" t="str">
        <f t="shared" si="30"/>
        <v>mod/lti:requesttooladd</v>
      </c>
      <c r="G515" t="s">
        <v>1258</v>
      </c>
    </row>
    <row r="516" spans="1:7">
      <c r="A516" t="s">
        <v>1293</v>
      </c>
      <c r="B516" t="s">
        <v>784</v>
      </c>
      <c r="C516" t="str">
        <f t="shared" si="32"/>
        <v>.</v>
      </c>
      <c r="D516" t="str">
        <f t="shared" si="31"/>
        <v>.</v>
      </c>
      <c r="E516" t="str">
        <f t="shared" si="33"/>
        <v>moodle/question:editall</v>
      </c>
      <c r="F516" t="str">
        <f t="shared" ref="F516:F579" si="34">IF(D516=".",A516)</f>
        <v>mod/lti:view</v>
      </c>
      <c r="G516" t="s">
        <v>1258</v>
      </c>
    </row>
    <row r="517" spans="1:7">
      <c r="A517" t="s">
        <v>623</v>
      </c>
      <c r="B517" t="s">
        <v>786</v>
      </c>
      <c r="C517" t="str">
        <f t="shared" si="32"/>
        <v>.</v>
      </c>
      <c r="D517" t="str">
        <f t="shared" si="31"/>
        <v>mod/nanogong:addinstance</v>
      </c>
      <c r="E517" t="str">
        <f t="shared" si="33"/>
        <v>moodle/question:editmine</v>
      </c>
      <c r="F517" t="b">
        <f t="shared" si="34"/>
        <v>0</v>
      </c>
      <c r="G517" t="s">
        <v>1259</v>
      </c>
    </row>
    <row r="518" spans="1:7">
      <c r="A518" t="s">
        <v>1295</v>
      </c>
      <c r="B518" t="s">
        <v>788</v>
      </c>
      <c r="C518" t="str">
        <f t="shared" si="32"/>
        <v>.</v>
      </c>
      <c r="D518" t="str">
        <f t="shared" si="31"/>
        <v>mod/nanogong:grade</v>
      </c>
      <c r="E518" t="str">
        <f t="shared" si="33"/>
        <v>moodle/question:flag</v>
      </c>
      <c r="F518" t="b">
        <f t="shared" si="34"/>
        <v>0</v>
      </c>
      <c r="G518" t="s">
        <v>1259</v>
      </c>
    </row>
    <row r="519" spans="1:7">
      <c r="A519" t="s">
        <v>1297</v>
      </c>
      <c r="B519" t="s">
        <v>790</v>
      </c>
      <c r="C519" t="str">
        <f t="shared" si="32"/>
        <v>.</v>
      </c>
      <c r="D519" t="str">
        <f t="shared" si="31"/>
        <v>mod/nanogong:submit</v>
      </c>
      <c r="E519" t="str">
        <f t="shared" si="33"/>
        <v>moodle/question:managecategory</v>
      </c>
      <c r="F519" t="b">
        <f t="shared" si="34"/>
        <v>0</v>
      </c>
      <c r="G519" t="s">
        <v>1260</v>
      </c>
    </row>
    <row r="520" spans="1:7">
      <c r="A520" t="s">
        <v>1299</v>
      </c>
      <c r="B520" t="s">
        <v>792</v>
      </c>
      <c r="C520" t="str">
        <f t="shared" si="32"/>
        <v>.</v>
      </c>
      <c r="D520" t="str">
        <f t="shared" ref="D520:D583" si="35">IF(VLOOKUP(A520,$B$2:$B$631,1)=A520,".",A520)</f>
        <v>mod/nanogong:view</v>
      </c>
      <c r="E520" t="str">
        <f t="shared" si="33"/>
        <v>moodle/question:moveall</v>
      </c>
      <c r="F520" t="b">
        <f t="shared" si="34"/>
        <v>0</v>
      </c>
      <c r="G520" t="s">
        <v>1260</v>
      </c>
    </row>
    <row r="521" spans="1:7">
      <c r="A521" t="s">
        <v>625</v>
      </c>
      <c r="B521" t="s">
        <v>794</v>
      </c>
      <c r="C521" t="str">
        <f t="shared" si="32"/>
        <v>.</v>
      </c>
      <c r="D521" t="str">
        <f t="shared" si="35"/>
        <v>mod/nln:addinstance</v>
      </c>
      <c r="E521" t="str">
        <f t="shared" si="33"/>
        <v>moodle/question:movemine</v>
      </c>
      <c r="F521" t="b">
        <f t="shared" si="34"/>
        <v>0</v>
      </c>
      <c r="G521" t="s">
        <v>1261</v>
      </c>
    </row>
    <row r="522" spans="1:7">
      <c r="A522" t="s">
        <v>163</v>
      </c>
      <c r="B522" t="s">
        <v>796</v>
      </c>
      <c r="C522" t="str">
        <f t="shared" si="32"/>
        <v>.</v>
      </c>
      <c r="D522" t="str">
        <f t="shared" si="35"/>
        <v>mod/nln:view</v>
      </c>
      <c r="E522" t="str">
        <f t="shared" si="33"/>
        <v>moodle/question:useall</v>
      </c>
      <c r="F522" t="b">
        <f t="shared" si="34"/>
        <v>0</v>
      </c>
      <c r="G522" t="s">
        <v>1261</v>
      </c>
    </row>
    <row r="523" spans="1:7">
      <c r="A523" t="s">
        <v>627</v>
      </c>
      <c r="B523" t="s">
        <v>798</v>
      </c>
      <c r="C523" t="str">
        <f t="shared" si="32"/>
        <v>.</v>
      </c>
      <c r="D523" t="str">
        <f t="shared" si="35"/>
        <v>mod/oublog:addinstance</v>
      </c>
      <c r="E523" t="str">
        <f t="shared" si="33"/>
        <v>moodle/question:usemine</v>
      </c>
      <c r="F523" t="b">
        <f t="shared" si="34"/>
        <v>0</v>
      </c>
      <c r="G523" t="s">
        <v>1263</v>
      </c>
    </row>
    <row r="524" spans="1:7">
      <c r="A524" t="s">
        <v>1301</v>
      </c>
      <c r="B524" t="s">
        <v>800</v>
      </c>
      <c r="C524" t="str">
        <f t="shared" si="32"/>
        <v>.</v>
      </c>
      <c r="D524" t="str">
        <f t="shared" si="35"/>
        <v>mod/oublog:audit</v>
      </c>
      <c r="E524" t="str">
        <f t="shared" si="33"/>
        <v>moodle/question:viewall</v>
      </c>
      <c r="F524" t="b">
        <f t="shared" si="34"/>
        <v>0</v>
      </c>
      <c r="G524" t="s">
        <v>1263</v>
      </c>
    </row>
    <row r="525" spans="1:7">
      <c r="A525" t="s">
        <v>1303</v>
      </c>
      <c r="B525" t="s">
        <v>802</v>
      </c>
      <c r="C525" t="str">
        <f t="shared" si="32"/>
        <v>.</v>
      </c>
      <c r="D525" t="str">
        <f t="shared" si="35"/>
        <v>mod/oublog:comment</v>
      </c>
      <c r="E525" t="str">
        <f t="shared" si="33"/>
        <v>moodle/question:viewmine</v>
      </c>
      <c r="F525" t="b">
        <f t="shared" si="34"/>
        <v>0</v>
      </c>
      <c r="G525" t="s">
        <v>1264</v>
      </c>
    </row>
    <row r="526" spans="1:7">
      <c r="A526" t="s">
        <v>83</v>
      </c>
      <c r="B526" t="s">
        <v>141</v>
      </c>
      <c r="C526" t="str">
        <f t="shared" si="32"/>
        <v>.</v>
      </c>
      <c r="D526" t="str">
        <f t="shared" si="35"/>
        <v>mod/oublog:contributepersonal</v>
      </c>
      <c r="E526" t="str">
        <f t="shared" si="33"/>
        <v>moodle/rating:rate</v>
      </c>
      <c r="F526" t="b">
        <f t="shared" si="34"/>
        <v>0</v>
      </c>
      <c r="G526" t="s">
        <v>1264</v>
      </c>
    </row>
    <row r="527" spans="1:7">
      <c r="A527" t="s">
        <v>1304</v>
      </c>
      <c r="B527" t="s">
        <v>143</v>
      </c>
      <c r="C527" t="str">
        <f t="shared" si="32"/>
        <v>.</v>
      </c>
      <c r="D527" t="str">
        <f t="shared" si="35"/>
        <v>mod/oublog:exportownpost</v>
      </c>
      <c r="E527" t="str">
        <f t="shared" si="33"/>
        <v>moodle/rating:view</v>
      </c>
      <c r="F527" t="b">
        <f t="shared" si="34"/>
        <v>0</v>
      </c>
      <c r="G527" t="s">
        <v>1266</v>
      </c>
    </row>
    <row r="528" spans="1:7">
      <c r="A528" t="s">
        <v>1305</v>
      </c>
      <c r="B528" t="s">
        <v>145</v>
      </c>
      <c r="C528" t="str">
        <f t="shared" si="32"/>
        <v>.</v>
      </c>
      <c r="D528" t="str">
        <f t="shared" si="35"/>
        <v>mod/oublog:exportpost</v>
      </c>
      <c r="E528" t="str">
        <f t="shared" si="33"/>
        <v>moodle/rating:viewall</v>
      </c>
      <c r="F528" t="b">
        <f t="shared" si="34"/>
        <v>0</v>
      </c>
      <c r="G528" t="s">
        <v>1266</v>
      </c>
    </row>
    <row r="529" spans="1:7">
      <c r="A529" t="s">
        <v>1307</v>
      </c>
      <c r="B529" t="s">
        <v>147</v>
      </c>
      <c r="C529" t="str">
        <f t="shared" si="32"/>
        <v>.</v>
      </c>
      <c r="D529" t="str">
        <f t="shared" si="35"/>
        <v>mod/oublog:grade</v>
      </c>
      <c r="E529" t="str">
        <f t="shared" si="33"/>
        <v>moodle/rating:viewany</v>
      </c>
      <c r="F529" t="b">
        <f t="shared" si="34"/>
        <v>0</v>
      </c>
      <c r="G529" t="s">
        <v>1267</v>
      </c>
    </row>
    <row r="530" spans="1:7">
      <c r="A530" t="s">
        <v>1308</v>
      </c>
      <c r="B530" t="s">
        <v>804</v>
      </c>
      <c r="C530" t="str">
        <f t="shared" si="32"/>
        <v>.</v>
      </c>
      <c r="D530" t="str">
        <f t="shared" si="35"/>
        <v>mod/oublog:managecomments</v>
      </c>
      <c r="E530" t="str">
        <f t="shared" si="33"/>
        <v>moodle/restore:configure</v>
      </c>
      <c r="F530" t="b">
        <f t="shared" si="34"/>
        <v>0</v>
      </c>
      <c r="G530" t="s">
        <v>1267</v>
      </c>
    </row>
    <row r="531" spans="1:7">
      <c r="A531" t="s">
        <v>1310</v>
      </c>
      <c r="B531" t="s">
        <v>341</v>
      </c>
      <c r="C531" t="str">
        <f t="shared" si="32"/>
        <v>.</v>
      </c>
      <c r="D531" t="str">
        <f t="shared" si="35"/>
        <v>mod/oublog:managelinks</v>
      </c>
      <c r="E531" t="str">
        <f t="shared" si="33"/>
        <v>moodle/restore:createuser</v>
      </c>
      <c r="F531" t="b">
        <f t="shared" si="34"/>
        <v>0</v>
      </c>
      <c r="G531" t="s">
        <v>1268</v>
      </c>
    </row>
    <row r="532" spans="1:7">
      <c r="A532" t="s">
        <v>1312</v>
      </c>
      <c r="B532" t="s">
        <v>806</v>
      </c>
      <c r="C532" t="str">
        <f t="shared" si="32"/>
        <v>.</v>
      </c>
      <c r="D532" t="str">
        <f t="shared" si="35"/>
        <v>mod/oublog:manageposts</v>
      </c>
      <c r="E532" t="str">
        <f t="shared" si="33"/>
        <v>moodle/restore:restoreactivity</v>
      </c>
      <c r="F532" t="b">
        <f t="shared" si="34"/>
        <v>0</v>
      </c>
      <c r="G532" t="s">
        <v>1268</v>
      </c>
    </row>
    <row r="533" spans="1:7">
      <c r="A533" t="s">
        <v>1314</v>
      </c>
      <c r="B533" t="s">
        <v>808</v>
      </c>
      <c r="C533" t="str">
        <f t="shared" si="32"/>
        <v>.</v>
      </c>
      <c r="D533" t="str">
        <f t="shared" si="35"/>
        <v>mod/oublog:post</v>
      </c>
      <c r="E533" t="str">
        <f t="shared" si="33"/>
        <v>moodle/restore:restorecourse</v>
      </c>
      <c r="F533" t="b">
        <f t="shared" si="34"/>
        <v>0</v>
      </c>
      <c r="G533" t="s">
        <v>1269</v>
      </c>
    </row>
    <row r="534" spans="1:7">
      <c r="A534" t="s">
        <v>1316</v>
      </c>
      <c r="B534" t="s">
        <v>810</v>
      </c>
      <c r="C534" t="str">
        <f t="shared" si="32"/>
        <v>.</v>
      </c>
      <c r="D534" t="str">
        <f t="shared" si="35"/>
        <v>mod/oublog:view</v>
      </c>
      <c r="E534" t="str">
        <f t="shared" si="33"/>
        <v>moodle/restore:restoresection</v>
      </c>
      <c r="F534" t="b">
        <f t="shared" si="34"/>
        <v>0</v>
      </c>
      <c r="G534" t="s">
        <v>1269</v>
      </c>
    </row>
    <row r="535" spans="1:7">
      <c r="A535" t="s">
        <v>1318</v>
      </c>
      <c r="B535" t="s">
        <v>812</v>
      </c>
      <c r="C535" t="str">
        <f t="shared" si="32"/>
        <v>.</v>
      </c>
      <c r="D535" t="str">
        <f t="shared" si="35"/>
        <v>mod/oublog:viewindividual</v>
      </c>
      <c r="E535" t="str">
        <f t="shared" si="33"/>
        <v>moodle/restore:restoretargethub</v>
      </c>
      <c r="F535" t="b">
        <f t="shared" si="34"/>
        <v>0</v>
      </c>
      <c r="G535" t="s">
        <v>607</v>
      </c>
    </row>
    <row r="536" spans="1:7">
      <c r="A536" t="s">
        <v>1320</v>
      </c>
      <c r="B536" t="s">
        <v>814</v>
      </c>
      <c r="C536" t="str">
        <f t="shared" si="32"/>
        <v>.</v>
      </c>
      <c r="D536" t="str">
        <f t="shared" si="35"/>
        <v>mod/oublog:viewparticipation</v>
      </c>
      <c r="E536" t="str">
        <f t="shared" si="33"/>
        <v>moodle/restore:restoretargetimport</v>
      </c>
      <c r="F536" t="b">
        <f t="shared" si="34"/>
        <v>0</v>
      </c>
      <c r="G536" t="s">
        <v>607</v>
      </c>
    </row>
    <row r="537" spans="1:7">
      <c r="A537" t="s">
        <v>85</v>
      </c>
      <c r="B537" t="s">
        <v>816</v>
      </c>
      <c r="C537" t="str">
        <f t="shared" si="32"/>
        <v>.</v>
      </c>
      <c r="D537" t="str">
        <f t="shared" si="35"/>
        <v>mod/oublog:viewpersonal</v>
      </c>
      <c r="E537" t="str">
        <f t="shared" si="33"/>
        <v>moodle/restore:rolldates</v>
      </c>
      <c r="F537" t="b">
        <f t="shared" si="34"/>
        <v>0</v>
      </c>
      <c r="G537" t="s">
        <v>161</v>
      </c>
    </row>
    <row r="538" spans="1:7">
      <c r="A538" t="s">
        <v>319</v>
      </c>
      <c r="B538" t="s">
        <v>818</v>
      </c>
      <c r="C538" t="str">
        <f t="shared" si="32"/>
        <v>.</v>
      </c>
      <c r="D538" t="str">
        <f t="shared" si="35"/>
        <v>mod/oublog:viewprivate</v>
      </c>
      <c r="E538" t="str">
        <f t="shared" si="33"/>
        <v>moodle/restore:uploadfile</v>
      </c>
      <c r="F538" t="b">
        <f t="shared" si="34"/>
        <v>0</v>
      </c>
      <c r="G538" t="s">
        <v>161</v>
      </c>
    </row>
    <row r="539" spans="1:7">
      <c r="A539" t="s">
        <v>629</v>
      </c>
      <c r="B539" t="s">
        <v>820</v>
      </c>
      <c r="C539" t="str">
        <f t="shared" si="32"/>
        <v>.</v>
      </c>
      <c r="D539" t="str">
        <f t="shared" si="35"/>
        <v>mod/ouwiki:addinstance</v>
      </c>
      <c r="E539" t="str">
        <f t="shared" si="33"/>
        <v>moodle/restore:userinfo</v>
      </c>
      <c r="F539" t="b">
        <f t="shared" si="34"/>
        <v>0</v>
      </c>
      <c r="G539" t="s">
        <v>611</v>
      </c>
    </row>
    <row r="540" spans="1:7">
      <c r="A540" t="s">
        <v>1322</v>
      </c>
      <c r="B540" t="s">
        <v>822</v>
      </c>
      <c r="C540" t="str">
        <f t="shared" si="32"/>
        <v>.</v>
      </c>
      <c r="D540" t="str">
        <f t="shared" si="35"/>
        <v>mod/ouwiki:annotate</v>
      </c>
      <c r="E540" t="str">
        <f t="shared" si="33"/>
        <v>moodle/restore:viewautomatedfilearea</v>
      </c>
      <c r="F540" t="b">
        <f t="shared" si="34"/>
        <v>0</v>
      </c>
      <c r="G540" t="s">
        <v>611</v>
      </c>
    </row>
    <row r="541" spans="1:7">
      <c r="A541" t="s">
        <v>1324</v>
      </c>
      <c r="B541" t="s">
        <v>824</v>
      </c>
      <c r="C541" t="str">
        <f t="shared" si="32"/>
        <v>.</v>
      </c>
      <c r="D541" t="str">
        <f t="shared" si="35"/>
        <v>mod/ouwiki:annotateothers</v>
      </c>
      <c r="E541" t="str">
        <f t="shared" si="33"/>
        <v>moodle/role:assign</v>
      </c>
      <c r="F541" t="b">
        <f t="shared" si="34"/>
        <v>0</v>
      </c>
      <c r="G541" t="s">
        <v>613</v>
      </c>
    </row>
    <row r="542" spans="1:7">
      <c r="A542" t="s">
        <v>1326</v>
      </c>
      <c r="B542" t="s">
        <v>343</v>
      </c>
      <c r="C542" t="str">
        <f t="shared" si="32"/>
        <v>.</v>
      </c>
      <c r="D542" t="str">
        <f t="shared" si="35"/>
        <v>mod/ouwiki:deletepage</v>
      </c>
      <c r="E542" t="str">
        <f t="shared" si="33"/>
        <v>moodle/role:manage</v>
      </c>
      <c r="F542" t="b">
        <f t="shared" si="34"/>
        <v>0</v>
      </c>
      <c r="G542" t="s">
        <v>613</v>
      </c>
    </row>
    <row r="543" spans="1:7">
      <c r="A543" t="s">
        <v>1328</v>
      </c>
      <c r="B543" t="s">
        <v>826</v>
      </c>
      <c r="C543" t="str">
        <f t="shared" si="32"/>
        <v>.</v>
      </c>
      <c r="D543" t="str">
        <f t="shared" si="35"/>
        <v>mod/ouwiki:edit</v>
      </c>
      <c r="E543" t="str">
        <f t="shared" si="33"/>
        <v>moodle/role:override</v>
      </c>
      <c r="F543" t="b">
        <f t="shared" si="34"/>
        <v>0</v>
      </c>
      <c r="G543" t="s">
        <v>1275</v>
      </c>
    </row>
    <row r="544" spans="1:7">
      <c r="A544" t="s">
        <v>1330</v>
      </c>
      <c r="B544" t="s">
        <v>828</v>
      </c>
      <c r="C544" t="str">
        <f t="shared" si="32"/>
        <v>.</v>
      </c>
      <c r="D544" t="str">
        <f t="shared" si="35"/>
        <v>mod/ouwiki:editothers</v>
      </c>
      <c r="E544" t="str">
        <f t="shared" si="33"/>
        <v>moodle/role:review</v>
      </c>
      <c r="F544" t="b">
        <f t="shared" si="34"/>
        <v>0</v>
      </c>
      <c r="G544" t="s">
        <v>1275</v>
      </c>
    </row>
    <row r="545" spans="1:7">
      <c r="A545" t="s">
        <v>1332</v>
      </c>
      <c r="B545" t="s">
        <v>830</v>
      </c>
      <c r="C545" t="str">
        <f t="shared" si="32"/>
        <v>.</v>
      </c>
      <c r="D545" t="str">
        <f t="shared" si="35"/>
        <v>mod/ouwiki:grade</v>
      </c>
      <c r="E545" t="str">
        <f t="shared" si="33"/>
        <v>moodle/role:safeoverride</v>
      </c>
      <c r="F545" t="b">
        <f t="shared" si="34"/>
        <v>0</v>
      </c>
      <c r="G545" t="s">
        <v>1277</v>
      </c>
    </row>
    <row r="546" spans="1:7">
      <c r="A546" t="s">
        <v>1334</v>
      </c>
      <c r="B546" t="s">
        <v>832</v>
      </c>
      <c r="C546" t="str">
        <f t="shared" si="32"/>
        <v>.</v>
      </c>
      <c r="D546" t="str">
        <f t="shared" si="35"/>
        <v>mod/ouwiki:lock</v>
      </c>
      <c r="E546" t="str">
        <f t="shared" si="33"/>
        <v>moodle/role:switchroles</v>
      </c>
      <c r="F546" t="b">
        <f t="shared" si="34"/>
        <v>0</v>
      </c>
      <c r="G546" t="s">
        <v>1277</v>
      </c>
    </row>
    <row r="547" spans="1:7">
      <c r="A547" t="s">
        <v>1336</v>
      </c>
      <c r="B547" t="s">
        <v>834</v>
      </c>
      <c r="C547" t="str">
        <f t="shared" si="32"/>
        <v>.</v>
      </c>
      <c r="D547" t="str">
        <f t="shared" si="35"/>
        <v>mod/ouwiki:overridelock</v>
      </c>
      <c r="E547" t="str">
        <f t="shared" si="33"/>
        <v>moodle/site:accessallgroups</v>
      </c>
      <c r="F547" t="b">
        <f t="shared" si="34"/>
        <v>0</v>
      </c>
      <c r="G547" t="s">
        <v>617</v>
      </c>
    </row>
    <row r="548" spans="1:7">
      <c r="A548" t="s">
        <v>1338</v>
      </c>
      <c r="B548" t="s">
        <v>345</v>
      </c>
      <c r="C548" t="str">
        <f t="shared" si="32"/>
        <v>.</v>
      </c>
      <c r="D548" t="str">
        <f t="shared" si="35"/>
        <v>mod/ouwiki:view</v>
      </c>
      <c r="E548" t="str">
        <f t="shared" si="33"/>
        <v>moodle/site:approvecourse</v>
      </c>
      <c r="F548" t="b">
        <f t="shared" si="34"/>
        <v>0</v>
      </c>
      <c r="G548" t="s">
        <v>617</v>
      </c>
    </row>
    <row r="549" spans="1:7">
      <c r="A549" t="s">
        <v>1340</v>
      </c>
      <c r="B549" t="s">
        <v>347</v>
      </c>
      <c r="C549" t="str">
        <f t="shared" si="32"/>
        <v>.</v>
      </c>
      <c r="D549" t="str">
        <f t="shared" si="35"/>
        <v>mod/ouwiki:viewallindividuals</v>
      </c>
      <c r="E549" t="str">
        <f t="shared" si="33"/>
        <v>moodle/site:config</v>
      </c>
      <c r="F549" t="b">
        <f t="shared" si="34"/>
        <v>0</v>
      </c>
      <c r="G549" t="s">
        <v>619</v>
      </c>
    </row>
    <row r="550" spans="1:7">
      <c r="A550" t="s">
        <v>1342</v>
      </c>
      <c r="B550" t="s">
        <v>349</v>
      </c>
      <c r="C550" t="str">
        <f t="shared" si="32"/>
        <v>.</v>
      </c>
      <c r="D550" t="str">
        <f t="shared" si="35"/>
        <v>mod/ouwiki:viewgroupindividuals</v>
      </c>
      <c r="E550" t="str">
        <f t="shared" si="33"/>
        <v>moodle/site:doclinks</v>
      </c>
      <c r="F550" t="b">
        <f t="shared" si="34"/>
        <v>0</v>
      </c>
      <c r="G550" t="s">
        <v>619</v>
      </c>
    </row>
    <row r="551" spans="1:7">
      <c r="A551" t="s">
        <v>1344</v>
      </c>
      <c r="B551" t="s">
        <v>1698</v>
      </c>
      <c r="C551" t="str">
        <f t="shared" si="32"/>
        <v>.</v>
      </c>
      <c r="D551" t="str">
        <f t="shared" si="35"/>
        <v>mod/ouwiki:viewparticipation</v>
      </c>
      <c r="E551" t="str">
        <f t="shared" si="33"/>
        <v>moodle/site:manageblocks</v>
      </c>
      <c r="F551" t="b">
        <f t="shared" si="34"/>
        <v>0</v>
      </c>
      <c r="G551" t="s">
        <v>1289</v>
      </c>
    </row>
    <row r="552" spans="1:7">
      <c r="A552" t="s">
        <v>631</v>
      </c>
      <c r="B552" t="s">
        <v>103</v>
      </c>
      <c r="C552" t="str">
        <f t="shared" si="32"/>
        <v>.</v>
      </c>
      <c r="D552" t="str">
        <f t="shared" si="35"/>
        <v>.</v>
      </c>
      <c r="E552" t="str">
        <f t="shared" si="33"/>
        <v>moodle/site:mnetlogintoremote</v>
      </c>
      <c r="F552" t="str">
        <f t="shared" si="34"/>
        <v>mod/page:addinstance</v>
      </c>
      <c r="G552" t="s">
        <v>1289</v>
      </c>
    </row>
    <row r="553" spans="1:7">
      <c r="A553" t="s">
        <v>165</v>
      </c>
      <c r="B553" t="s">
        <v>351</v>
      </c>
      <c r="C553" t="str">
        <f t="shared" si="32"/>
        <v>.</v>
      </c>
      <c r="D553" t="str">
        <f t="shared" si="35"/>
        <v>.</v>
      </c>
      <c r="E553" t="str">
        <f t="shared" si="33"/>
        <v>moodle/site:readallmessages</v>
      </c>
      <c r="F553" t="str">
        <f t="shared" si="34"/>
        <v>mod/page:view</v>
      </c>
      <c r="G553" t="s">
        <v>1291</v>
      </c>
    </row>
    <row r="554" spans="1:7">
      <c r="A554" t="s">
        <v>633</v>
      </c>
      <c r="B554" t="s">
        <v>105</v>
      </c>
      <c r="C554" t="str">
        <f t="shared" si="32"/>
        <v>.</v>
      </c>
      <c r="D554" t="str">
        <f t="shared" si="35"/>
        <v>.</v>
      </c>
      <c r="E554" t="str">
        <f t="shared" si="33"/>
        <v>moodle/site:sendmessage</v>
      </c>
      <c r="F554" t="str">
        <f t="shared" si="34"/>
        <v>mod/questionnaire:addinstance</v>
      </c>
      <c r="G554" t="s">
        <v>1291</v>
      </c>
    </row>
    <row r="555" spans="1:7">
      <c r="A555" t="s">
        <v>1346</v>
      </c>
      <c r="B555" t="s">
        <v>836</v>
      </c>
      <c r="C555" t="str">
        <f t="shared" si="32"/>
        <v>.</v>
      </c>
      <c r="D555" t="str">
        <f t="shared" si="35"/>
        <v>.</v>
      </c>
      <c r="E555" t="str">
        <f t="shared" si="33"/>
        <v>moodle/site:trustcontent</v>
      </c>
      <c r="F555" t="str">
        <f t="shared" si="34"/>
        <v>mod/questionnaire:createpublic</v>
      </c>
      <c r="G555" t="s">
        <v>621</v>
      </c>
    </row>
    <row r="556" spans="1:7">
      <c r="A556" t="s">
        <v>1348</v>
      </c>
      <c r="B556" t="s">
        <v>353</v>
      </c>
      <c r="C556" t="str">
        <f t="shared" si="32"/>
        <v>.</v>
      </c>
      <c r="D556" t="str">
        <f t="shared" si="35"/>
        <v>.</v>
      </c>
      <c r="E556" t="str">
        <f t="shared" si="33"/>
        <v>moodle/site:uploadusers</v>
      </c>
      <c r="F556" t="str">
        <f t="shared" si="34"/>
        <v>mod/questionnaire:createtemplates</v>
      </c>
      <c r="G556" t="s">
        <v>621</v>
      </c>
    </row>
    <row r="557" spans="1:7">
      <c r="A557" t="s">
        <v>1350</v>
      </c>
      <c r="B557" t="s">
        <v>838</v>
      </c>
      <c r="C557" t="str">
        <f t="shared" si="32"/>
        <v>.</v>
      </c>
      <c r="D557" t="str">
        <f t="shared" si="35"/>
        <v>.</v>
      </c>
      <c r="E557" t="str">
        <f t="shared" si="33"/>
        <v>moodle/site:viewfullnames</v>
      </c>
      <c r="F557" t="str">
        <f t="shared" si="34"/>
        <v>mod/questionnaire:deleteresponses</v>
      </c>
      <c r="G557" t="s">
        <v>1293</v>
      </c>
    </row>
    <row r="558" spans="1:7">
      <c r="A558" t="s">
        <v>1352</v>
      </c>
      <c r="B558" t="s">
        <v>355</v>
      </c>
      <c r="C558" t="str">
        <f t="shared" si="32"/>
        <v>.</v>
      </c>
      <c r="D558" t="str">
        <f t="shared" si="35"/>
        <v>.</v>
      </c>
      <c r="E558" t="str">
        <f t="shared" si="33"/>
        <v>moodle/site:viewparticipants</v>
      </c>
      <c r="F558" t="str">
        <f t="shared" si="34"/>
        <v>mod/questionnaire:downloadresponses</v>
      </c>
      <c r="G558" t="s">
        <v>1293</v>
      </c>
    </row>
    <row r="559" spans="1:7">
      <c r="A559" t="s">
        <v>1354</v>
      </c>
      <c r="B559" t="s">
        <v>840</v>
      </c>
      <c r="C559" t="str">
        <f t="shared" si="32"/>
        <v>.</v>
      </c>
      <c r="D559" t="str">
        <f t="shared" si="35"/>
        <v>.</v>
      </c>
      <c r="E559" t="str">
        <f t="shared" si="33"/>
        <v>moodle/site:viewreports</v>
      </c>
      <c r="F559" t="str">
        <f t="shared" si="34"/>
        <v>mod/questionnaire:editquestions</v>
      </c>
      <c r="G559" t="s">
        <v>631</v>
      </c>
    </row>
    <row r="560" spans="1:7">
      <c r="A560" t="s">
        <v>1356</v>
      </c>
      <c r="B560" t="s">
        <v>842</v>
      </c>
      <c r="C560" t="str">
        <f t="shared" si="32"/>
        <v>.</v>
      </c>
      <c r="D560" t="str">
        <f t="shared" si="35"/>
        <v>.</v>
      </c>
      <c r="E560" t="str">
        <f t="shared" si="33"/>
        <v>moodle/site:viewuseridentity</v>
      </c>
      <c r="F560" t="str">
        <f t="shared" si="34"/>
        <v>mod/questionnaire:manage</v>
      </c>
      <c r="G560" t="s">
        <v>631</v>
      </c>
    </row>
    <row r="561" spans="1:7">
      <c r="A561" t="s">
        <v>1358</v>
      </c>
      <c r="B561" t="s">
        <v>107</v>
      </c>
      <c r="C561" t="str">
        <f t="shared" si="32"/>
        <v>.</v>
      </c>
      <c r="D561" t="str">
        <f t="shared" si="35"/>
        <v>.</v>
      </c>
      <c r="E561" t="str">
        <f t="shared" si="33"/>
        <v>moodle/tag:create</v>
      </c>
      <c r="F561" t="str">
        <f t="shared" si="34"/>
        <v>mod/questionnaire:message</v>
      </c>
      <c r="G561" t="s">
        <v>165</v>
      </c>
    </row>
    <row r="562" spans="1:7">
      <c r="A562" t="s">
        <v>1360</v>
      </c>
      <c r="B562" t="s">
        <v>109</v>
      </c>
      <c r="C562" t="str">
        <f t="shared" si="32"/>
        <v>.</v>
      </c>
      <c r="D562" t="str">
        <f t="shared" si="35"/>
        <v>.</v>
      </c>
      <c r="E562" t="str">
        <f t="shared" si="33"/>
        <v>moodle/tag:edit</v>
      </c>
      <c r="F562" t="str">
        <f t="shared" si="34"/>
        <v>mod/questionnaire:preview</v>
      </c>
      <c r="G562" t="s">
        <v>165</v>
      </c>
    </row>
    <row r="563" spans="1:7">
      <c r="A563" t="s">
        <v>1362</v>
      </c>
      <c r="B563" t="s">
        <v>357</v>
      </c>
      <c r="C563" t="str">
        <f t="shared" si="32"/>
        <v>.</v>
      </c>
      <c r="D563" t="str">
        <f t="shared" si="35"/>
        <v>.</v>
      </c>
      <c r="E563" t="str">
        <f t="shared" si="33"/>
        <v>moodle/tag:editblocks</v>
      </c>
      <c r="F563" t="str">
        <f t="shared" si="34"/>
        <v>mod/questionnaire:printblank</v>
      </c>
      <c r="G563" t="s">
        <v>633</v>
      </c>
    </row>
    <row r="564" spans="1:7">
      <c r="A564" t="s">
        <v>1364</v>
      </c>
      <c r="B564" t="s">
        <v>111</v>
      </c>
      <c r="C564" t="str">
        <f t="shared" si="32"/>
        <v>.</v>
      </c>
      <c r="D564" t="str">
        <f t="shared" si="35"/>
        <v>.</v>
      </c>
      <c r="E564" t="str">
        <f t="shared" si="33"/>
        <v>moodle/tag:flag</v>
      </c>
      <c r="F564" t="str">
        <f t="shared" si="34"/>
        <v>mod/questionnaire:readallresponseanytime</v>
      </c>
      <c r="G564" t="s">
        <v>633</v>
      </c>
    </row>
    <row r="565" spans="1:7">
      <c r="A565" t="s">
        <v>1366</v>
      </c>
      <c r="B565" t="s">
        <v>359</v>
      </c>
      <c r="C565" t="str">
        <f t="shared" si="32"/>
        <v>.</v>
      </c>
      <c r="D565" t="str">
        <f t="shared" si="35"/>
        <v>.</v>
      </c>
      <c r="E565" t="str">
        <f t="shared" si="33"/>
        <v>moodle/tag:manage</v>
      </c>
      <c r="F565" t="str">
        <f t="shared" si="34"/>
        <v>mod/questionnaire:readallresponses</v>
      </c>
      <c r="G565" t="s">
        <v>1346</v>
      </c>
    </row>
    <row r="566" spans="1:7">
      <c r="A566" t="s">
        <v>1368</v>
      </c>
      <c r="B566" t="s">
        <v>113</v>
      </c>
      <c r="C566" t="str">
        <f t="shared" si="32"/>
        <v>.</v>
      </c>
      <c r="D566" t="str">
        <f t="shared" si="35"/>
        <v>.</v>
      </c>
      <c r="E566" t="str">
        <f t="shared" si="33"/>
        <v>moodle/user:changeownpassword</v>
      </c>
      <c r="F566" t="str">
        <f t="shared" si="34"/>
        <v>mod/questionnaire:readownresponses</v>
      </c>
      <c r="G566" t="s">
        <v>1346</v>
      </c>
    </row>
    <row r="567" spans="1:7">
      <c r="A567" t="s">
        <v>1370</v>
      </c>
      <c r="B567" t="s">
        <v>361</v>
      </c>
      <c r="C567" t="str">
        <f t="shared" si="32"/>
        <v>.</v>
      </c>
      <c r="D567" t="str">
        <f t="shared" si="35"/>
        <v>.</v>
      </c>
      <c r="E567" t="str">
        <f t="shared" si="33"/>
        <v>moodle/user:create</v>
      </c>
      <c r="F567" t="str">
        <f t="shared" si="34"/>
        <v>mod/questionnaire:submit</v>
      </c>
      <c r="G567" t="s">
        <v>1348</v>
      </c>
    </row>
    <row r="568" spans="1:7">
      <c r="A568" t="s">
        <v>1372</v>
      </c>
      <c r="B568" t="s">
        <v>363</v>
      </c>
      <c r="C568" t="str">
        <f t="shared" si="32"/>
        <v>.</v>
      </c>
      <c r="D568" t="str">
        <f t="shared" si="35"/>
        <v>.</v>
      </c>
      <c r="E568" t="str">
        <f t="shared" si="33"/>
        <v>moodle/user:delete</v>
      </c>
      <c r="F568" t="str">
        <f t="shared" si="34"/>
        <v>mod/questionnaire:view</v>
      </c>
      <c r="G568" t="s">
        <v>1348</v>
      </c>
    </row>
    <row r="569" spans="1:7">
      <c r="A569" t="s">
        <v>1374</v>
      </c>
      <c r="B569" t="s">
        <v>391</v>
      </c>
      <c r="C569" t="str">
        <f t="shared" si="32"/>
        <v>.</v>
      </c>
      <c r="D569" t="str">
        <f t="shared" si="35"/>
        <v>.</v>
      </c>
      <c r="E569" t="str">
        <f t="shared" si="33"/>
        <v>moodle/user:editmessageprofile</v>
      </c>
      <c r="F569" t="str">
        <f t="shared" si="34"/>
        <v>mod/questionnaire:viewsingleresponse</v>
      </c>
      <c r="G569" t="s">
        <v>1350</v>
      </c>
    </row>
    <row r="570" spans="1:7">
      <c r="A570" t="s">
        <v>635</v>
      </c>
      <c r="B570" t="s">
        <v>115</v>
      </c>
      <c r="C570" t="str">
        <f t="shared" si="32"/>
        <v>.</v>
      </c>
      <c r="D570" t="str">
        <f t="shared" si="35"/>
        <v>.</v>
      </c>
      <c r="E570" t="str">
        <f t="shared" si="33"/>
        <v>moodle/user:editownmessageprofile</v>
      </c>
      <c r="F570" t="str">
        <f t="shared" si="34"/>
        <v>mod/quiz:addinstance</v>
      </c>
      <c r="G570" t="s">
        <v>1350</v>
      </c>
    </row>
    <row r="571" spans="1:7">
      <c r="A571" t="s">
        <v>1376</v>
      </c>
      <c r="B571" t="s">
        <v>117</v>
      </c>
      <c r="C571" t="str">
        <f t="shared" si="32"/>
        <v>.</v>
      </c>
      <c r="D571" t="str">
        <f t="shared" si="35"/>
        <v>.</v>
      </c>
      <c r="E571" t="str">
        <f t="shared" si="33"/>
        <v>moodle/user:editownprofile</v>
      </c>
      <c r="F571" t="str">
        <f t="shared" si="34"/>
        <v>mod/quiz:attempt</v>
      </c>
      <c r="G571" t="s">
        <v>1352</v>
      </c>
    </row>
    <row r="572" spans="1:7">
      <c r="A572" t="s">
        <v>1378</v>
      </c>
      <c r="B572" t="s">
        <v>393</v>
      </c>
      <c r="C572" t="str">
        <f t="shared" si="32"/>
        <v>.</v>
      </c>
      <c r="D572" t="str">
        <f t="shared" si="35"/>
        <v>.</v>
      </c>
      <c r="E572" t="str">
        <f t="shared" si="33"/>
        <v>moodle/user:editprofile</v>
      </c>
      <c r="F572" t="str">
        <f t="shared" si="34"/>
        <v>mod/quiz:deleteattempts</v>
      </c>
      <c r="G572" t="s">
        <v>1352</v>
      </c>
    </row>
    <row r="573" spans="1:7">
      <c r="A573" t="s">
        <v>1380</v>
      </c>
      <c r="B573" t="s">
        <v>365</v>
      </c>
      <c r="C573" t="str">
        <f t="shared" si="32"/>
        <v>.</v>
      </c>
      <c r="D573" t="str">
        <f t="shared" si="35"/>
        <v>.</v>
      </c>
      <c r="E573" t="str">
        <f t="shared" si="33"/>
        <v>moodle/user:ignoreuserquota</v>
      </c>
      <c r="F573" t="str">
        <f t="shared" si="34"/>
        <v>mod/quiz:emailconfirmsubmission</v>
      </c>
      <c r="G573" t="s">
        <v>1354</v>
      </c>
    </row>
    <row r="574" spans="1:7">
      <c r="A574" t="s">
        <v>1382</v>
      </c>
      <c r="B574" t="s">
        <v>844</v>
      </c>
      <c r="C574" t="str">
        <f t="shared" si="32"/>
        <v>.</v>
      </c>
      <c r="D574" t="str">
        <f t="shared" si="35"/>
        <v>.</v>
      </c>
      <c r="E574" t="str">
        <f t="shared" si="33"/>
        <v>moodle/user:loginas</v>
      </c>
      <c r="F574" t="str">
        <f t="shared" si="34"/>
        <v>mod/quiz:emailnotifysubmission</v>
      </c>
      <c r="G574" t="s">
        <v>1354</v>
      </c>
    </row>
    <row r="575" spans="1:7">
      <c r="A575" t="s">
        <v>1384</v>
      </c>
      <c r="B575" t="s">
        <v>395</v>
      </c>
      <c r="C575" t="str">
        <f t="shared" si="32"/>
        <v>.</v>
      </c>
      <c r="D575" t="str">
        <f t="shared" si="35"/>
        <v>.</v>
      </c>
      <c r="E575" t="str">
        <f t="shared" si="33"/>
        <v>moodle/user:manageblocks</v>
      </c>
      <c r="F575" t="str">
        <f t="shared" si="34"/>
        <v>mod/quiz:emailwarnoverdue</v>
      </c>
      <c r="G575" t="s">
        <v>1356</v>
      </c>
    </row>
    <row r="576" spans="1:7">
      <c r="A576" t="s">
        <v>1386</v>
      </c>
      <c r="B576" t="s">
        <v>119</v>
      </c>
      <c r="C576" t="str">
        <f t="shared" si="32"/>
        <v>.</v>
      </c>
      <c r="D576" t="str">
        <f t="shared" si="35"/>
        <v>.</v>
      </c>
      <c r="E576" t="str">
        <f t="shared" si="33"/>
        <v>moodle/user:manageownblocks</v>
      </c>
      <c r="F576" t="str">
        <f t="shared" si="34"/>
        <v>mod/quiz:grade</v>
      </c>
      <c r="G576" t="s">
        <v>1356</v>
      </c>
    </row>
    <row r="577" spans="1:7">
      <c r="A577" t="s">
        <v>1388</v>
      </c>
      <c r="B577" t="s">
        <v>121</v>
      </c>
      <c r="C577" t="str">
        <f t="shared" si="32"/>
        <v>.</v>
      </c>
      <c r="D577" t="str">
        <f t="shared" si="35"/>
        <v>.</v>
      </c>
      <c r="E577" t="str">
        <f t="shared" si="33"/>
        <v>moodle/user:manageownfiles</v>
      </c>
      <c r="F577" t="str">
        <f t="shared" si="34"/>
        <v>mod/quiz:ignoretimelimits</v>
      </c>
      <c r="G577" t="s">
        <v>1358</v>
      </c>
    </row>
    <row r="578" spans="1:7">
      <c r="A578" t="s">
        <v>1390</v>
      </c>
      <c r="B578" t="s">
        <v>367</v>
      </c>
      <c r="C578" t="str">
        <f t="shared" si="32"/>
        <v>.</v>
      </c>
      <c r="D578" t="str">
        <f t="shared" si="35"/>
        <v>.</v>
      </c>
      <c r="E578" t="str">
        <f t="shared" si="33"/>
        <v>moodle/user:managesyspages</v>
      </c>
      <c r="F578" t="str">
        <f t="shared" si="34"/>
        <v>mod/quiz:manage</v>
      </c>
      <c r="G578" t="s">
        <v>1358</v>
      </c>
    </row>
    <row r="579" spans="1:7">
      <c r="A579" t="s">
        <v>1392</v>
      </c>
      <c r="B579" t="s">
        <v>397</v>
      </c>
      <c r="C579" t="str">
        <f t="shared" ref="C579:C631" si="36">IF(VLOOKUP(B579,$A$2:$A$873,1)=B579,".",B579)</f>
        <v>.</v>
      </c>
      <c r="D579" t="str">
        <f t="shared" si="35"/>
        <v>.</v>
      </c>
      <c r="E579" t="str">
        <f t="shared" ref="E579:E631" si="37">IF(C579=".",B579)</f>
        <v>moodle/user:readuserblogs</v>
      </c>
      <c r="F579" t="str">
        <f t="shared" si="34"/>
        <v>mod/quiz:manageoverrides</v>
      </c>
      <c r="G579" t="s">
        <v>1360</v>
      </c>
    </row>
    <row r="580" spans="1:7">
      <c r="A580" t="s">
        <v>1394</v>
      </c>
      <c r="B580" t="s">
        <v>399</v>
      </c>
      <c r="C580" t="str">
        <f t="shared" si="36"/>
        <v>.</v>
      </c>
      <c r="D580" t="str">
        <f t="shared" si="35"/>
        <v>.</v>
      </c>
      <c r="E580" t="str">
        <f t="shared" si="37"/>
        <v>moodle/user:readuserposts</v>
      </c>
      <c r="F580" t="str">
        <f t="shared" ref="F580:F643" si="38">IF(D580=".",A580)</f>
        <v>mod/quiz:preview</v>
      </c>
      <c r="G580" t="s">
        <v>1360</v>
      </c>
    </row>
    <row r="581" spans="1:7">
      <c r="A581" t="s">
        <v>1396</v>
      </c>
      <c r="B581" t="s">
        <v>369</v>
      </c>
      <c r="C581" t="str">
        <f t="shared" si="36"/>
        <v>.</v>
      </c>
      <c r="D581" t="str">
        <f t="shared" si="35"/>
        <v>.</v>
      </c>
      <c r="E581" t="str">
        <f t="shared" si="37"/>
        <v>moodle/user:update</v>
      </c>
      <c r="F581" t="str">
        <f t="shared" si="38"/>
        <v>mod/quiz:regrade</v>
      </c>
      <c r="G581" t="s">
        <v>1362</v>
      </c>
    </row>
    <row r="582" spans="1:7">
      <c r="A582" t="s">
        <v>1398</v>
      </c>
      <c r="B582" t="s">
        <v>401</v>
      </c>
      <c r="C582" t="str">
        <f t="shared" si="36"/>
        <v>.</v>
      </c>
      <c r="D582" t="str">
        <f t="shared" si="35"/>
        <v>.</v>
      </c>
      <c r="E582" t="str">
        <f t="shared" si="37"/>
        <v>moodle/user:viewalldetails</v>
      </c>
      <c r="F582" t="str">
        <f t="shared" si="38"/>
        <v>mod/quiz:reviewmyattempts</v>
      </c>
      <c r="G582" t="s">
        <v>1362</v>
      </c>
    </row>
    <row r="583" spans="1:7">
      <c r="A583" t="s">
        <v>1400</v>
      </c>
      <c r="B583" t="s">
        <v>846</v>
      </c>
      <c r="C583" t="str">
        <f t="shared" si="36"/>
        <v>.</v>
      </c>
      <c r="D583" t="str">
        <f t="shared" si="35"/>
        <v>.</v>
      </c>
      <c r="E583" t="str">
        <f t="shared" si="37"/>
        <v>moodle/user:viewdetails</v>
      </c>
      <c r="F583" t="str">
        <f t="shared" si="38"/>
        <v>mod/quiz:view</v>
      </c>
      <c r="G583" t="s">
        <v>1364</v>
      </c>
    </row>
    <row r="584" spans="1:7">
      <c r="A584" t="s">
        <v>1402</v>
      </c>
      <c r="B584" t="s">
        <v>848</v>
      </c>
      <c r="C584" t="str">
        <f t="shared" si="36"/>
        <v>.</v>
      </c>
      <c r="D584" t="str">
        <f t="shared" ref="D584:D647" si="39">IF(VLOOKUP(A584,$B$2:$B$631,1)=A584,".",A584)</f>
        <v>.</v>
      </c>
      <c r="E584" t="str">
        <f t="shared" si="37"/>
        <v>moodle/user:viewhiddendetails</v>
      </c>
      <c r="F584" t="str">
        <f t="shared" si="38"/>
        <v>mod/quiz:viewreports</v>
      </c>
      <c r="G584" t="s">
        <v>1364</v>
      </c>
    </row>
    <row r="585" spans="1:7">
      <c r="A585" t="s">
        <v>637</v>
      </c>
      <c r="B585" t="s">
        <v>403</v>
      </c>
      <c r="C585" t="str">
        <f t="shared" si="36"/>
        <v>.</v>
      </c>
      <c r="D585" t="str">
        <f t="shared" si="39"/>
        <v>.</v>
      </c>
      <c r="E585" t="str">
        <f t="shared" si="37"/>
        <v>moodle/user:viewuseractivitiesreport</v>
      </c>
      <c r="F585" t="str">
        <f t="shared" si="38"/>
        <v>mod/resource:addinstance</v>
      </c>
      <c r="G585" t="s">
        <v>1366</v>
      </c>
    </row>
    <row r="586" spans="1:7">
      <c r="A586" t="s">
        <v>167</v>
      </c>
      <c r="B586" t="s">
        <v>123</v>
      </c>
      <c r="C586" t="str">
        <f t="shared" si="36"/>
        <v>.</v>
      </c>
      <c r="D586" t="str">
        <f t="shared" si="39"/>
        <v>.</v>
      </c>
      <c r="E586" t="str">
        <f t="shared" si="37"/>
        <v>moodle/webservice:createmobiletoken</v>
      </c>
      <c r="F586" t="str">
        <f t="shared" si="38"/>
        <v>mod/resource:view</v>
      </c>
      <c r="G586" t="s">
        <v>1366</v>
      </c>
    </row>
    <row r="587" spans="1:7">
      <c r="A587" t="s">
        <v>639</v>
      </c>
      <c r="B587" t="s">
        <v>371</v>
      </c>
      <c r="C587" t="str">
        <f t="shared" si="36"/>
        <v>.</v>
      </c>
      <c r="D587" t="str">
        <f t="shared" si="39"/>
        <v>mod/respondusws:addinstance</v>
      </c>
      <c r="E587" t="str">
        <f t="shared" si="37"/>
        <v>moodle/webservice:createtoken</v>
      </c>
      <c r="F587" t="b">
        <f t="shared" si="38"/>
        <v>0</v>
      </c>
      <c r="G587" t="s">
        <v>1368</v>
      </c>
    </row>
    <row r="588" spans="1:7">
      <c r="A588" t="s">
        <v>641</v>
      </c>
      <c r="B588" t="s">
        <v>1510</v>
      </c>
      <c r="C588" t="str">
        <f t="shared" si="36"/>
        <v>.</v>
      </c>
      <c r="D588" t="str">
        <f t="shared" si="39"/>
        <v>.</v>
      </c>
      <c r="E588" t="str">
        <f t="shared" si="37"/>
        <v>quiz/grading:viewidnumber</v>
      </c>
      <c r="F588" t="str">
        <f t="shared" si="38"/>
        <v>mod/scheduler:addinstance</v>
      </c>
      <c r="G588" t="s">
        <v>1368</v>
      </c>
    </row>
    <row r="589" spans="1:7">
      <c r="A589" t="s">
        <v>1404</v>
      </c>
      <c r="B589" t="s">
        <v>1512</v>
      </c>
      <c r="C589" t="str">
        <f t="shared" si="36"/>
        <v>.</v>
      </c>
      <c r="D589" t="str">
        <f t="shared" si="39"/>
        <v>.</v>
      </c>
      <c r="E589" t="str">
        <f t="shared" si="37"/>
        <v>quiz/grading:viewstudentnames</v>
      </c>
      <c r="F589" t="str">
        <f t="shared" si="38"/>
        <v>mod/scheduler:appoint</v>
      </c>
      <c r="G589" t="s">
        <v>1370</v>
      </c>
    </row>
    <row r="590" spans="1:7">
      <c r="A590" t="s">
        <v>1406</v>
      </c>
      <c r="B590" t="s">
        <v>1514</v>
      </c>
      <c r="C590" t="str">
        <f t="shared" si="36"/>
        <v>.</v>
      </c>
      <c r="D590" t="str">
        <f t="shared" si="39"/>
        <v>.</v>
      </c>
      <c r="E590" t="str">
        <f t="shared" si="37"/>
        <v>quiz/statistics:view</v>
      </c>
      <c r="F590" t="str">
        <f t="shared" si="38"/>
        <v>mod/scheduler:attend</v>
      </c>
      <c r="G590" t="s">
        <v>1370</v>
      </c>
    </row>
    <row r="591" spans="1:7">
      <c r="A591" t="s">
        <v>1408</v>
      </c>
      <c r="B591" t="s">
        <v>850</v>
      </c>
      <c r="C591" t="str">
        <f t="shared" si="36"/>
        <v>.</v>
      </c>
      <c r="D591" t="str">
        <f t="shared" si="39"/>
        <v>.</v>
      </c>
      <c r="E591" t="str">
        <f t="shared" si="37"/>
        <v>report/completion:view</v>
      </c>
      <c r="F591" t="str">
        <f t="shared" si="38"/>
        <v>mod/scheduler:canscheduletootherteachers</v>
      </c>
      <c r="G591" t="s">
        <v>1372</v>
      </c>
    </row>
    <row r="592" spans="1:7">
      <c r="A592" t="s">
        <v>1410</v>
      </c>
      <c r="B592" t="s">
        <v>373</v>
      </c>
      <c r="C592" t="str">
        <f t="shared" si="36"/>
        <v>.</v>
      </c>
      <c r="D592" t="str">
        <f t="shared" si="39"/>
        <v>.</v>
      </c>
      <c r="E592" t="str">
        <f t="shared" si="37"/>
        <v>report/courseoverview:view</v>
      </c>
      <c r="F592" t="str">
        <f t="shared" si="38"/>
        <v>mod/scheduler:canseeotherteachersbooking</v>
      </c>
      <c r="G592" t="s">
        <v>1372</v>
      </c>
    </row>
    <row r="593" spans="1:7">
      <c r="A593" t="s">
        <v>1412</v>
      </c>
      <c r="B593" t="s">
        <v>852</v>
      </c>
      <c r="C593" t="str">
        <f t="shared" si="36"/>
        <v>.</v>
      </c>
      <c r="D593" t="str">
        <f t="shared" si="39"/>
        <v>.</v>
      </c>
      <c r="E593" t="str">
        <f t="shared" si="37"/>
        <v>report/log:view</v>
      </c>
      <c r="F593" t="str">
        <f t="shared" si="38"/>
        <v>mod/scheduler:disengage</v>
      </c>
      <c r="G593" t="s">
        <v>1374</v>
      </c>
    </row>
    <row r="594" spans="1:7">
      <c r="A594" t="s">
        <v>1414</v>
      </c>
      <c r="B594" t="s">
        <v>854</v>
      </c>
      <c r="C594" t="str">
        <f t="shared" si="36"/>
        <v>.</v>
      </c>
      <c r="D594" t="str">
        <f t="shared" si="39"/>
        <v>.</v>
      </c>
      <c r="E594" t="str">
        <f t="shared" si="37"/>
        <v>report/log:viewtoday</v>
      </c>
      <c r="F594" t="str">
        <f t="shared" si="38"/>
        <v>mod/scheduler:manage</v>
      </c>
      <c r="G594" t="s">
        <v>1374</v>
      </c>
    </row>
    <row r="595" spans="1:7">
      <c r="A595" t="s">
        <v>1416</v>
      </c>
      <c r="B595" t="s">
        <v>856</v>
      </c>
      <c r="C595" t="str">
        <f t="shared" si="36"/>
        <v>.</v>
      </c>
      <c r="D595" t="str">
        <f t="shared" si="39"/>
        <v>.</v>
      </c>
      <c r="E595" t="str">
        <f t="shared" si="37"/>
        <v>report/loglive:view</v>
      </c>
      <c r="F595" t="str">
        <f t="shared" si="38"/>
        <v>mod/scheduler:manageallappointments</v>
      </c>
      <c r="G595" t="s">
        <v>635</v>
      </c>
    </row>
    <row r="596" spans="1:7">
      <c r="A596" t="s">
        <v>1418</v>
      </c>
      <c r="B596" t="s">
        <v>858</v>
      </c>
      <c r="C596" t="str">
        <f t="shared" si="36"/>
        <v>.</v>
      </c>
      <c r="D596" t="str">
        <f t="shared" si="39"/>
        <v>.</v>
      </c>
      <c r="E596" t="str">
        <f t="shared" si="37"/>
        <v>report/outline:view</v>
      </c>
      <c r="F596" t="str">
        <f t="shared" si="38"/>
        <v>mod/scheduler:seeotherstudentsbooking</v>
      </c>
      <c r="G596" t="s">
        <v>635</v>
      </c>
    </row>
    <row r="597" spans="1:7">
      <c r="A597" t="s">
        <v>1420</v>
      </c>
      <c r="B597" t="s">
        <v>860</v>
      </c>
      <c r="C597" t="str">
        <f t="shared" si="36"/>
        <v>.</v>
      </c>
      <c r="D597" t="str">
        <f t="shared" si="39"/>
        <v>.</v>
      </c>
      <c r="E597" t="str">
        <f t="shared" si="37"/>
        <v>report/participation:view</v>
      </c>
      <c r="F597" t="str">
        <f t="shared" si="38"/>
        <v>mod/scheduler:seeotherstudentsresults</v>
      </c>
      <c r="G597" t="s">
        <v>1376</v>
      </c>
    </row>
    <row r="598" spans="1:7">
      <c r="A598" t="s">
        <v>643</v>
      </c>
      <c r="B598" t="s">
        <v>377</v>
      </c>
      <c r="C598" t="str">
        <f t="shared" si="36"/>
        <v>.</v>
      </c>
      <c r="D598" t="str">
        <f t="shared" si="39"/>
        <v>.</v>
      </c>
      <c r="E598" t="str">
        <f t="shared" si="37"/>
        <v>report/performance:view</v>
      </c>
      <c r="F598" t="str">
        <f t="shared" si="38"/>
        <v>mod/scorm:addinstance</v>
      </c>
      <c r="G598" t="s">
        <v>1376</v>
      </c>
    </row>
    <row r="599" spans="1:7">
      <c r="A599" t="s">
        <v>1422</v>
      </c>
      <c r="B599" t="s">
        <v>862</v>
      </c>
      <c r="C599" t="str">
        <f t="shared" si="36"/>
        <v>.</v>
      </c>
      <c r="D599" t="str">
        <f t="shared" si="39"/>
        <v>.</v>
      </c>
      <c r="E599" t="str">
        <f t="shared" si="37"/>
        <v>report/progress:view</v>
      </c>
      <c r="F599" t="str">
        <f t="shared" si="38"/>
        <v>mod/scorm:deleteownresponses</v>
      </c>
      <c r="G599" t="s">
        <v>1378</v>
      </c>
    </row>
    <row r="600" spans="1:7">
      <c r="A600" t="s">
        <v>1424</v>
      </c>
      <c r="B600" t="s">
        <v>379</v>
      </c>
      <c r="C600" t="str">
        <f t="shared" si="36"/>
        <v>.</v>
      </c>
      <c r="D600" t="str">
        <f t="shared" si="39"/>
        <v>.</v>
      </c>
      <c r="E600" t="str">
        <f t="shared" si="37"/>
        <v>report/questioninstances:view</v>
      </c>
      <c r="F600" t="str">
        <f t="shared" si="38"/>
        <v>mod/scorm:deleteresponses</v>
      </c>
      <c r="G600" t="s">
        <v>1378</v>
      </c>
    </row>
    <row r="601" spans="1:7">
      <c r="A601" t="s">
        <v>1426</v>
      </c>
      <c r="B601" t="s">
        <v>381</v>
      </c>
      <c r="C601" t="str">
        <f t="shared" si="36"/>
        <v>.</v>
      </c>
      <c r="D601" t="str">
        <f t="shared" si="39"/>
        <v>.</v>
      </c>
      <c r="E601" t="str">
        <f t="shared" si="37"/>
        <v>report/security:view</v>
      </c>
      <c r="F601" t="str">
        <f t="shared" si="38"/>
        <v>mod/scorm:savetrack</v>
      </c>
      <c r="G601" t="s">
        <v>1380</v>
      </c>
    </row>
    <row r="602" spans="1:7">
      <c r="A602" t="s">
        <v>1428</v>
      </c>
      <c r="B602" t="s">
        <v>864</v>
      </c>
      <c r="C602" t="str">
        <f t="shared" si="36"/>
        <v>.</v>
      </c>
      <c r="D602" t="str">
        <f t="shared" si="39"/>
        <v>.</v>
      </c>
      <c r="E602" t="str">
        <f t="shared" si="37"/>
        <v>report/stats:view</v>
      </c>
      <c r="F602" t="str">
        <f t="shared" si="38"/>
        <v>mod/scorm:skipview</v>
      </c>
      <c r="G602" t="s">
        <v>1380</v>
      </c>
    </row>
    <row r="603" spans="1:7">
      <c r="A603" t="s">
        <v>1429</v>
      </c>
      <c r="B603" t="s">
        <v>176</v>
      </c>
      <c r="C603" t="str">
        <f t="shared" si="36"/>
        <v>.</v>
      </c>
      <c r="D603" t="str">
        <f t="shared" si="39"/>
        <v>.</v>
      </c>
      <c r="E603" t="str">
        <f t="shared" si="37"/>
        <v>repository/alfresco:view</v>
      </c>
      <c r="F603" t="str">
        <f t="shared" si="38"/>
        <v>mod/scorm:viewreport</v>
      </c>
      <c r="G603" t="s">
        <v>1382</v>
      </c>
    </row>
    <row r="604" spans="1:7">
      <c r="A604" t="s">
        <v>1431</v>
      </c>
      <c r="B604" t="s">
        <v>178</v>
      </c>
      <c r="C604" t="str">
        <f t="shared" si="36"/>
        <v>.</v>
      </c>
      <c r="D604" t="str">
        <f t="shared" si="39"/>
        <v>.</v>
      </c>
      <c r="E604" t="str">
        <f t="shared" si="37"/>
        <v>repository/areafiles:view</v>
      </c>
      <c r="F604" t="str">
        <f t="shared" si="38"/>
        <v>mod/scorm:viewscores</v>
      </c>
      <c r="G604" t="s">
        <v>1382</v>
      </c>
    </row>
    <row r="605" spans="1:7">
      <c r="A605" t="s">
        <v>645</v>
      </c>
      <c r="B605" t="s">
        <v>180</v>
      </c>
      <c r="C605" t="str">
        <f t="shared" si="36"/>
        <v>.</v>
      </c>
      <c r="D605" t="str">
        <f t="shared" si="39"/>
        <v>mod/subcourse:addinstance</v>
      </c>
      <c r="E605" t="str">
        <f t="shared" si="37"/>
        <v>repository/boxnet:view</v>
      </c>
      <c r="F605" t="b">
        <f t="shared" si="38"/>
        <v>0</v>
      </c>
      <c r="G605" t="s">
        <v>1384</v>
      </c>
    </row>
    <row r="606" spans="1:7">
      <c r="A606" t="s">
        <v>1433</v>
      </c>
      <c r="B606" t="s">
        <v>184</v>
      </c>
      <c r="C606" t="str">
        <f t="shared" si="36"/>
        <v>.</v>
      </c>
      <c r="D606" t="str">
        <f t="shared" si="39"/>
        <v>mod/subcourse:begraded</v>
      </c>
      <c r="E606" t="str">
        <f t="shared" si="37"/>
        <v>repository/coursefiles:view</v>
      </c>
      <c r="F606" t="b">
        <f t="shared" si="38"/>
        <v>0</v>
      </c>
      <c r="G606" t="s">
        <v>1384</v>
      </c>
    </row>
    <row r="607" spans="1:7">
      <c r="A607" t="s">
        <v>1435</v>
      </c>
      <c r="B607" t="s">
        <v>186</v>
      </c>
      <c r="C607" t="str">
        <f t="shared" si="36"/>
        <v>.</v>
      </c>
      <c r="D607" t="str">
        <f t="shared" si="39"/>
        <v>mod/subcourse:fetchgrades</v>
      </c>
      <c r="E607" t="str">
        <f t="shared" si="37"/>
        <v>repository/dropbox:view</v>
      </c>
      <c r="F607" t="b">
        <f t="shared" si="38"/>
        <v>0</v>
      </c>
      <c r="G607" t="s">
        <v>1386</v>
      </c>
    </row>
    <row r="608" spans="1:7">
      <c r="A608" t="s">
        <v>647</v>
      </c>
      <c r="B608" t="s">
        <v>188</v>
      </c>
      <c r="C608" t="str">
        <f t="shared" si="36"/>
        <v>.</v>
      </c>
      <c r="D608" t="str">
        <f t="shared" si="39"/>
        <v>mod/subpage:addinstance</v>
      </c>
      <c r="E608" t="str">
        <f t="shared" si="37"/>
        <v>repository/equella:view</v>
      </c>
      <c r="F608" t="b">
        <f t="shared" si="38"/>
        <v>0</v>
      </c>
      <c r="G608" t="s">
        <v>1386</v>
      </c>
    </row>
    <row r="609" spans="1:7">
      <c r="A609" t="s">
        <v>169</v>
      </c>
      <c r="B609" t="s">
        <v>192</v>
      </c>
      <c r="C609" t="str">
        <f t="shared" si="36"/>
        <v>.</v>
      </c>
      <c r="D609" t="str">
        <f t="shared" si="39"/>
        <v>mod/subpage:view</v>
      </c>
      <c r="E609" t="str">
        <f t="shared" si="37"/>
        <v>repository/filesystem:view</v>
      </c>
      <c r="F609" t="b">
        <f t="shared" si="38"/>
        <v>0</v>
      </c>
      <c r="G609" t="s">
        <v>1388</v>
      </c>
    </row>
    <row r="610" spans="1:7">
      <c r="A610" t="s">
        <v>649</v>
      </c>
      <c r="B610" t="s">
        <v>196</v>
      </c>
      <c r="C610" t="str">
        <f t="shared" si="36"/>
        <v>.</v>
      </c>
      <c r="D610" t="str">
        <f t="shared" si="39"/>
        <v>.</v>
      </c>
      <c r="E610" t="str">
        <f t="shared" si="37"/>
        <v>repository/flickr_public:view</v>
      </c>
      <c r="F610" t="str">
        <f t="shared" si="38"/>
        <v>mod/survey:addinstance</v>
      </c>
      <c r="G610" t="s">
        <v>1388</v>
      </c>
    </row>
    <row r="611" spans="1:7">
      <c r="A611" t="s">
        <v>1436</v>
      </c>
      <c r="B611" t="s">
        <v>194</v>
      </c>
      <c r="C611" t="str">
        <f t="shared" si="36"/>
        <v>.</v>
      </c>
      <c r="D611" t="str">
        <f t="shared" si="39"/>
        <v>.</v>
      </c>
      <c r="E611" t="str">
        <f t="shared" si="37"/>
        <v>repository/flickr:view</v>
      </c>
      <c r="F611" t="str">
        <f t="shared" si="38"/>
        <v>mod/survey:download</v>
      </c>
      <c r="G611" t="s">
        <v>1390</v>
      </c>
    </row>
    <row r="612" spans="1:7">
      <c r="A612" t="s">
        <v>1438</v>
      </c>
      <c r="B612" t="s">
        <v>198</v>
      </c>
      <c r="C612" t="str">
        <f t="shared" si="36"/>
        <v>.</v>
      </c>
      <c r="D612" t="str">
        <f t="shared" si="39"/>
        <v>.</v>
      </c>
      <c r="E612" t="str">
        <f t="shared" si="37"/>
        <v>repository/googledocs:view</v>
      </c>
      <c r="F612" t="str">
        <f t="shared" si="38"/>
        <v>mod/survey:participate</v>
      </c>
      <c r="G612" t="s">
        <v>1390</v>
      </c>
    </row>
    <row r="613" spans="1:7">
      <c r="A613" t="s">
        <v>1440</v>
      </c>
      <c r="B613" t="s">
        <v>200</v>
      </c>
      <c r="C613" t="str">
        <f t="shared" si="36"/>
        <v>.</v>
      </c>
      <c r="D613" t="str">
        <f t="shared" si="39"/>
        <v>.</v>
      </c>
      <c r="E613" t="str">
        <f t="shared" si="37"/>
        <v>repository/local:view</v>
      </c>
      <c r="F613" t="str">
        <f t="shared" si="38"/>
        <v>mod/survey:readresponses</v>
      </c>
      <c r="G613" t="s">
        <v>1392</v>
      </c>
    </row>
    <row r="614" spans="1:7">
      <c r="A614" t="s">
        <v>1442</v>
      </c>
      <c r="B614" t="s">
        <v>204</v>
      </c>
      <c r="C614" t="str">
        <f t="shared" si="36"/>
        <v>.</v>
      </c>
      <c r="D614" t="str">
        <f t="shared" si="39"/>
        <v>mod/tab:addinstance</v>
      </c>
      <c r="E614" t="str">
        <f t="shared" si="37"/>
        <v>repository/merlot:view</v>
      </c>
      <c r="F614" t="b">
        <f t="shared" si="38"/>
        <v>0</v>
      </c>
      <c r="G614" t="s">
        <v>1392</v>
      </c>
    </row>
    <row r="615" spans="1:7">
      <c r="A615" t="s">
        <v>171</v>
      </c>
      <c r="B615" t="s">
        <v>206</v>
      </c>
      <c r="C615" t="str">
        <f t="shared" si="36"/>
        <v>.</v>
      </c>
      <c r="D615" t="str">
        <f t="shared" si="39"/>
        <v>mod/tab:view</v>
      </c>
      <c r="E615" t="str">
        <f t="shared" si="37"/>
        <v>repository/picasa:view</v>
      </c>
      <c r="F615" t="b">
        <f t="shared" si="38"/>
        <v>0</v>
      </c>
      <c r="G615" t="s">
        <v>1394</v>
      </c>
    </row>
    <row r="616" spans="1:7">
      <c r="A616" t="s">
        <v>1444</v>
      </c>
      <c r="B616" t="s">
        <v>210</v>
      </c>
      <c r="C616" t="str">
        <f t="shared" si="36"/>
        <v>.</v>
      </c>
      <c r="D616" t="str">
        <f t="shared" si="39"/>
        <v>.</v>
      </c>
      <c r="E616" t="str">
        <f t="shared" si="37"/>
        <v>repository/recent:view</v>
      </c>
      <c r="F616" t="str">
        <f t="shared" si="38"/>
        <v>mod/turnitintool:addinstance</v>
      </c>
      <c r="G616" t="s">
        <v>1394</v>
      </c>
    </row>
    <row r="617" spans="1:7">
      <c r="A617" t="s">
        <v>1446</v>
      </c>
      <c r="B617" t="s">
        <v>212</v>
      </c>
      <c r="C617" t="str">
        <f t="shared" si="36"/>
        <v>.</v>
      </c>
      <c r="D617" t="str">
        <f t="shared" si="39"/>
        <v>.</v>
      </c>
      <c r="E617" t="str">
        <f t="shared" si="37"/>
        <v>repository/s3:view</v>
      </c>
      <c r="F617" t="str">
        <f t="shared" si="38"/>
        <v>mod/turnitintool:grade</v>
      </c>
      <c r="G617" t="s">
        <v>1396</v>
      </c>
    </row>
    <row r="618" spans="1:7">
      <c r="A618" t="s">
        <v>1448</v>
      </c>
      <c r="B618" t="s">
        <v>214</v>
      </c>
      <c r="C618" t="str">
        <f t="shared" si="36"/>
        <v>.</v>
      </c>
      <c r="D618" t="str">
        <f t="shared" si="39"/>
        <v>.</v>
      </c>
      <c r="E618" t="str">
        <f t="shared" si="37"/>
        <v>repository/skydrive:view</v>
      </c>
      <c r="F618" t="str">
        <f t="shared" si="38"/>
        <v>mod/turnitintool:submit</v>
      </c>
      <c r="G618" t="s">
        <v>1396</v>
      </c>
    </row>
    <row r="619" spans="1:7">
      <c r="A619" t="s">
        <v>1450</v>
      </c>
      <c r="B619" t="s">
        <v>216</v>
      </c>
      <c r="C619" t="str">
        <f t="shared" si="36"/>
        <v>.</v>
      </c>
      <c r="D619" t="str">
        <f t="shared" si="39"/>
        <v>.</v>
      </c>
      <c r="E619" t="str">
        <f t="shared" si="37"/>
        <v>repository/upload:view</v>
      </c>
      <c r="F619" t="str">
        <f t="shared" si="38"/>
        <v>mod/turnitintool:view</v>
      </c>
      <c r="G619" t="s">
        <v>1398</v>
      </c>
    </row>
    <row r="620" spans="1:7">
      <c r="A620" t="s">
        <v>651</v>
      </c>
      <c r="B620" t="s">
        <v>218</v>
      </c>
      <c r="C620" t="str">
        <f t="shared" si="36"/>
        <v>.</v>
      </c>
      <c r="D620" t="str">
        <f t="shared" si="39"/>
        <v>.</v>
      </c>
      <c r="E620" t="str">
        <f t="shared" si="37"/>
        <v>repository/url:view</v>
      </c>
      <c r="F620" t="str">
        <f t="shared" si="38"/>
        <v>mod/url:addinstance</v>
      </c>
      <c r="G620" t="s">
        <v>1398</v>
      </c>
    </row>
    <row r="621" spans="1:7">
      <c r="A621" t="s">
        <v>173</v>
      </c>
      <c r="B621" t="s">
        <v>220</v>
      </c>
      <c r="C621" t="str">
        <f t="shared" si="36"/>
        <v>.</v>
      </c>
      <c r="D621" t="str">
        <f t="shared" si="39"/>
        <v>.</v>
      </c>
      <c r="E621" t="str">
        <f t="shared" si="37"/>
        <v>repository/user:view</v>
      </c>
      <c r="F621" t="str">
        <f t="shared" si="38"/>
        <v>mod/url:view</v>
      </c>
      <c r="G621" t="s">
        <v>1400</v>
      </c>
    </row>
    <row r="622" spans="1:7">
      <c r="A622" t="s">
        <v>653</v>
      </c>
      <c r="B622" t="s">
        <v>222</v>
      </c>
      <c r="C622" t="str">
        <f t="shared" si="36"/>
        <v>.</v>
      </c>
      <c r="D622" t="str">
        <f t="shared" si="39"/>
        <v>.</v>
      </c>
      <c r="E622" t="str">
        <f t="shared" si="37"/>
        <v>repository/webdav:view</v>
      </c>
      <c r="F622" t="str">
        <f t="shared" si="38"/>
        <v>mod/wiki:addinstance</v>
      </c>
      <c r="G622" t="s">
        <v>1400</v>
      </c>
    </row>
    <row r="623" spans="1:7">
      <c r="A623" t="s">
        <v>1452</v>
      </c>
      <c r="B623" t="s">
        <v>224</v>
      </c>
      <c r="C623" t="str">
        <f t="shared" si="36"/>
        <v>.</v>
      </c>
      <c r="D623" t="str">
        <f t="shared" si="39"/>
        <v>.</v>
      </c>
      <c r="E623" t="str">
        <f t="shared" si="37"/>
        <v>repository/wikimedia:view</v>
      </c>
      <c r="F623" t="str">
        <f t="shared" si="38"/>
        <v>mod/wiki:createpage</v>
      </c>
      <c r="G623" t="s">
        <v>1402</v>
      </c>
    </row>
    <row r="624" spans="1:7">
      <c r="A624" t="s">
        <v>1454</v>
      </c>
      <c r="B624" t="s">
        <v>226</v>
      </c>
      <c r="C624" t="str">
        <f t="shared" si="36"/>
        <v>.</v>
      </c>
      <c r="D624" t="str">
        <f t="shared" si="39"/>
        <v>.</v>
      </c>
      <c r="E624" t="str">
        <f t="shared" si="37"/>
        <v>repository/youtube:view</v>
      </c>
      <c r="F624" t="str">
        <f t="shared" si="38"/>
        <v>mod/wiki:editcomment</v>
      </c>
      <c r="G624" t="s">
        <v>1402</v>
      </c>
    </row>
    <row r="625" spans="1:7">
      <c r="A625" t="s">
        <v>1456</v>
      </c>
      <c r="B625" t="s">
        <v>383</v>
      </c>
      <c r="C625" t="str">
        <f t="shared" si="36"/>
        <v>.</v>
      </c>
      <c r="D625" t="str">
        <f t="shared" si="39"/>
        <v>.</v>
      </c>
      <c r="E625" t="str">
        <f t="shared" si="37"/>
        <v>tool/customlang:edit</v>
      </c>
      <c r="F625" t="str">
        <f t="shared" si="38"/>
        <v>mod/wiki:editpage</v>
      </c>
      <c r="G625" t="s">
        <v>637</v>
      </c>
    </row>
    <row r="626" spans="1:7">
      <c r="A626" t="s">
        <v>1458</v>
      </c>
      <c r="B626" t="s">
        <v>385</v>
      </c>
      <c r="C626" t="str">
        <f t="shared" si="36"/>
        <v>.</v>
      </c>
      <c r="D626" t="str">
        <f t="shared" si="39"/>
        <v>.</v>
      </c>
      <c r="E626" t="str">
        <f t="shared" si="37"/>
        <v>tool/customlang:view</v>
      </c>
      <c r="F626" t="str">
        <f t="shared" si="38"/>
        <v>mod/wiki:managecomment</v>
      </c>
      <c r="G626" t="s">
        <v>637</v>
      </c>
    </row>
    <row r="627" spans="1:7">
      <c r="A627" t="s">
        <v>1460</v>
      </c>
      <c r="B627" t="s">
        <v>387</v>
      </c>
      <c r="C627" t="str">
        <f t="shared" si="36"/>
        <v>.</v>
      </c>
      <c r="D627" t="str">
        <f t="shared" si="39"/>
        <v>.</v>
      </c>
      <c r="E627" t="str">
        <f t="shared" si="37"/>
        <v>tool/uploaduser:uploaduserpictures</v>
      </c>
      <c r="F627" t="str">
        <f t="shared" si="38"/>
        <v>mod/wiki:managefiles</v>
      </c>
      <c r="G627" t="s">
        <v>167</v>
      </c>
    </row>
    <row r="628" spans="1:7">
      <c r="A628" t="s">
        <v>1462</v>
      </c>
      <c r="B628" t="s">
        <v>866</v>
      </c>
      <c r="C628" t="str">
        <f t="shared" si="36"/>
        <v>.</v>
      </c>
      <c r="D628" t="str">
        <f t="shared" si="39"/>
        <v>.</v>
      </c>
      <c r="E628" t="str">
        <f t="shared" si="37"/>
        <v>webservice/amf:use</v>
      </c>
      <c r="F628" t="str">
        <f t="shared" si="38"/>
        <v>mod/wiki:managewiki</v>
      </c>
      <c r="G628" t="s">
        <v>167</v>
      </c>
    </row>
    <row r="629" spans="1:7">
      <c r="A629" t="s">
        <v>1464</v>
      </c>
      <c r="B629" t="s">
        <v>868</v>
      </c>
      <c r="C629" t="str">
        <f t="shared" si="36"/>
        <v>.</v>
      </c>
      <c r="D629" t="str">
        <f t="shared" si="39"/>
        <v>.</v>
      </c>
      <c r="E629" t="str">
        <f t="shared" si="37"/>
        <v>webservice/rest:use</v>
      </c>
      <c r="F629" t="str">
        <f t="shared" si="38"/>
        <v>mod/wiki:overridelock</v>
      </c>
      <c r="G629" t="s">
        <v>641</v>
      </c>
    </row>
    <row r="630" spans="1:7">
      <c r="A630" t="s">
        <v>1466</v>
      </c>
      <c r="B630" t="s">
        <v>870</v>
      </c>
      <c r="C630" t="str">
        <f t="shared" si="36"/>
        <v>.</v>
      </c>
      <c r="D630" t="str">
        <f t="shared" si="39"/>
        <v>.</v>
      </c>
      <c r="E630" t="str">
        <f t="shared" si="37"/>
        <v>webservice/soap:use</v>
      </c>
      <c r="F630" t="str">
        <f t="shared" si="38"/>
        <v>mod/wiki:viewcomment</v>
      </c>
      <c r="G630" t="s">
        <v>641</v>
      </c>
    </row>
    <row r="631" spans="1:7">
      <c r="A631" t="s">
        <v>1468</v>
      </c>
      <c r="B631" t="s">
        <v>149</v>
      </c>
      <c r="C631" t="str">
        <f t="shared" si="36"/>
        <v>.</v>
      </c>
      <c r="D631" t="str">
        <f t="shared" si="39"/>
        <v>.</v>
      </c>
      <c r="E631" t="str">
        <f t="shared" si="37"/>
        <v>webservice/xmlrpc:use</v>
      </c>
      <c r="F631" t="str">
        <f t="shared" si="38"/>
        <v>mod/wiki:viewpage</v>
      </c>
      <c r="G631" t="s">
        <v>1404</v>
      </c>
    </row>
    <row r="632" spans="1:7">
      <c r="A632" t="s">
        <v>655</v>
      </c>
      <c r="D632" t="str">
        <f t="shared" si="39"/>
        <v>.</v>
      </c>
      <c r="F632" t="str">
        <f t="shared" si="38"/>
        <v>mod/workshop:addinstance</v>
      </c>
      <c r="G632" t="s">
        <v>1404</v>
      </c>
    </row>
    <row r="633" spans="1:7">
      <c r="A633" t="s">
        <v>1470</v>
      </c>
      <c r="D633" t="str">
        <f t="shared" si="39"/>
        <v>.</v>
      </c>
      <c r="F633" t="str">
        <f t="shared" si="38"/>
        <v>mod/workshop:allocate</v>
      </c>
      <c r="G633" t="s">
        <v>1406</v>
      </c>
    </row>
    <row r="634" spans="1:7">
      <c r="A634" t="s">
        <v>1472</v>
      </c>
      <c r="D634" t="str">
        <f t="shared" si="39"/>
        <v>.</v>
      </c>
      <c r="F634" t="str">
        <f t="shared" si="38"/>
        <v>mod/workshop:editdimensions</v>
      </c>
      <c r="G634" t="s">
        <v>1406</v>
      </c>
    </row>
    <row r="635" spans="1:7">
      <c r="A635" t="s">
        <v>1474</v>
      </c>
      <c r="D635" t="str">
        <f t="shared" si="39"/>
        <v>.</v>
      </c>
      <c r="F635" t="str">
        <f t="shared" si="38"/>
        <v>mod/workshop:ignoredeadlines</v>
      </c>
      <c r="G635" t="s">
        <v>1408</v>
      </c>
    </row>
    <row r="636" spans="1:7">
      <c r="A636" t="s">
        <v>1476</v>
      </c>
      <c r="D636" t="str">
        <f t="shared" si="39"/>
        <v>.</v>
      </c>
      <c r="F636" t="str">
        <f t="shared" si="38"/>
        <v>mod/workshop:manageexamples</v>
      </c>
      <c r="G636" t="s">
        <v>1408</v>
      </c>
    </row>
    <row r="637" spans="1:7">
      <c r="A637" t="s">
        <v>1478</v>
      </c>
      <c r="D637" t="str">
        <f t="shared" si="39"/>
        <v>.</v>
      </c>
      <c r="F637" t="str">
        <f t="shared" si="38"/>
        <v>mod/workshop:overridegrades</v>
      </c>
      <c r="G637" t="s">
        <v>1410</v>
      </c>
    </row>
    <row r="638" spans="1:7">
      <c r="A638" t="s">
        <v>1480</v>
      </c>
      <c r="D638" t="str">
        <f t="shared" si="39"/>
        <v>.</v>
      </c>
      <c r="F638" t="str">
        <f t="shared" si="38"/>
        <v>mod/workshop:peerassess</v>
      </c>
      <c r="G638" t="s">
        <v>1410</v>
      </c>
    </row>
    <row r="639" spans="1:7">
      <c r="A639" t="s">
        <v>1482</v>
      </c>
      <c r="D639" t="str">
        <f t="shared" si="39"/>
        <v>.</v>
      </c>
      <c r="F639" t="str">
        <f t="shared" si="38"/>
        <v>mod/workshop:publishsubmissions</v>
      </c>
      <c r="G639" t="s">
        <v>1412</v>
      </c>
    </row>
    <row r="640" spans="1:7">
      <c r="A640" t="s">
        <v>1484</v>
      </c>
      <c r="D640" t="str">
        <f t="shared" si="39"/>
        <v>.</v>
      </c>
      <c r="F640" t="str">
        <f t="shared" si="38"/>
        <v>mod/workshop:submit</v>
      </c>
      <c r="G640" t="s">
        <v>1412</v>
      </c>
    </row>
    <row r="641" spans="1:7">
      <c r="A641" t="s">
        <v>1486</v>
      </c>
      <c r="D641" t="str">
        <f t="shared" si="39"/>
        <v>.</v>
      </c>
      <c r="F641" t="str">
        <f t="shared" si="38"/>
        <v>mod/workshop:switchphase</v>
      </c>
      <c r="G641" t="s">
        <v>1414</v>
      </c>
    </row>
    <row r="642" spans="1:7">
      <c r="A642" t="s">
        <v>1488</v>
      </c>
      <c r="D642" t="str">
        <f t="shared" si="39"/>
        <v>.</v>
      </c>
      <c r="F642" t="str">
        <f t="shared" si="38"/>
        <v>mod/workshop:view</v>
      </c>
      <c r="G642" t="s">
        <v>1414</v>
      </c>
    </row>
    <row r="643" spans="1:7">
      <c r="A643" t="s">
        <v>1490</v>
      </c>
      <c r="D643" t="str">
        <f t="shared" si="39"/>
        <v>.</v>
      </c>
      <c r="F643" t="str">
        <f t="shared" si="38"/>
        <v>mod/workshop:viewallassessments</v>
      </c>
      <c r="G643" t="s">
        <v>1416</v>
      </c>
    </row>
    <row r="644" spans="1:7">
      <c r="A644" t="s">
        <v>1492</v>
      </c>
      <c r="D644" t="str">
        <f t="shared" si="39"/>
        <v>.</v>
      </c>
      <c r="F644" t="str">
        <f t="shared" ref="F644:F707" si="40">IF(D644=".",A644)</f>
        <v>mod/workshop:viewallsubmissions</v>
      </c>
      <c r="G644" t="s">
        <v>1416</v>
      </c>
    </row>
    <row r="645" spans="1:7">
      <c r="A645" t="s">
        <v>1494</v>
      </c>
      <c r="D645" t="str">
        <f t="shared" si="39"/>
        <v>.</v>
      </c>
      <c r="F645" t="str">
        <f t="shared" si="40"/>
        <v>mod/workshop:viewauthornames</v>
      </c>
      <c r="G645" t="s">
        <v>1418</v>
      </c>
    </row>
    <row r="646" spans="1:7">
      <c r="A646" t="s">
        <v>1496</v>
      </c>
      <c r="D646" t="str">
        <f t="shared" si="39"/>
        <v>.</v>
      </c>
      <c r="F646" t="str">
        <f t="shared" si="40"/>
        <v>mod/workshop:viewauthorpublished</v>
      </c>
      <c r="G646" t="s">
        <v>1418</v>
      </c>
    </row>
    <row r="647" spans="1:7">
      <c r="A647" t="s">
        <v>1498</v>
      </c>
      <c r="D647" t="str">
        <f t="shared" si="39"/>
        <v>.</v>
      </c>
      <c r="F647" t="str">
        <f t="shared" si="40"/>
        <v>mod/workshop:viewpublishedsubmissions</v>
      </c>
      <c r="G647" t="s">
        <v>1420</v>
      </c>
    </row>
    <row r="648" spans="1:7">
      <c r="A648" t="s">
        <v>1500</v>
      </c>
      <c r="D648" t="str">
        <f t="shared" ref="D648:D711" si="41">IF(VLOOKUP(A648,$B$2:$B$631,1)=A648,".",A648)</f>
        <v>.</v>
      </c>
      <c r="F648" t="str">
        <f t="shared" si="40"/>
        <v>mod/workshop:viewreviewernames</v>
      </c>
      <c r="G648" t="s">
        <v>1420</v>
      </c>
    </row>
    <row r="649" spans="1:7">
      <c r="A649" t="s">
        <v>657</v>
      </c>
      <c r="D649" t="str">
        <f t="shared" si="41"/>
        <v>.</v>
      </c>
      <c r="F649" t="str">
        <f t="shared" si="40"/>
        <v>moodle/backup:anonymise</v>
      </c>
      <c r="G649" t="s">
        <v>643</v>
      </c>
    </row>
    <row r="650" spans="1:7">
      <c r="A650" t="s">
        <v>1502</v>
      </c>
      <c r="D650" t="str">
        <f t="shared" si="41"/>
        <v>.</v>
      </c>
      <c r="F650" t="str">
        <f t="shared" si="40"/>
        <v>moodle/backup:backupactivity</v>
      </c>
      <c r="G650" t="s">
        <v>643</v>
      </c>
    </row>
    <row r="651" spans="1:7">
      <c r="A651" t="s">
        <v>659</v>
      </c>
      <c r="D651" t="str">
        <f t="shared" si="41"/>
        <v>.</v>
      </c>
      <c r="F651" t="str">
        <f t="shared" si="40"/>
        <v>moodle/backup:backupcourse</v>
      </c>
      <c r="G651" t="s">
        <v>1422</v>
      </c>
    </row>
    <row r="652" spans="1:7">
      <c r="A652" t="s">
        <v>661</v>
      </c>
      <c r="D652" t="str">
        <f t="shared" si="41"/>
        <v>.</v>
      </c>
      <c r="F652" t="str">
        <f t="shared" si="40"/>
        <v>moodle/backup:backupsection</v>
      </c>
      <c r="G652" t="s">
        <v>1422</v>
      </c>
    </row>
    <row r="653" spans="1:7">
      <c r="A653" t="s">
        <v>663</v>
      </c>
      <c r="D653" t="str">
        <f t="shared" si="41"/>
        <v>.</v>
      </c>
      <c r="F653" t="str">
        <f t="shared" si="40"/>
        <v>moodle/backup:backuptargethub</v>
      </c>
      <c r="G653" t="s">
        <v>1424</v>
      </c>
    </row>
    <row r="654" spans="1:7">
      <c r="A654" t="s">
        <v>665</v>
      </c>
      <c r="D654" t="str">
        <f t="shared" si="41"/>
        <v>.</v>
      </c>
      <c r="F654" t="str">
        <f t="shared" si="40"/>
        <v>moodle/backup:backuptargetimport</v>
      </c>
      <c r="G654" t="s">
        <v>1424</v>
      </c>
    </row>
    <row r="655" spans="1:7">
      <c r="A655" t="s">
        <v>667</v>
      </c>
      <c r="D655" t="str">
        <f t="shared" si="41"/>
        <v>.</v>
      </c>
      <c r="F655" t="str">
        <f t="shared" si="40"/>
        <v>moodle/backup:configure</v>
      </c>
      <c r="G655" t="s">
        <v>1426</v>
      </c>
    </row>
    <row r="656" spans="1:7">
      <c r="A656" t="s">
        <v>669</v>
      </c>
      <c r="D656" t="str">
        <f t="shared" si="41"/>
        <v>.</v>
      </c>
      <c r="F656" t="str">
        <f t="shared" si="40"/>
        <v>moodle/backup:downloadfile</v>
      </c>
      <c r="G656" t="s">
        <v>1426</v>
      </c>
    </row>
    <row r="657" spans="1:7">
      <c r="A657" t="s">
        <v>671</v>
      </c>
      <c r="D657" t="str">
        <f t="shared" si="41"/>
        <v>.</v>
      </c>
      <c r="F657" t="str">
        <f t="shared" si="40"/>
        <v>moodle/backup:userinfo</v>
      </c>
      <c r="G657" t="s">
        <v>1428</v>
      </c>
    </row>
    <row r="658" spans="1:7">
      <c r="A658" t="s">
        <v>673</v>
      </c>
      <c r="D658" t="str">
        <f t="shared" si="41"/>
        <v>.</v>
      </c>
      <c r="F658" t="str">
        <f t="shared" si="40"/>
        <v>moodle/badges:awardbadge</v>
      </c>
      <c r="G658" t="s">
        <v>1428</v>
      </c>
    </row>
    <row r="659" spans="1:7">
      <c r="A659" t="s">
        <v>675</v>
      </c>
      <c r="D659" t="str">
        <f t="shared" si="41"/>
        <v>.</v>
      </c>
      <c r="F659" t="str">
        <f t="shared" si="40"/>
        <v>moodle/badges:configurecriteria</v>
      </c>
      <c r="G659" t="s">
        <v>1429</v>
      </c>
    </row>
    <row r="660" spans="1:7">
      <c r="A660" t="s">
        <v>677</v>
      </c>
      <c r="D660" t="str">
        <f t="shared" si="41"/>
        <v>.</v>
      </c>
      <c r="F660" t="str">
        <f t="shared" si="40"/>
        <v>moodle/badges:configuredetails</v>
      </c>
      <c r="G660" t="s">
        <v>1429</v>
      </c>
    </row>
    <row r="661" spans="1:7">
      <c r="A661" t="s">
        <v>679</v>
      </c>
      <c r="D661" t="str">
        <f t="shared" si="41"/>
        <v>.</v>
      </c>
      <c r="F661" t="str">
        <f t="shared" si="40"/>
        <v>moodle/badges:configuremessages</v>
      </c>
      <c r="G661" t="s">
        <v>1431</v>
      </c>
    </row>
    <row r="662" spans="1:7">
      <c r="A662" t="s">
        <v>681</v>
      </c>
      <c r="D662" t="str">
        <f t="shared" si="41"/>
        <v>.</v>
      </c>
      <c r="F662" t="str">
        <f t="shared" si="40"/>
        <v>moodle/badges:createbadge</v>
      </c>
      <c r="G662" t="s">
        <v>1431</v>
      </c>
    </row>
    <row r="663" spans="1:7">
      <c r="A663" t="s">
        <v>683</v>
      </c>
      <c r="D663" t="str">
        <f t="shared" si="41"/>
        <v>.</v>
      </c>
      <c r="F663" t="str">
        <f t="shared" si="40"/>
        <v>moodle/badges:deletebadge</v>
      </c>
      <c r="G663" t="s">
        <v>649</v>
      </c>
    </row>
    <row r="664" spans="1:7">
      <c r="A664" t="s">
        <v>129</v>
      </c>
      <c r="D664" t="str">
        <f t="shared" si="41"/>
        <v>.</v>
      </c>
      <c r="F664" t="str">
        <f t="shared" si="40"/>
        <v>moodle/badges:earnbadge</v>
      </c>
      <c r="G664" t="s">
        <v>649</v>
      </c>
    </row>
    <row r="665" spans="1:7">
      <c r="A665" t="s">
        <v>87</v>
      </c>
      <c r="D665" t="str">
        <f t="shared" si="41"/>
        <v>.</v>
      </c>
      <c r="F665" t="str">
        <f t="shared" si="40"/>
        <v>moodle/badges:manageglobalsettings</v>
      </c>
      <c r="G665" t="s">
        <v>1436</v>
      </c>
    </row>
    <row r="666" spans="1:7">
      <c r="A666" t="s">
        <v>125</v>
      </c>
      <c r="D666" t="str">
        <f t="shared" si="41"/>
        <v>.</v>
      </c>
      <c r="F666" t="str">
        <f t="shared" si="40"/>
        <v>moodle/badges:manageownbadges</v>
      </c>
      <c r="G666" t="s">
        <v>1436</v>
      </c>
    </row>
    <row r="667" spans="1:7">
      <c r="A667" t="s">
        <v>685</v>
      </c>
      <c r="D667" t="str">
        <f t="shared" si="41"/>
        <v>.</v>
      </c>
      <c r="F667" t="str">
        <f t="shared" si="40"/>
        <v>moodle/badges:viewawarded</v>
      </c>
      <c r="G667" t="s">
        <v>1438</v>
      </c>
    </row>
    <row r="668" spans="1:7">
      <c r="A668" t="s">
        <v>131</v>
      </c>
      <c r="D668" t="str">
        <f t="shared" si="41"/>
        <v>.</v>
      </c>
      <c r="F668" t="str">
        <f t="shared" si="40"/>
        <v>moodle/badges:viewbadges</v>
      </c>
      <c r="G668" t="s">
        <v>1438</v>
      </c>
    </row>
    <row r="669" spans="1:7">
      <c r="A669" t="s">
        <v>389</v>
      </c>
      <c r="D669" t="str">
        <f t="shared" si="41"/>
        <v>.</v>
      </c>
      <c r="F669" t="str">
        <f t="shared" si="40"/>
        <v>moodle/badges:viewotherbadges</v>
      </c>
      <c r="G669" t="s">
        <v>1440</v>
      </c>
    </row>
    <row r="670" spans="1:7">
      <c r="A670" t="s">
        <v>1696</v>
      </c>
      <c r="D670" t="str">
        <f t="shared" si="41"/>
        <v>.</v>
      </c>
      <c r="F670" t="str">
        <f t="shared" si="40"/>
        <v>moodle/block:edit</v>
      </c>
      <c r="G670" t="s">
        <v>1440</v>
      </c>
    </row>
    <row r="671" spans="1:7">
      <c r="A671" t="s">
        <v>248</v>
      </c>
      <c r="D671" t="str">
        <f t="shared" si="41"/>
        <v>.</v>
      </c>
      <c r="F671" t="str">
        <f t="shared" si="40"/>
        <v>moodle/block:view</v>
      </c>
      <c r="G671" t="s">
        <v>1444</v>
      </c>
    </row>
    <row r="672" spans="1:7">
      <c r="A672" t="s">
        <v>133</v>
      </c>
      <c r="D672" t="str">
        <f t="shared" si="41"/>
        <v>.</v>
      </c>
      <c r="F672" t="str">
        <f t="shared" si="40"/>
        <v>moodle/blog:associatecourse</v>
      </c>
      <c r="G672" t="s">
        <v>1444</v>
      </c>
    </row>
    <row r="673" spans="1:7">
      <c r="A673" t="s">
        <v>174</v>
      </c>
      <c r="D673" t="str">
        <f t="shared" si="41"/>
        <v>.</v>
      </c>
      <c r="F673" t="str">
        <f t="shared" si="40"/>
        <v>moodle/blog:associatemodule</v>
      </c>
      <c r="G673" t="s">
        <v>1446</v>
      </c>
    </row>
    <row r="674" spans="1:7">
      <c r="A674" t="s">
        <v>89</v>
      </c>
      <c r="D674" t="str">
        <f t="shared" si="41"/>
        <v>.</v>
      </c>
      <c r="F674" t="str">
        <f t="shared" si="40"/>
        <v>moodle/blog:create</v>
      </c>
      <c r="G674" t="s">
        <v>1446</v>
      </c>
    </row>
    <row r="675" spans="1:7">
      <c r="A675" t="s">
        <v>321</v>
      </c>
      <c r="D675" t="str">
        <f t="shared" si="41"/>
        <v>.</v>
      </c>
      <c r="F675" t="str">
        <f t="shared" si="40"/>
        <v>moodle/blog:manageentries</v>
      </c>
      <c r="G675" t="s">
        <v>1448</v>
      </c>
    </row>
    <row r="676" spans="1:7">
      <c r="A676" t="s">
        <v>91</v>
      </c>
      <c r="D676" t="str">
        <f t="shared" si="41"/>
        <v>.</v>
      </c>
      <c r="F676" t="str">
        <f t="shared" si="40"/>
        <v>moodle/blog:manageexternal</v>
      </c>
      <c r="G676" t="s">
        <v>1448</v>
      </c>
    </row>
    <row r="677" spans="1:7">
      <c r="A677" t="s">
        <v>93</v>
      </c>
      <c r="D677" t="str">
        <f t="shared" si="41"/>
        <v>.</v>
      </c>
      <c r="F677" t="str">
        <f t="shared" si="40"/>
        <v>moodle/blog:search</v>
      </c>
      <c r="G677" t="s">
        <v>1450</v>
      </c>
    </row>
    <row r="678" spans="1:7">
      <c r="A678" t="s">
        <v>95</v>
      </c>
      <c r="D678" t="str">
        <f t="shared" si="41"/>
        <v>.</v>
      </c>
      <c r="F678" t="str">
        <f t="shared" si="40"/>
        <v>moodle/blog:view</v>
      </c>
      <c r="G678" t="s">
        <v>1450</v>
      </c>
    </row>
    <row r="679" spans="1:7">
      <c r="A679" t="s">
        <v>323</v>
      </c>
      <c r="D679" t="str">
        <f t="shared" si="41"/>
        <v>.</v>
      </c>
      <c r="F679" t="str">
        <f t="shared" si="40"/>
        <v>moodle/blog:viewdrafts</v>
      </c>
      <c r="G679" t="s">
        <v>651</v>
      </c>
    </row>
    <row r="680" spans="1:7">
      <c r="A680" t="s">
        <v>687</v>
      </c>
      <c r="D680" t="str">
        <f t="shared" si="41"/>
        <v>.</v>
      </c>
      <c r="F680" t="str">
        <f t="shared" si="40"/>
        <v>moodle/calendar:manageentries</v>
      </c>
      <c r="G680" t="s">
        <v>651</v>
      </c>
    </row>
    <row r="681" spans="1:7">
      <c r="A681" t="s">
        <v>689</v>
      </c>
      <c r="D681" t="str">
        <f t="shared" si="41"/>
        <v>.</v>
      </c>
      <c r="F681" t="str">
        <f t="shared" si="40"/>
        <v>moodle/calendar:managegroupentries</v>
      </c>
      <c r="G681" t="s">
        <v>173</v>
      </c>
    </row>
    <row r="682" spans="1:7">
      <c r="A682" t="s">
        <v>135</v>
      </c>
      <c r="D682" t="str">
        <f t="shared" si="41"/>
        <v>.</v>
      </c>
      <c r="F682" t="str">
        <f t="shared" si="40"/>
        <v>moodle/calendar:manageownentries</v>
      </c>
      <c r="G682" t="s">
        <v>173</v>
      </c>
    </row>
    <row r="683" spans="1:7">
      <c r="A683" t="s">
        <v>405</v>
      </c>
      <c r="D683" t="str">
        <f t="shared" si="41"/>
        <v>.</v>
      </c>
      <c r="F683" t="str">
        <f t="shared" si="40"/>
        <v>moodle/category:manage</v>
      </c>
      <c r="G683" t="s">
        <v>653</v>
      </c>
    </row>
    <row r="684" spans="1:7">
      <c r="A684" t="s">
        <v>407</v>
      </c>
      <c r="D684" t="str">
        <f t="shared" si="41"/>
        <v>.</v>
      </c>
      <c r="F684" t="str">
        <f t="shared" si="40"/>
        <v>moodle/category:viewhiddencategories</v>
      </c>
      <c r="G684" t="s">
        <v>653</v>
      </c>
    </row>
    <row r="685" spans="1:7">
      <c r="A685" t="s">
        <v>409</v>
      </c>
      <c r="D685" t="str">
        <f t="shared" si="41"/>
        <v>.</v>
      </c>
      <c r="F685" t="str">
        <f t="shared" si="40"/>
        <v>moodle/cohort:assign</v>
      </c>
      <c r="G685" t="s">
        <v>1452</v>
      </c>
    </row>
    <row r="686" spans="1:7">
      <c r="A686" t="s">
        <v>411</v>
      </c>
      <c r="D686" t="str">
        <f t="shared" si="41"/>
        <v>.</v>
      </c>
      <c r="F686" t="str">
        <f t="shared" si="40"/>
        <v>moodle/cohort:manage</v>
      </c>
      <c r="G686" t="s">
        <v>1452</v>
      </c>
    </row>
    <row r="687" spans="1:7">
      <c r="A687" t="s">
        <v>691</v>
      </c>
      <c r="D687" t="str">
        <f t="shared" si="41"/>
        <v>.</v>
      </c>
      <c r="F687" t="str">
        <f t="shared" si="40"/>
        <v>moodle/cohort:view</v>
      </c>
      <c r="G687" t="s">
        <v>1454</v>
      </c>
    </row>
    <row r="688" spans="1:7">
      <c r="A688" t="s">
        <v>693</v>
      </c>
      <c r="D688" t="str">
        <f t="shared" si="41"/>
        <v>.</v>
      </c>
      <c r="F688" t="str">
        <f t="shared" si="40"/>
        <v>moodle/comment:delete</v>
      </c>
      <c r="G688" t="s">
        <v>1454</v>
      </c>
    </row>
    <row r="689" spans="1:7">
      <c r="A689" t="s">
        <v>137</v>
      </c>
      <c r="D689" t="str">
        <f t="shared" si="41"/>
        <v>.</v>
      </c>
      <c r="F689" t="str">
        <f t="shared" si="40"/>
        <v>moodle/comment:post</v>
      </c>
      <c r="G689" t="s">
        <v>1456</v>
      </c>
    </row>
    <row r="690" spans="1:7">
      <c r="A690" t="s">
        <v>139</v>
      </c>
      <c r="D690" t="str">
        <f t="shared" si="41"/>
        <v>.</v>
      </c>
      <c r="F690" t="str">
        <f t="shared" si="40"/>
        <v>moodle/comment:view</v>
      </c>
      <c r="G690" t="s">
        <v>1456</v>
      </c>
    </row>
    <row r="691" spans="1:7">
      <c r="A691" t="s">
        <v>325</v>
      </c>
      <c r="D691" t="str">
        <f t="shared" si="41"/>
        <v>.</v>
      </c>
      <c r="F691" t="str">
        <f t="shared" si="40"/>
        <v>moodle/community:add</v>
      </c>
      <c r="G691" t="s">
        <v>1458</v>
      </c>
    </row>
    <row r="692" spans="1:7">
      <c r="A692" t="s">
        <v>327</v>
      </c>
      <c r="D692" t="str">
        <f t="shared" si="41"/>
        <v>.</v>
      </c>
      <c r="F692" t="str">
        <f t="shared" si="40"/>
        <v>moodle/community:download</v>
      </c>
      <c r="G692" t="s">
        <v>1458</v>
      </c>
    </row>
    <row r="693" spans="1:7">
      <c r="A693" t="s">
        <v>1504</v>
      </c>
      <c r="D693" t="str">
        <f t="shared" si="41"/>
        <v>.</v>
      </c>
      <c r="F693" t="str">
        <f t="shared" si="40"/>
        <v>moodle/course:activityvisibility</v>
      </c>
      <c r="G693" t="s">
        <v>1460</v>
      </c>
    </row>
    <row r="694" spans="1:7">
      <c r="A694" t="s">
        <v>695</v>
      </c>
      <c r="D694" t="str">
        <f t="shared" si="41"/>
        <v>.</v>
      </c>
      <c r="F694" t="str">
        <f t="shared" si="40"/>
        <v>moodle/course:bulkmessaging</v>
      </c>
      <c r="G694" t="s">
        <v>1460</v>
      </c>
    </row>
    <row r="695" spans="1:7">
      <c r="A695" t="s">
        <v>697</v>
      </c>
      <c r="D695" t="str">
        <f t="shared" si="41"/>
        <v>.</v>
      </c>
      <c r="F695" t="str">
        <f t="shared" si="40"/>
        <v>moodle/course:changecategory</v>
      </c>
      <c r="G695" t="s">
        <v>1462</v>
      </c>
    </row>
    <row r="696" spans="1:7">
      <c r="A696" t="s">
        <v>699</v>
      </c>
      <c r="D696" t="str">
        <f t="shared" si="41"/>
        <v>.</v>
      </c>
      <c r="F696" t="str">
        <f t="shared" si="40"/>
        <v>moodle/course:changefullname</v>
      </c>
      <c r="G696" t="s">
        <v>1462</v>
      </c>
    </row>
    <row r="697" spans="1:7">
      <c r="A697" t="s">
        <v>701</v>
      </c>
      <c r="D697" t="str">
        <f t="shared" si="41"/>
        <v>.</v>
      </c>
      <c r="F697" t="str">
        <f t="shared" si="40"/>
        <v>moodle/course:changeidnumber</v>
      </c>
      <c r="G697" t="s">
        <v>1464</v>
      </c>
    </row>
    <row r="698" spans="1:7">
      <c r="A698" t="s">
        <v>703</v>
      </c>
      <c r="D698" t="str">
        <f t="shared" si="41"/>
        <v>.</v>
      </c>
      <c r="F698" t="str">
        <f t="shared" si="40"/>
        <v>moodle/course:changeshortname</v>
      </c>
      <c r="G698" t="s">
        <v>1464</v>
      </c>
    </row>
    <row r="699" spans="1:7">
      <c r="A699" t="s">
        <v>705</v>
      </c>
      <c r="D699" t="str">
        <f t="shared" si="41"/>
        <v>.</v>
      </c>
      <c r="F699" t="str">
        <f t="shared" si="40"/>
        <v>moodle/course:changesummary</v>
      </c>
      <c r="G699" t="s">
        <v>1466</v>
      </c>
    </row>
    <row r="700" spans="1:7">
      <c r="A700" t="s">
        <v>413</v>
      </c>
      <c r="D700" t="str">
        <f t="shared" si="41"/>
        <v>.</v>
      </c>
      <c r="F700" t="str">
        <f t="shared" si="40"/>
        <v>moodle/course:create</v>
      </c>
      <c r="G700" t="s">
        <v>1466</v>
      </c>
    </row>
    <row r="701" spans="1:7">
      <c r="A701" t="s">
        <v>707</v>
      </c>
      <c r="D701" t="str">
        <f t="shared" si="41"/>
        <v>.</v>
      </c>
      <c r="F701" t="str">
        <f t="shared" si="40"/>
        <v>moodle/course:delete</v>
      </c>
      <c r="G701" t="s">
        <v>1468</v>
      </c>
    </row>
    <row r="702" spans="1:7">
      <c r="A702" t="s">
        <v>709</v>
      </c>
      <c r="D702" t="str">
        <f t="shared" si="41"/>
        <v>.</v>
      </c>
      <c r="F702" t="str">
        <f t="shared" si="40"/>
        <v>moodle/course:enrolconfig</v>
      </c>
      <c r="G702" t="s">
        <v>1468</v>
      </c>
    </row>
    <row r="703" spans="1:7">
      <c r="A703" t="s">
        <v>711</v>
      </c>
      <c r="D703" t="str">
        <f t="shared" si="41"/>
        <v>.</v>
      </c>
      <c r="F703" t="str">
        <f t="shared" si="40"/>
        <v>moodle/course:enrolreview</v>
      </c>
      <c r="G703" t="s">
        <v>655</v>
      </c>
    </row>
    <row r="704" spans="1:7">
      <c r="A704" t="s">
        <v>713</v>
      </c>
      <c r="D704" t="str">
        <f t="shared" si="41"/>
        <v>.</v>
      </c>
      <c r="F704" t="str">
        <f t="shared" si="40"/>
        <v>moodle/course:ignorefilesizelimits</v>
      </c>
      <c r="G704" t="s">
        <v>655</v>
      </c>
    </row>
    <row r="705" spans="1:7">
      <c r="A705" t="s">
        <v>715</v>
      </c>
      <c r="D705" t="str">
        <f t="shared" si="41"/>
        <v>.</v>
      </c>
      <c r="F705" t="str">
        <f t="shared" si="40"/>
        <v>moodle/course:isincompletionreports</v>
      </c>
      <c r="G705" t="s">
        <v>1470</v>
      </c>
    </row>
    <row r="706" spans="1:7">
      <c r="A706" t="s">
        <v>1506</v>
      </c>
      <c r="D706" t="str">
        <f t="shared" si="41"/>
        <v>.</v>
      </c>
      <c r="F706" t="str">
        <f t="shared" si="40"/>
        <v>moodle/course:manageactivities</v>
      </c>
      <c r="G706" t="s">
        <v>1470</v>
      </c>
    </row>
    <row r="707" spans="1:7">
      <c r="A707" t="s">
        <v>717</v>
      </c>
      <c r="D707" t="str">
        <f t="shared" si="41"/>
        <v>.</v>
      </c>
      <c r="F707" t="str">
        <f t="shared" si="40"/>
        <v>moodle/course:managefiles</v>
      </c>
      <c r="G707" t="s">
        <v>1472</v>
      </c>
    </row>
    <row r="708" spans="1:7">
      <c r="A708" t="s">
        <v>719</v>
      </c>
      <c r="D708" t="str">
        <f t="shared" si="41"/>
        <v>.</v>
      </c>
      <c r="F708" t="str">
        <f t="shared" ref="F708:F771" si="42">IF(D708=".",A708)</f>
        <v>moodle/course:managegroups</v>
      </c>
      <c r="G708" t="s">
        <v>1472</v>
      </c>
    </row>
    <row r="709" spans="1:7">
      <c r="A709" t="s">
        <v>721</v>
      </c>
      <c r="D709" t="str">
        <f t="shared" si="41"/>
        <v>.</v>
      </c>
      <c r="F709" t="str">
        <f t="shared" si="42"/>
        <v>moodle/course:managescales</v>
      </c>
      <c r="G709" t="s">
        <v>1474</v>
      </c>
    </row>
    <row r="710" spans="1:7">
      <c r="A710" t="s">
        <v>723</v>
      </c>
      <c r="D710" t="str">
        <f t="shared" si="41"/>
        <v>.</v>
      </c>
      <c r="F710" t="str">
        <f t="shared" si="42"/>
        <v>moodle/course:markcomplete</v>
      </c>
      <c r="G710" t="s">
        <v>1474</v>
      </c>
    </row>
    <row r="711" spans="1:7">
      <c r="A711" t="s">
        <v>725</v>
      </c>
      <c r="D711" t="str">
        <f t="shared" si="41"/>
        <v>.</v>
      </c>
      <c r="F711" t="str">
        <f t="shared" si="42"/>
        <v>moodle/course:movesections</v>
      </c>
      <c r="G711" t="s">
        <v>1476</v>
      </c>
    </row>
    <row r="712" spans="1:7">
      <c r="A712" t="s">
        <v>329</v>
      </c>
      <c r="D712" t="str">
        <f t="shared" ref="D712:D775" si="43">IF(VLOOKUP(A712,$B$2:$B$631,1)=A712,".",A712)</f>
        <v>.</v>
      </c>
      <c r="F712" t="str">
        <f t="shared" si="42"/>
        <v>moodle/course:publish</v>
      </c>
      <c r="G712" t="s">
        <v>1476</v>
      </c>
    </row>
    <row r="713" spans="1:7">
      <c r="A713" t="s">
        <v>97</v>
      </c>
      <c r="D713" t="str">
        <f t="shared" si="43"/>
        <v>.</v>
      </c>
      <c r="F713" t="str">
        <f t="shared" si="42"/>
        <v>moodle/course:request</v>
      </c>
      <c r="G713" t="s">
        <v>1478</v>
      </c>
    </row>
    <row r="714" spans="1:7">
      <c r="A714" t="s">
        <v>727</v>
      </c>
      <c r="D714" t="str">
        <f t="shared" si="43"/>
        <v>.</v>
      </c>
      <c r="F714" t="str">
        <f t="shared" si="42"/>
        <v>moodle/course:reset</v>
      </c>
      <c r="G714" t="s">
        <v>1478</v>
      </c>
    </row>
    <row r="715" spans="1:7">
      <c r="A715" t="s">
        <v>729</v>
      </c>
      <c r="D715" t="str">
        <f t="shared" si="43"/>
        <v>.</v>
      </c>
      <c r="F715" t="str">
        <f t="shared" si="42"/>
        <v>moodle/course:sectionvisibility</v>
      </c>
      <c r="G715" t="s">
        <v>1480</v>
      </c>
    </row>
    <row r="716" spans="1:7">
      <c r="A716" t="s">
        <v>731</v>
      </c>
      <c r="D716" t="str">
        <f t="shared" si="43"/>
        <v>.</v>
      </c>
      <c r="F716" t="str">
        <f t="shared" si="42"/>
        <v>moodle/course:setcurrentsection</v>
      </c>
      <c r="G716" t="s">
        <v>1480</v>
      </c>
    </row>
    <row r="717" spans="1:7">
      <c r="A717" t="s">
        <v>733</v>
      </c>
      <c r="D717" t="str">
        <f t="shared" si="43"/>
        <v>.</v>
      </c>
      <c r="F717" t="str">
        <f t="shared" si="42"/>
        <v>moodle/course:update</v>
      </c>
      <c r="G717" t="s">
        <v>1482</v>
      </c>
    </row>
    <row r="718" spans="1:7">
      <c r="A718" t="s">
        <v>735</v>
      </c>
      <c r="D718" t="str">
        <f t="shared" si="43"/>
        <v>.</v>
      </c>
      <c r="F718" t="str">
        <f t="shared" si="42"/>
        <v>moodle/course:useremail</v>
      </c>
      <c r="G718" t="s">
        <v>1482</v>
      </c>
    </row>
    <row r="719" spans="1:7">
      <c r="A719" t="s">
        <v>737</v>
      </c>
      <c r="D719" t="str">
        <f t="shared" si="43"/>
        <v>.</v>
      </c>
      <c r="F719" t="str">
        <f t="shared" si="42"/>
        <v>moodle/course:view</v>
      </c>
      <c r="G719" t="s">
        <v>1484</v>
      </c>
    </row>
    <row r="720" spans="1:7">
      <c r="A720" t="s">
        <v>1508</v>
      </c>
      <c r="D720" t="str">
        <f t="shared" si="43"/>
        <v>.</v>
      </c>
      <c r="F720" t="str">
        <f t="shared" si="42"/>
        <v>moodle/course:viewhiddenactivities</v>
      </c>
      <c r="G720" t="s">
        <v>1484</v>
      </c>
    </row>
    <row r="721" spans="1:7">
      <c r="A721" t="s">
        <v>739</v>
      </c>
      <c r="D721" t="str">
        <f t="shared" si="43"/>
        <v>.</v>
      </c>
      <c r="F721" t="str">
        <f t="shared" si="42"/>
        <v>moodle/course:viewhiddencourses</v>
      </c>
      <c r="G721" t="s">
        <v>1486</v>
      </c>
    </row>
    <row r="722" spans="1:7">
      <c r="A722" t="s">
        <v>741</v>
      </c>
      <c r="D722" t="str">
        <f t="shared" si="43"/>
        <v>.</v>
      </c>
      <c r="F722" t="str">
        <f t="shared" si="42"/>
        <v>moodle/course:viewhiddensections</v>
      </c>
      <c r="G722" t="s">
        <v>1486</v>
      </c>
    </row>
    <row r="723" spans="1:7">
      <c r="A723" t="s">
        <v>743</v>
      </c>
      <c r="D723" t="str">
        <f t="shared" si="43"/>
        <v>.</v>
      </c>
      <c r="F723" t="str">
        <f t="shared" si="42"/>
        <v>moodle/course:viewhiddenuserfields</v>
      </c>
      <c r="G723" t="s">
        <v>1488</v>
      </c>
    </row>
    <row r="724" spans="1:7">
      <c r="A724" t="s">
        <v>744</v>
      </c>
      <c r="D724" t="str">
        <f t="shared" si="43"/>
        <v>.</v>
      </c>
      <c r="F724" t="str">
        <f t="shared" si="42"/>
        <v>moodle/course:viewparticipants</v>
      </c>
      <c r="G724" t="s">
        <v>1488</v>
      </c>
    </row>
    <row r="725" spans="1:7">
      <c r="A725" t="s">
        <v>746</v>
      </c>
      <c r="D725" t="str">
        <f t="shared" si="43"/>
        <v>.</v>
      </c>
      <c r="F725" t="str">
        <f t="shared" si="42"/>
        <v>moodle/course:viewscales</v>
      </c>
      <c r="G725" t="s">
        <v>1490</v>
      </c>
    </row>
    <row r="726" spans="1:7">
      <c r="A726" t="s">
        <v>331</v>
      </c>
      <c r="D726" t="str">
        <f t="shared" si="43"/>
        <v>.</v>
      </c>
      <c r="F726" t="str">
        <f t="shared" si="42"/>
        <v>moodle/course:viewsuspendedusers</v>
      </c>
      <c r="G726" t="s">
        <v>1490</v>
      </c>
    </row>
    <row r="727" spans="1:7">
      <c r="A727" t="s">
        <v>748</v>
      </c>
      <c r="D727" t="str">
        <f t="shared" si="43"/>
        <v>.</v>
      </c>
      <c r="F727" t="str">
        <f t="shared" si="42"/>
        <v>moodle/course:visibility</v>
      </c>
      <c r="G727" t="s">
        <v>1492</v>
      </c>
    </row>
    <row r="728" spans="1:7">
      <c r="A728" t="s">
        <v>750</v>
      </c>
      <c r="D728" t="str">
        <f t="shared" si="43"/>
        <v>.</v>
      </c>
      <c r="F728" t="str">
        <f t="shared" si="42"/>
        <v>moodle/filter:manage</v>
      </c>
      <c r="G728" t="s">
        <v>1492</v>
      </c>
    </row>
    <row r="729" spans="1:7">
      <c r="A729" t="s">
        <v>752</v>
      </c>
      <c r="D729" t="str">
        <f t="shared" si="43"/>
        <v>.</v>
      </c>
      <c r="F729" t="str">
        <f t="shared" si="42"/>
        <v>moodle/grade:edit</v>
      </c>
      <c r="G729" t="s">
        <v>1494</v>
      </c>
    </row>
    <row r="730" spans="1:7">
      <c r="A730" t="s">
        <v>754</v>
      </c>
      <c r="D730" t="str">
        <f t="shared" si="43"/>
        <v>.</v>
      </c>
      <c r="F730" t="str">
        <f t="shared" si="42"/>
        <v>moodle/grade:export</v>
      </c>
      <c r="G730" t="s">
        <v>1494</v>
      </c>
    </row>
    <row r="731" spans="1:7">
      <c r="A731" t="s">
        <v>756</v>
      </c>
      <c r="D731" t="str">
        <f t="shared" si="43"/>
        <v>.</v>
      </c>
      <c r="F731" t="str">
        <f t="shared" si="42"/>
        <v>moodle/grade:hide</v>
      </c>
      <c r="G731" t="s">
        <v>1496</v>
      </c>
    </row>
    <row r="732" spans="1:7">
      <c r="A732" t="s">
        <v>758</v>
      </c>
      <c r="D732" t="str">
        <f t="shared" si="43"/>
        <v>.</v>
      </c>
      <c r="F732" t="str">
        <f t="shared" si="42"/>
        <v>moodle/grade:import</v>
      </c>
      <c r="G732" t="s">
        <v>1496</v>
      </c>
    </row>
    <row r="733" spans="1:7">
      <c r="A733" t="s">
        <v>760</v>
      </c>
      <c r="D733" t="str">
        <f t="shared" si="43"/>
        <v>.</v>
      </c>
      <c r="F733" t="str">
        <f t="shared" si="42"/>
        <v>moodle/grade:lock</v>
      </c>
      <c r="G733" t="s">
        <v>1498</v>
      </c>
    </row>
    <row r="734" spans="1:7">
      <c r="A734" t="s">
        <v>762</v>
      </c>
      <c r="D734" t="str">
        <f t="shared" si="43"/>
        <v>.</v>
      </c>
      <c r="F734" t="str">
        <f t="shared" si="42"/>
        <v>moodle/grade:manage</v>
      </c>
      <c r="G734" t="s">
        <v>1498</v>
      </c>
    </row>
    <row r="735" spans="1:7">
      <c r="A735" t="s">
        <v>764</v>
      </c>
      <c r="D735" t="str">
        <f t="shared" si="43"/>
        <v>.</v>
      </c>
      <c r="F735" t="str">
        <f t="shared" si="42"/>
        <v>moodle/grade:managegradingforms</v>
      </c>
      <c r="G735" t="s">
        <v>1500</v>
      </c>
    </row>
    <row r="736" spans="1:7">
      <c r="A736" t="s">
        <v>766</v>
      </c>
      <c r="D736" t="str">
        <f t="shared" si="43"/>
        <v>.</v>
      </c>
      <c r="F736" t="str">
        <f t="shared" si="42"/>
        <v>moodle/grade:manageletters</v>
      </c>
      <c r="G736" t="s">
        <v>1500</v>
      </c>
    </row>
    <row r="737" spans="1:7">
      <c r="A737" t="s">
        <v>768</v>
      </c>
      <c r="D737" t="str">
        <f t="shared" si="43"/>
        <v>.</v>
      </c>
      <c r="F737" t="str">
        <f t="shared" si="42"/>
        <v>moodle/grade:manageoutcomes</v>
      </c>
      <c r="G737" t="s">
        <v>657</v>
      </c>
    </row>
    <row r="738" spans="1:7">
      <c r="A738" t="s">
        <v>333</v>
      </c>
      <c r="D738" t="str">
        <f t="shared" si="43"/>
        <v>.</v>
      </c>
      <c r="F738" t="str">
        <f t="shared" si="42"/>
        <v>moodle/grade:managesharedforms</v>
      </c>
      <c r="G738" t="s">
        <v>657</v>
      </c>
    </row>
    <row r="739" spans="1:7">
      <c r="A739" t="s">
        <v>335</v>
      </c>
      <c r="D739" t="str">
        <f t="shared" si="43"/>
        <v>.</v>
      </c>
      <c r="F739" t="str">
        <f t="shared" si="42"/>
        <v>moodle/grade:sharegradingforms</v>
      </c>
      <c r="G739" t="s">
        <v>1502</v>
      </c>
    </row>
    <row r="740" spans="1:7">
      <c r="A740" t="s">
        <v>770</v>
      </c>
      <c r="D740" t="str">
        <f t="shared" si="43"/>
        <v>.</v>
      </c>
      <c r="F740" t="str">
        <f t="shared" si="42"/>
        <v>moodle/grade:unlock</v>
      </c>
      <c r="G740" t="s">
        <v>1502</v>
      </c>
    </row>
    <row r="741" spans="1:7">
      <c r="A741" t="s">
        <v>772</v>
      </c>
      <c r="D741" t="str">
        <f t="shared" si="43"/>
        <v>.</v>
      </c>
      <c r="F741" t="str">
        <f t="shared" si="42"/>
        <v>moodle/grade:view</v>
      </c>
      <c r="G741" t="s">
        <v>659</v>
      </c>
    </row>
    <row r="742" spans="1:7">
      <c r="A742" t="s">
        <v>774</v>
      </c>
      <c r="D742" t="str">
        <f t="shared" si="43"/>
        <v>.</v>
      </c>
      <c r="F742" t="str">
        <f t="shared" si="42"/>
        <v>moodle/grade:viewall</v>
      </c>
      <c r="G742" t="s">
        <v>659</v>
      </c>
    </row>
    <row r="743" spans="1:7">
      <c r="A743" t="s">
        <v>776</v>
      </c>
      <c r="D743" t="str">
        <f t="shared" si="43"/>
        <v>.</v>
      </c>
      <c r="F743" t="str">
        <f t="shared" si="42"/>
        <v>moodle/grade:viewhidden</v>
      </c>
      <c r="G743" t="s">
        <v>661</v>
      </c>
    </row>
    <row r="744" spans="1:7">
      <c r="A744" t="s">
        <v>337</v>
      </c>
      <c r="D744" t="str">
        <f t="shared" si="43"/>
        <v>.</v>
      </c>
      <c r="F744" t="str">
        <f t="shared" si="42"/>
        <v>moodle/my:configsyspages</v>
      </c>
      <c r="G744" t="s">
        <v>661</v>
      </c>
    </row>
    <row r="745" spans="1:7">
      <c r="A745" t="s">
        <v>99</v>
      </c>
      <c r="D745" t="str">
        <f t="shared" si="43"/>
        <v>.</v>
      </c>
      <c r="F745" t="str">
        <f t="shared" si="42"/>
        <v>moodle/my:manageblocks</v>
      </c>
      <c r="G745" t="s">
        <v>663</v>
      </c>
    </row>
    <row r="746" spans="1:7">
      <c r="A746" t="s">
        <v>778</v>
      </c>
      <c r="D746" t="str">
        <f t="shared" si="43"/>
        <v>.</v>
      </c>
      <c r="F746" t="str">
        <f t="shared" si="42"/>
        <v>moodle/notes:manage</v>
      </c>
      <c r="G746" t="s">
        <v>663</v>
      </c>
    </row>
    <row r="747" spans="1:7">
      <c r="A747" t="s">
        <v>780</v>
      </c>
      <c r="D747" t="str">
        <f t="shared" si="43"/>
        <v>.</v>
      </c>
      <c r="F747" t="str">
        <f t="shared" si="42"/>
        <v>moodle/notes:view</v>
      </c>
      <c r="G747" t="s">
        <v>665</v>
      </c>
    </row>
    <row r="748" spans="1:7">
      <c r="A748" t="s">
        <v>101</v>
      </c>
      <c r="D748" t="str">
        <f t="shared" si="43"/>
        <v>.</v>
      </c>
      <c r="F748" t="str">
        <f t="shared" si="42"/>
        <v>moodle/portfolio:export</v>
      </c>
      <c r="G748" t="s">
        <v>665</v>
      </c>
    </row>
    <row r="749" spans="1:7">
      <c r="A749" t="s">
        <v>782</v>
      </c>
      <c r="D749" t="str">
        <f t="shared" si="43"/>
        <v>.</v>
      </c>
      <c r="F749" t="str">
        <f t="shared" si="42"/>
        <v>moodle/question:add</v>
      </c>
      <c r="G749" t="s">
        <v>667</v>
      </c>
    </row>
    <row r="750" spans="1:7">
      <c r="A750" t="s">
        <v>339</v>
      </c>
      <c r="D750" t="str">
        <f t="shared" si="43"/>
        <v>.</v>
      </c>
      <c r="F750" t="str">
        <f t="shared" si="42"/>
        <v>moodle/question:config</v>
      </c>
      <c r="G750" t="s">
        <v>667</v>
      </c>
    </row>
    <row r="751" spans="1:7">
      <c r="A751" t="s">
        <v>784</v>
      </c>
      <c r="D751" t="str">
        <f t="shared" si="43"/>
        <v>.</v>
      </c>
      <c r="F751" t="str">
        <f t="shared" si="42"/>
        <v>moodle/question:editall</v>
      </c>
      <c r="G751" t="s">
        <v>669</v>
      </c>
    </row>
    <row r="752" spans="1:7">
      <c r="A752" t="s">
        <v>786</v>
      </c>
      <c r="D752" t="str">
        <f t="shared" si="43"/>
        <v>.</v>
      </c>
      <c r="F752" t="str">
        <f t="shared" si="42"/>
        <v>moodle/question:editmine</v>
      </c>
      <c r="G752" t="s">
        <v>669</v>
      </c>
    </row>
    <row r="753" spans="1:7">
      <c r="A753" t="s">
        <v>788</v>
      </c>
      <c r="D753" t="str">
        <f t="shared" si="43"/>
        <v>.</v>
      </c>
      <c r="F753" t="str">
        <f t="shared" si="42"/>
        <v>moodle/question:flag</v>
      </c>
      <c r="G753" t="s">
        <v>671</v>
      </c>
    </row>
    <row r="754" spans="1:7">
      <c r="A754" t="s">
        <v>790</v>
      </c>
      <c r="D754" t="str">
        <f t="shared" si="43"/>
        <v>.</v>
      </c>
      <c r="F754" t="str">
        <f t="shared" si="42"/>
        <v>moodle/question:managecategory</v>
      </c>
      <c r="G754" t="s">
        <v>671</v>
      </c>
    </row>
    <row r="755" spans="1:7">
      <c r="A755" t="s">
        <v>792</v>
      </c>
      <c r="D755" t="str">
        <f t="shared" si="43"/>
        <v>.</v>
      </c>
      <c r="F755" t="str">
        <f t="shared" si="42"/>
        <v>moodle/question:moveall</v>
      </c>
      <c r="G755" t="s">
        <v>673</v>
      </c>
    </row>
    <row r="756" spans="1:7">
      <c r="A756" t="s">
        <v>794</v>
      </c>
      <c r="D756" t="str">
        <f t="shared" si="43"/>
        <v>.</v>
      </c>
      <c r="F756" t="str">
        <f t="shared" si="42"/>
        <v>moodle/question:movemine</v>
      </c>
      <c r="G756" t="s">
        <v>673</v>
      </c>
    </row>
    <row r="757" spans="1:7">
      <c r="A757" t="s">
        <v>796</v>
      </c>
      <c r="D757" t="str">
        <f t="shared" si="43"/>
        <v>.</v>
      </c>
      <c r="F757" t="str">
        <f t="shared" si="42"/>
        <v>moodle/question:useall</v>
      </c>
      <c r="G757" t="s">
        <v>675</v>
      </c>
    </row>
    <row r="758" spans="1:7">
      <c r="A758" t="s">
        <v>798</v>
      </c>
      <c r="D758" t="str">
        <f t="shared" si="43"/>
        <v>.</v>
      </c>
      <c r="F758" t="str">
        <f t="shared" si="42"/>
        <v>moodle/question:usemine</v>
      </c>
      <c r="G758" t="s">
        <v>675</v>
      </c>
    </row>
    <row r="759" spans="1:7">
      <c r="A759" t="s">
        <v>800</v>
      </c>
      <c r="D759" t="str">
        <f t="shared" si="43"/>
        <v>.</v>
      </c>
      <c r="F759" t="str">
        <f t="shared" si="42"/>
        <v>moodle/question:viewall</v>
      </c>
      <c r="G759" t="s">
        <v>677</v>
      </c>
    </row>
    <row r="760" spans="1:7">
      <c r="A760" t="s">
        <v>802</v>
      </c>
      <c r="D760" t="str">
        <f t="shared" si="43"/>
        <v>.</v>
      </c>
      <c r="F760" t="str">
        <f t="shared" si="42"/>
        <v>moodle/question:viewmine</v>
      </c>
      <c r="G760" t="s">
        <v>677</v>
      </c>
    </row>
    <row r="761" spans="1:7">
      <c r="A761" t="s">
        <v>141</v>
      </c>
      <c r="D761" t="str">
        <f t="shared" si="43"/>
        <v>.</v>
      </c>
      <c r="F761" t="str">
        <f t="shared" si="42"/>
        <v>moodle/rating:rate</v>
      </c>
      <c r="G761" t="s">
        <v>679</v>
      </c>
    </row>
    <row r="762" spans="1:7">
      <c r="A762" t="s">
        <v>143</v>
      </c>
      <c r="D762" t="str">
        <f t="shared" si="43"/>
        <v>.</v>
      </c>
      <c r="F762" t="str">
        <f t="shared" si="42"/>
        <v>moodle/rating:view</v>
      </c>
      <c r="G762" t="s">
        <v>679</v>
      </c>
    </row>
    <row r="763" spans="1:7">
      <c r="A763" t="s">
        <v>145</v>
      </c>
      <c r="D763" t="str">
        <f t="shared" si="43"/>
        <v>.</v>
      </c>
      <c r="F763" t="str">
        <f t="shared" si="42"/>
        <v>moodle/rating:viewall</v>
      </c>
      <c r="G763" t="s">
        <v>681</v>
      </c>
    </row>
    <row r="764" spans="1:7">
      <c r="A764" t="s">
        <v>147</v>
      </c>
      <c r="D764" t="str">
        <f t="shared" si="43"/>
        <v>.</v>
      </c>
      <c r="F764" t="str">
        <f t="shared" si="42"/>
        <v>moodle/rating:viewany</v>
      </c>
      <c r="G764" t="s">
        <v>681</v>
      </c>
    </row>
    <row r="765" spans="1:7">
      <c r="A765" t="s">
        <v>804</v>
      </c>
      <c r="D765" t="str">
        <f t="shared" si="43"/>
        <v>.</v>
      </c>
      <c r="F765" t="str">
        <f t="shared" si="42"/>
        <v>moodle/restore:configure</v>
      </c>
      <c r="G765" t="s">
        <v>683</v>
      </c>
    </row>
    <row r="766" spans="1:7">
      <c r="A766" t="s">
        <v>341</v>
      </c>
      <c r="D766" t="str">
        <f t="shared" si="43"/>
        <v>.</v>
      </c>
      <c r="F766" t="str">
        <f t="shared" si="42"/>
        <v>moodle/restore:createuser</v>
      </c>
      <c r="G766" t="s">
        <v>683</v>
      </c>
    </row>
    <row r="767" spans="1:7">
      <c r="A767" t="s">
        <v>806</v>
      </c>
      <c r="D767" t="str">
        <f t="shared" si="43"/>
        <v>.</v>
      </c>
      <c r="F767" t="str">
        <f t="shared" si="42"/>
        <v>moodle/restore:restoreactivity</v>
      </c>
      <c r="G767" t="s">
        <v>129</v>
      </c>
    </row>
    <row r="768" spans="1:7">
      <c r="A768" t="s">
        <v>808</v>
      </c>
      <c r="D768" t="str">
        <f t="shared" si="43"/>
        <v>.</v>
      </c>
      <c r="F768" t="str">
        <f t="shared" si="42"/>
        <v>moodle/restore:restorecourse</v>
      </c>
      <c r="G768" t="s">
        <v>129</v>
      </c>
    </row>
    <row r="769" spans="1:7">
      <c r="A769" t="s">
        <v>810</v>
      </c>
      <c r="D769" t="str">
        <f t="shared" si="43"/>
        <v>.</v>
      </c>
      <c r="F769" t="str">
        <f t="shared" si="42"/>
        <v>moodle/restore:restoresection</v>
      </c>
      <c r="G769" t="s">
        <v>87</v>
      </c>
    </row>
    <row r="770" spans="1:7">
      <c r="A770" t="s">
        <v>812</v>
      </c>
      <c r="D770" t="str">
        <f t="shared" si="43"/>
        <v>.</v>
      </c>
      <c r="F770" t="str">
        <f t="shared" si="42"/>
        <v>moodle/restore:restoretargethub</v>
      </c>
      <c r="G770" t="s">
        <v>87</v>
      </c>
    </row>
    <row r="771" spans="1:7">
      <c r="A771" t="s">
        <v>814</v>
      </c>
      <c r="D771" t="str">
        <f t="shared" si="43"/>
        <v>.</v>
      </c>
      <c r="F771" t="str">
        <f t="shared" si="42"/>
        <v>moodle/restore:restoretargetimport</v>
      </c>
      <c r="G771" t="s">
        <v>125</v>
      </c>
    </row>
    <row r="772" spans="1:7">
      <c r="A772" t="s">
        <v>816</v>
      </c>
      <c r="D772" t="str">
        <f t="shared" si="43"/>
        <v>.</v>
      </c>
      <c r="F772" t="str">
        <f t="shared" ref="F772:F835" si="44">IF(D772=".",A772)</f>
        <v>moodle/restore:rolldates</v>
      </c>
      <c r="G772" t="s">
        <v>125</v>
      </c>
    </row>
    <row r="773" spans="1:7">
      <c r="A773" t="s">
        <v>818</v>
      </c>
      <c r="D773" t="str">
        <f t="shared" si="43"/>
        <v>.</v>
      </c>
      <c r="F773" t="str">
        <f t="shared" si="44"/>
        <v>moodle/restore:uploadfile</v>
      </c>
      <c r="G773" t="s">
        <v>685</v>
      </c>
    </row>
    <row r="774" spans="1:7">
      <c r="A774" t="s">
        <v>820</v>
      </c>
      <c r="D774" t="str">
        <f t="shared" si="43"/>
        <v>.</v>
      </c>
      <c r="F774" t="str">
        <f t="shared" si="44"/>
        <v>moodle/restore:userinfo</v>
      </c>
      <c r="G774" t="s">
        <v>685</v>
      </c>
    </row>
    <row r="775" spans="1:7">
      <c r="A775" t="s">
        <v>822</v>
      </c>
      <c r="D775" t="str">
        <f t="shared" si="43"/>
        <v>.</v>
      </c>
      <c r="F775" t="str">
        <f t="shared" si="44"/>
        <v>moodle/restore:viewautomatedfilearea</v>
      </c>
      <c r="G775" t="s">
        <v>131</v>
      </c>
    </row>
    <row r="776" spans="1:7">
      <c r="A776" t="s">
        <v>824</v>
      </c>
      <c r="D776" t="str">
        <f t="shared" ref="D776:D839" si="45">IF(VLOOKUP(A776,$B$2:$B$631,1)=A776,".",A776)</f>
        <v>.</v>
      </c>
      <c r="F776" t="str">
        <f t="shared" si="44"/>
        <v>moodle/role:assign</v>
      </c>
      <c r="G776" t="s">
        <v>131</v>
      </c>
    </row>
    <row r="777" spans="1:7">
      <c r="A777" t="s">
        <v>343</v>
      </c>
      <c r="D777" t="str">
        <f t="shared" si="45"/>
        <v>.</v>
      </c>
      <c r="F777" t="str">
        <f t="shared" si="44"/>
        <v>moodle/role:manage</v>
      </c>
      <c r="G777" t="s">
        <v>389</v>
      </c>
    </row>
    <row r="778" spans="1:7">
      <c r="A778" t="s">
        <v>826</v>
      </c>
      <c r="D778" t="str">
        <f t="shared" si="45"/>
        <v>.</v>
      </c>
      <c r="F778" t="str">
        <f t="shared" si="44"/>
        <v>moodle/role:override</v>
      </c>
      <c r="G778" t="s">
        <v>389</v>
      </c>
    </row>
    <row r="779" spans="1:7">
      <c r="A779" t="s">
        <v>828</v>
      </c>
      <c r="D779" t="str">
        <f t="shared" si="45"/>
        <v>.</v>
      </c>
      <c r="F779" t="str">
        <f t="shared" si="44"/>
        <v>moodle/role:review</v>
      </c>
      <c r="G779" t="s">
        <v>1696</v>
      </c>
    </row>
    <row r="780" spans="1:7">
      <c r="A780" t="s">
        <v>830</v>
      </c>
      <c r="D780" t="str">
        <f t="shared" si="45"/>
        <v>.</v>
      </c>
      <c r="F780" t="str">
        <f t="shared" si="44"/>
        <v>moodle/role:safeoverride</v>
      </c>
      <c r="G780" t="s">
        <v>1696</v>
      </c>
    </row>
    <row r="781" spans="1:7">
      <c r="A781" t="s">
        <v>832</v>
      </c>
      <c r="D781" t="str">
        <f t="shared" si="45"/>
        <v>.</v>
      </c>
      <c r="F781" t="str">
        <f t="shared" si="44"/>
        <v>moodle/role:switchroles</v>
      </c>
      <c r="G781" t="s">
        <v>248</v>
      </c>
    </row>
    <row r="782" spans="1:7">
      <c r="A782" t="s">
        <v>834</v>
      </c>
      <c r="D782" t="str">
        <f t="shared" si="45"/>
        <v>.</v>
      </c>
      <c r="F782" t="str">
        <f t="shared" si="44"/>
        <v>moodle/site:accessallgroups</v>
      </c>
      <c r="G782" t="s">
        <v>248</v>
      </c>
    </row>
    <row r="783" spans="1:7">
      <c r="A783" t="s">
        <v>345</v>
      </c>
      <c r="D783" t="str">
        <f t="shared" si="45"/>
        <v>.</v>
      </c>
      <c r="F783" t="str">
        <f t="shared" si="44"/>
        <v>moodle/site:approvecourse</v>
      </c>
      <c r="G783" t="s">
        <v>133</v>
      </c>
    </row>
    <row r="784" spans="1:7">
      <c r="A784" t="s">
        <v>347</v>
      </c>
      <c r="D784" t="str">
        <f t="shared" si="45"/>
        <v>.</v>
      </c>
      <c r="F784" t="str">
        <f t="shared" si="44"/>
        <v>moodle/site:config</v>
      </c>
      <c r="G784" t="s">
        <v>133</v>
      </c>
    </row>
    <row r="785" spans="1:7">
      <c r="A785" t="s">
        <v>349</v>
      </c>
      <c r="D785" t="str">
        <f t="shared" si="45"/>
        <v>.</v>
      </c>
      <c r="F785" t="str">
        <f t="shared" si="44"/>
        <v>moodle/site:doclinks</v>
      </c>
      <c r="G785" t="s">
        <v>174</v>
      </c>
    </row>
    <row r="786" spans="1:7">
      <c r="A786" t="s">
        <v>1698</v>
      </c>
      <c r="D786" t="str">
        <f t="shared" si="45"/>
        <v>.</v>
      </c>
      <c r="F786" t="str">
        <f t="shared" si="44"/>
        <v>moodle/site:manageblocks</v>
      </c>
      <c r="G786" t="s">
        <v>174</v>
      </c>
    </row>
    <row r="787" spans="1:7">
      <c r="A787" t="s">
        <v>103</v>
      </c>
      <c r="D787" t="str">
        <f t="shared" si="45"/>
        <v>.</v>
      </c>
      <c r="F787" t="str">
        <f t="shared" si="44"/>
        <v>moodle/site:mnetlogintoremote</v>
      </c>
      <c r="G787" t="s">
        <v>89</v>
      </c>
    </row>
    <row r="788" spans="1:7">
      <c r="A788" t="s">
        <v>351</v>
      </c>
      <c r="D788" t="str">
        <f t="shared" si="45"/>
        <v>.</v>
      </c>
      <c r="F788" t="str">
        <f t="shared" si="44"/>
        <v>moodle/site:readallmessages</v>
      </c>
      <c r="G788" t="s">
        <v>89</v>
      </c>
    </row>
    <row r="789" spans="1:7">
      <c r="A789" t="s">
        <v>105</v>
      </c>
      <c r="D789" t="str">
        <f t="shared" si="45"/>
        <v>.</v>
      </c>
      <c r="F789" t="str">
        <f t="shared" si="44"/>
        <v>moodle/site:sendmessage</v>
      </c>
      <c r="G789" t="s">
        <v>321</v>
      </c>
    </row>
    <row r="790" spans="1:7">
      <c r="A790" t="s">
        <v>836</v>
      </c>
      <c r="D790" t="str">
        <f t="shared" si="45"/>
        <v>.</v>
      </c>
      <c r="F790" t="str">
        <f t="shared" si="44"/>
        <v>moodle/site:trustcontent</v>
      </c>
      <c r="G790" t="s">
        <v>321</v>
      </c>
    </row>
    <row r="791" spans="1:7">
      <c r="A791" t="s">
        <v>353</v>
      </c>
      <c r="D791" t="str">
        <f t="shared" si="45"/>
        <v>.</v>
      </c>
      <c r="F791" t="str">
        <f t="shared" si="44"/>
        <v>moodle/site:uploadusers</v>
      </c>
      <c r="G791" t="s">
        <v>91</v>
      </c>
    </row>
    <row r="792" spans="1:7">
      <c r="A792" t="s">
        <v>838</v>
      </c>
      <c r="D792" t="str">
        <f t="shared" si="45"/>
        <v>.</v>
      </c>
      <c r="F792" t="str">
        <f t="shared" si="44"/>
        <v>moodle/site:viewfullnames</v>
      </c>
      <c r="G792" t="s">
        <v>91</v>
      </c>
    </row>
    <row r="793" spans="1:7">
      <c r="A793" t="s">
        <v>355</v>
      </c>
      <c r="D793" t="str">
        <f t="shared" si="45"/>
        <v>.</v>
      </c>
      <c r="F793" t="str">
        <f t="shared" si="44"/>
        <v>moodle/site:viewparticipants</v>
      </c>
      <c r="G793" t="s">
        <v>93</v>
      </c>
    </row>
    <row r="794" spans="1:7">
      <c r="A794" t="s">
        <v>840</v>
      </c>
      <c r="D794" t="str">
        <f t="shared" si="45"/>
        <v>.</v>
      </c>
      <c r="F794" t="str">
        <f t="shared" si="44"/>
        <v>moodle/site:viewreports</v>
      </c>
      <c r="G794" t="s">
        <v>93</v>
      </c>
    </row>
    <row r="795" spans="1:7">
      <c r="A795" t="s">
        <v>842</v>
      </c>
      <c r="D795" t="str">
        <f t="shared" si="45"/>
        <v>.</v>
      </c>
      <c r="F795" t="str">
        <f t="shared" si="44"/>
        <v>moodle/site:viewuseridentity</v>
      </c>
      <c r="G795" t="s">
        <v>95</v>
      </c>
    </row>
    <row r="796" spans="1:7">
      <c r="A796" t="s">
        <v>107</v>
      </c>
      <c r="D796" t="str">
        <f t="shared" si="45"/>
        <v>.</v>
      </c>
      <c r="F796" t="str">
        <f t="shared" si="44"/>
        <v>moodle/tag:create</v>
      </c>
      <c r="G796" t="s">
        <v>95</v>
      </c>
    </row>
    <row r="797" spans="1:7">
      <c r="A797" t="s">
        <v>109</v>
      </c>
      <c r="D797" t="str">
        <f t="shared" si="45"/>
        <v>.</v>
      </c>
      <c r="F797" t="str">
        <f t="shared" si="44"/>
        <v>moodle/tag:edit</v>
      </c>
      <c r="G797" t="s">
        <v>323</v>
      </c>
    </row>
    <row r="798" spans="1:7">
      <c r="A798" t="s">
        <v>357</v>
      </c>
      <c r="D798" t="str">
        <f t="shared" si="45"/>
        <v>.</v>
      </c>
      <c r="F798" t="str">
        <f t="shared" si="44"/>
        <v>moodle/tag:editblocks</v>
      </c>
      <c r="G798" t="s">
        <v>323</v>
      </c>
    </row>
    <row r="799" spans="1:7">
      <c r="A799" t="s">
        <v>111</v>
      </c>
      <c r="D799" t="str">
        <f t="shared" si="45"/>
        <v>.</v>
      </c>
      <c r="F799" t="str">
        <f t="shared" si="44"/>
        <v>moodle/tag:flag</v>
      </c>
      <c r="G799" t="s">
        <v>687</v>
      </c>
    </row>
    <row r="800" spans="1:7">
      <c r="A800" t="s">
        <v>359</v>
      </c>
      <c r="D800" t="str">
        <f t="shared" si="45"/>
        <v>.</v>
      </c>
      <c r="F800" t="str">
        <f t="shared" si="44"/>
        <v>moodle/tag:manage</v>
      </c>
      <c r="G800" t="s">
        <v>687</v>
      </c>
    </row>
    <row r="801" spans="1:7">
      <c r="A801" t="s">
        <v>113</v>
      </c>
      <c r="D801" t="str">
        <f t="shared" si="45"/>
        <v>.</v>
      </c>
      <c r="F801" t="str">
        <f t="shared" si="44"/>
        <v>moodle/user:changeownpassword</v>
      </c>
      <c r="G801" t="s">
        <v>689</v>
      </c>
    </row>
    <row r="802" spans="1:7">
      <c r="A802" t="s">
        <v>361</v>
      </c>
      <c r="D802" t="str">
        <f t="shared" si="45"/>
        <v>.</v>
      </c>
      <c r="F802" t="str">
        <f t="shared" si="44"/>
        <v>moodle/user:create</v>
      </c>
      <c r="G802" t="s">
        <v>689</v>
      </c>
    </row>
    <row r="803" spans="1:7">
      <c r="A803" t="s">
        <v>363</v>
      </c>
      <c r="D803" t="str">
        <f t="shared" si="45"/>
        <v>.</v>
      </c>
      <c r="F803" t="str">
        <f t="shared" si="44"/>
        <v>moodle/user:delete</v>
      </c>
      <c r="G803" t="s">
        <v>135</v>
      </c>
    </row>
    <row r="804" spans="1:7">
      <c r="A804" t="s">
        <v>391</v>
      </c>
      <c r="D804" t="str">
        <f t="shared" si="45"/>
        <v>.</v>
      </c>
      <c r="F804" t="str">
        <f t="shared" si="44"/>
        <v>moodle/user:editmessageprofile</v>
      </c>
      <c r="G804" t="s">
        <v>135</v>
      </c>
    </row>
    <row r="805" spans="1:7">
      <c r="A805" t="s">
        <v>115</v>
      </c>
      <c r="D805" t="str">
        <f t="shared" si="45"/>
        <v>.</v>
      </c>
      <c r="F805" t="str">
        <f t="shared" si="44"/>
        <v>moodle/user:editownmessageprofile</v>
      </c>
      <c r="G805" t="s">
        <v>405</v>
      </c>
    </row>
    <row r="806" spans="1:7">
      <c r="A806" t="s">
        <v>117</v>
      </c>
      <c r="D806" t="str">
        <f t="shared" si="45"/>
        <v>.</v>
      </c>
      <c r="F806" t="str">
        <f t="shared" si="44"/>
        <v>moodle/user:editownprofile</v>
      </c>
      <c r="G806" t="s">
        <v>405</v>
      </c>
    </row>
    <row r="807" spans="1:7">
      <c r="A807" t="s">
        <v>393</v>
      </c>
      <c r="D807" t="str">
        <f t="shared" si="45"/>
        <v>.</v>
      </c>
      <c r="F807" t="str">
        <f t="shared" si="44"/>
        <v>moodle/user:editprofile</v>
      </c>
      <c r="G807" t="s">
        <v>407</v>
      </c>
    </row>
    <row r="808" spans="1:7">
      <c r="A808" t="s">
        <v>365</v>
      </c>
      <c r="D808" t="str">
        <f t="shared" si="45"/>
        <v>.</v>
      </c>
      <c r="F808" t="str">
        <f t="shared" si="44"/>
        <v>moodle/user:ignoreuserquota</v>
      </c>
      <c r="G808" t="s">
        <v>407</v>
      </c>
    </row>
    <row r="809" spans="1:7">
      <c r="A809" t="s">
        <v>844</v>
      </c>
      <c r="D809" t="str">
        <f t="shared" si="45"/>
        <v>.</v>
      </c>
      <c r="F809" t="str">
        <f t="shared" si="44"/>
        <v>moodle/user:loginas</v>
      </c>
      <c r="G809" t="s">
        <v>409</v>
      </c>
    </row>
    <row r="810" spans="1:7">
      <c r="A810" t="s">
        <v>395</v>
      </c>
      <c r="D810" t="str">
        <f t="shared" si="45"/>
        <v>.</v>
      </c>
      <c r="F810" t="str">
        <f t="shared" si="44"/>
        <v>moodle/user:manageblocks</v>
      </c>
      <c r="G810" t="s">
        <v>409</v>
      </c>
    </row>
    <row r="811" spans="1:7">
      <c r="A811" t="s">
        <v>119</v>
      </c>
      <c r="D811" t="str">
        <f t="shared" si="45"/>
        <v>.</v>
      </c>
      <c r="F811" t="str">
        <f t="shared" si="44"/>
        <v>moodle/user:manageownblocks</v>
      </c>
      <c r="G811" t="s">
        <v>411</v>
      </c>
    </row>
    <row r="812" spans="1:7">
      <c r="A812" t="s">
        <v>121</v>
      </c>
      <c r="D812" t="str">
        <f t="shared" si="45"/>
        <v>.</v>
      </c>
      <c r="F812" t="str">
        <f t="shared" si="44"/>
        <v>moodle/user:manageownfiles</v>
      </c>
      <c r="G812" t="s">
        <v>411</v>
      </c>
    </row>
    <row r="813" spans="1:7">
      <c r="A813" t="s">
        <v>367</v>
      </c>
      <c r="D813" t="str">
        <f t="shared" si="45"/>
        <v>.</v>
      </c>
      <c r="F813" t="str">
        <f t="shared" si="44"/>
        <v>moodle/user:managesyspages</v>
      </c>
      <c r="G813" t="s">
        <v>691</v>
      </c>
    </row>
    <row r="814" spans="1:7">
      <c r="A814" t="s">
        <v>397</v>
      </c>
      <c r="D814" t="str">
        <f t="shared" si="45"/>
        <v>.</v>
      </c>
      <c r="F814" t="str">
        <f t="shared" si="44"/>
        <v>moodle/user:readuserblogs</v>
      </c>
      <c r="G814" t="s">
        <v>691</v>
      </c>
    </row>
    <row r="815" spans="1:7">
      <c r="A815" t="s">
        <v>399</v>
      </c>
      <c r="D815" t="str">
        <f t="shared" si="45"/>
        <v>.</v>
      </c>
      <c r="F815" t="str">
        <f t="shared" si="44"/>
        <v>moodle/user:readuserposts</v>
      </c>
      <c r="G815" t="s">
        <v>693</v>
      </c>
    </row>
    <row r="816" spans="1:7">
      <c r="A816" t="s">
        <v>369</v>
      </c>
      <c r="D816" t="str">
        <f t="shared" si="45"/>
        <v>.</v>
      </c>
      <c r="F816" t="str">
        <f t="shared" si="44"/>
        <v>moodle/user:update</v>
      </c>
      <c r="G816" t="s">
        <v>693</v>
      </c>
    </row>
    <row r="817" spans="1:7">
      <c r="A817" t="s">
        <v>401</v>
      </c>
      <c r="D817" t="str">
        <f t="shared" si="45"/>
        <v>.</v>
      </c>
      <c r="F817" t="str">
        <f t="shared" si="44"/>
        <v>moodle/user:viewalldetails</v>
      </c>
      <c r="G817" t="s">
        <v>137</v>
      </c>
    </row>
    <row r="818" spans="1:7">
      <c r="A818" t="s">
        <v>846</v>
      </c>
      <c r="D818" t="str">
        <f t="shared" si="45"/>
        <v>.</v>
      </c>
      <c r="F818" t="str">
        <f t="shared" si="44"/>
        <v>moodle/user:viewdetails</v>
      </c>
      <c r="G818" t="s">
        <v>137</v>
      </c>
    </row>
    <row r="819" spans="1:7">
      <c r="A819" t="s">
        <v>848</v>
      </c>
      <c r="D819" t="str">
        <f t="shared" si="45"/>
        <v>.</v>
      </c>
      <c r="F819" t="str">
        <f t="shared" si="44"/>
        <v>moodle/user:viewhiddendetails</v>
      </c>
      <c r="G819" t="s">
        <v>139</v>
      </c>
    </row>
    <row r="820" spans="1:7">
      <c r="A820" t="s">
        <v>403</v>
      </c>
      <c r="D820" t="str">
        <f t="shared" si="45"/>
        <v>.</v>
      </c>
      <c r="F820" t="str">
        <f t="shared" si="44"/>
        <v>moodle/user:viewuseractivitiesreport</v>
      </c>
      <c r="G820" t="s">
        <v>139</v>
      </c>
    </row>
    <row r="821" spans="1:7">
      <c r="A821" t="s">
        <v>123</v>
      </c>
      <c r="D821" t="str">
        <f t="shared" si="45"/>
        <v>.</v>
      </c>
      <c r="F821" t="str">
        <f t="shared" si="44"/>
        <v>moodle/webservice:createmobiletoken</v>
      </c>
      <c r="G821" t="s">
        <v>325</v>
      </c>
    </row>
    <row r="822" spans="1:7">
      <c r="A822" t="s">
        <v>371</v>
      </c>
      <c r="D822" t="str">
        <f t="shared" si="45"/>
        <v>.</v>
      </c>
      <c r="F822" t="str">
        <f t="shared" si="44"/>
        <v>moodle/webservice:createtoken</v>
      </c>
      <c r="G822" t="s">
        <v>325</v>
      </c>
    </row>
    <row r="823" spans="1:7">
      <c r="A823" t="s">
        <v>1510</v>
      </c>
      <c r="D823" t="str">
        <f t="shared" si="45"/>
        <v>.</v>
      </c>
      <c r="F823" t="str">
        <f t="shared" si="44"/>
        <v>quiz/grading:viewidnumber</v>
      </c>
      <c r="G823" t="s">
        <v>327</v>
      </c>
    </row>
    <row r="824" spans="1:7">
      <c r="A824" t="s">
        <v>1512</v>
      </c>
      <c r="D824" t="str">
        <f t="shared" si="45"/>
        <v>.</v>
      </c>
      <c r="F824" t="str">
        <f t="shared" si="44"/>
        <v>quiz/grading:viewstudentnames</v>
      </c>
      <c r="G824" t="s">
        <v>327</v>
      </c>
    </row>
    <row r="825" spans="1:7">
      <c r="A825" t="s">
        <v>1514</v>
      </c>
      <c r="D825" t="str">
        <f t="shared" si="45"/>
        <v>.</v>
      </c>
      <c r="F825" t="str">
        <f t="shared" si="44"/>
        <v>quiz/statistics:view</v>
      </c>
      <c r="G825" t="s">
        <v>1504</v>
      </c>
    </row>
    <row r="826" spans="1:7">
      <c r="A826" t="s">
        <v>850</v>
      </c>
      <c r="D826" t="str">
        <f t="shared" si="45"/>
        <v>.</v>
      </c>
      <c r="F826" t="str">
        <f t="shared" si="44"/>
        <v>report/completion:view</v>
      </c>
      <c r="G826" t="s">
        <v>1504</v>
      </c>
    </row>
    <row r="827" spans="1:7">
      <c r="A827" t="s">
        <v>373</v>
      </c>
      <c r="D827" t="str">
        <f t="shared" si="45"/>
        <v>.</v>
      </c>
      <c r="F827" t="str">
        <f t="shared" si="44"/>
        <v>report/courseoverview:view</v>
      </c>
      <c r="G827" t="s">
        <v>695</v>
      </c>
    </row>
    <row r="828" spans="1:7">
      <c r="A828" t="s">
        <v>375</v>
      </c>
      <c r="D828" t="str">
        <f t="shared" si="45"/>
        <v>report/gsb:viewmygsbreport</v>
      </c>
      <c r="F828" t="b">
        <f t="shared" si="44"/>
        <v>0</v>
      </c>
      <c r="G828" t="s">
        <v>695</v>
      </c>
    </row>
    <row r="829" spans="1:7">
      <c r="A829" t="s">
        <v>852</v>
      </c>
      <c r="D829" t="str">
        <f t="shared" si="45"/>
        <v>.</v>
      </c>
      <c r="F829" t="str">
        <f t="shared" si="44"/>
        <v>report/log:view</v>
      </c>
      <c r="G829" t="s">
        <v>697</v>
      </c>
    </row>
    <row r="830" spans="1:7">
      <c r="A830" t="s">
        <v>854</v>
      </c>
      <c r="D830" t="str">
        <f t="shared" si="45"/>
        <v>.</v>
      </c>
      <c r="F830" t="str">
        <f t="shared" si="44"/>
        <v>report/log:viewtoday</v>
      </c>
      <c r="G830" t="s">
        <v>697</v>
      </c>
    </row>
    <row r="831" spans="1:7">
      <c r="A831" t="s">
        <v>856</v>
      </c>
      <c r="D831" t="str">
        <f t="shared" si="45"/>
        <v>.</v>
      </c>
      <c r="F831" t="str">
        <f t="shared" si="44"/>
        <v>report/loglive:view</v>
      </c>
      <c r="G831" t="s">
        <v>699</v>
      </c>
    </row>
    <row r="832" spans="1:7">
      <c r="A832" t="s">
        <v>858</v>
      </c>
      <c r="D832" t="str">
        <f t="shared" si="45"/>
        <v>.</v>
      </c>
      <c r="F832" t="str">
        <f t="shared" si="44"/>
        <v>report/outline:view</v>
      </c>
      <c r="G832" t="s">
        <v>699</v>
      </c>
    </row>
    <row r="833" spans="1:7">
      <c r="A833" t="s">
        <v>860</v>
      </c>
      <c r="D833" t="str">
        <f t="shared" si="45"/>
        <v>.</v>
      </c>
      <c r="F833" t="str">
        <f t="shared" si="44"/>
        <v>report/participation:view</v>
      </c>
      <c r="G833" t="s">
        <v>701</v>
      </c>
    </row>
    <row r="834" spans="1:7">
      <c r="A834" t="s">
        <v>377</v>
      </c>
      <c r="D834" t="str">
        <f t="shared" si="45"/>
        <v>.</v>
      </c>
      <c r="F834" t="str">
        <f t="shared" si="44"/>
        <v>report/performance:view</v>
      </c>
      <c r="G834" t="s">
        <v>701</v>
      </c>
    </row>
    <row r="835" spans="1:7">
      <c r="A835" t="s">
        <v>862</v>
      </c>
      <c r="D835" t="str">
        <f t="shared" si="45"/>
        <v>.</v>
      </c>
      <c r="F835" t="str">
        <f t="shared" si="44"/>
        <v>report/progress:view</v>
      </c>
      <c r="G835" t="s">
        <v>703</v>
      </c>
    </row>
    <row r="836" spans="1:7">
      <c r="A836" t="s">
        <v>379</v>
      </c>
      <c r="D836" t="str">
        <f t="shared" si="45"/>
        <v>.</v>
      </c>
      <c r="F836" t="str">
        <f t="shared" ref="F836:F873" si="46">IF(D836=".",A836)</f>
        <v>report/questioninstances:view</v>
      </c>
      <c r="G836" t="s">
        <v>703</v>
      </c>
    </row>
    <row r="837" spans="1:7">
      <c r="A837" t="s">
        <v>381</v>
      </c>
      <c r="D837" t="str">
        <f t="shared" si="45"/>
        <v>.</v>
      </c>
      <c r="F837" t="str">
        <f t="shared" si="46"/>
        <v>report/security:view</v>
      </c>
      <c r="G837" t="s">
        <v>705</v>
      </c>
    </row>
    <row r="838" spans="1:7">
      <c r="A838" t="s">
        <v>864</v>
      </c>
      <c r="D838" t="str">
        <f t="shared" si="45"/>
        <v>.</v>
      </c>
      <c r="F838" t="str">
        <f t="shared" si="46"/>
        <v>report/stats:view</v>
      </c>
      <c r="G838" t="s">
        <v>705</v>
      </c>
    </row>
    <row r="839" spans="1:7">
      <c r="A839" t="s">
        <v>176</v>
      </c>
      <c r="D839" t="str">
        <f t="shared" si="45"/>
        <v>.</v>
      </c>
      <c r="F839" t="str">
        <f t="shared" si="46"/>
        <v>repository/alfresco:view</v>
      </c>
      <c r="G839" t="s">
        <v>413</v>
      </c>
    </row>
    <row r="840" spans="1:7">
      <c r="A840" t="s">
        <v>178</v>
      </c>
      <c r="D840" t="str">
        <f t="shared" ref="D840:D873" si="47">IF(VLOOKUP(A840,$B$2:$B$631,1)=A840,".",A840)</f>
        <v>.</v>
      </c>
      <c r="F840" t="str">
        <f t="shared" si="46"/>
        <v>repository/areafiles:view</v>
      </c>
      <c r="G840" t="s">
        <v>413</v>
      </c>
    </row>
    <row r="841" spans="1:7">
      <c r="A841" t="s">
        <v>180</v>
      </c>
      <c r="D841" t="str">
        <f t="shared" si="47"/>
        <v>.</v>
      </c>
      <c r="F841" t="str">
        <f t="shared" si="46"/>
        <v>repository/boxnet:view</v>
      </c>
      <c r="G841" t="s">
        <v>707</v>
      </c>
    </row>
    <row r="842" spans="1:7">
      <c r="A842" t="s">
        <v>182</v>
      </c>
      <c r="D842" t="str">
        <f t="shared" si="47"/>
        <v>repository/cla_survey:view</v>
      </c>
      <c r="F842" t="b">
        <f t="shared" si="46"/>
        <v>0</v>
      </c>
      <c r="G842" t="s">
        <v>707</v>
      </c>
    </row>
    <row r="843" spans="1:7">
      <c r="A843" t="s">
        <v>184</v>
      </c>
      <c r="D843" t="str">
        <f t="shared" si="47"/>
        <v>.</v>
      </c>
      <c r="F843" t="str">
        <f t="shared" si="46"/>
        <v>repository/coursefiles:view</v>
      </c>
      <c r="G843" t="s">
        <v>709</v>
      </c>
    </row>
    <row r="844" spans="1:7">
      <c r="A844" t="s">
        <v>186</v>
      </c>
      <c r="D844" t="str">
        <f t="shared" si="47"/>
        <v>.</v>
      </c>
      <c r="F844" t="str">
        <f t="shared" si="46"/>
        <v>repository/dropbox:view</v>
      </c>
      <c r="G844" t="s">
        <v>709</v>
      </c>
    </row>
    <row r="845" spans="1:7">
      <c r="A845" t="s">
        <v>188</v>
      </c>
      <c r="D845" t="str">
        <f t="shared" si="47"/>
        <v>.</v>
      </c>
      <c r="F845" t="str">
        <f t="shared" si="46"/>
        <v>repository/equella:view</v>
      </c>
      <c r="G845" t="s">
        <v>711</v>
      </c>
    </row>
    <row r="846" spans="1:7">
      <c r="A846" t="s">
        <v>190</v>
      </c>
      <c r="D846" t="str">
        <f t="shared" si="47"/>
        <v>repository/evernote:view</v>
      </c>
      <c r="F846" t="b">
        <f t="shared" si="46"/>
        <v>0</v>
      </c>
      <c r="G846" t="s">
        <v>711</v>
      </c>
    </row>
    <row r="847" spans="1:7">
      <c r="A847" t="s">
        <v>192</v>
      </c>
      <c r="D847" t="str">
        <f t="shared" si="47"/>
        <v>.</v>
      </c>
      <c r="F847" t="str">
        <f t="shared" si="46"/>
        <v>repository/filesystem:view</v>
      </c>
      <c r="G847" t="s">
        <v>713</v>
      </c>
    </row>
    <row r="848" spans="1:7">
      <c r="A848" t="s">
        <v>196</v>
      </c>
      <c r="D848" t="str">
        <f t="shared" si="47"/>
        <v>.</v>
      </c>
      <c r="F848" t="str">
        <f t="shared" si="46"/>
        <v>repository/flickr_public:view</v>
      </c>
      <c r="G848" t="s">
        <v>713</v>
      </c>
    </row>
    <row r="849" spans="1:7">
      <c r="A849" t="s">
        <v>194</v>
      </c>
      <c r="D849" t="str">
        <f t="shared" si="47"/>
        <v>.</v>
      </c>
      <c r="F849" t="str">
        <f t="shared" si="46"/>
        <v>repository/flickr:view</v>
      </c>
      <c r="G849" t="s">
        <v>715</v>
      </c>
    </row>
    <row r="850" spans="1:7">
      <c r="A850" t="s">
        <v>198</v>
      </c>
      <c r="D850" t="str">
        <f t="shared" si="47"/>
        <v>.</v>
      </c>
      <c r="F850" t="str">
        <f t="shared" si="46"/>
        <v>repository/googledocs:view</v>
      </c>
      <c r="G850" t="s">
        <v>715</v>
      </c>
    </row>
    <row r="851" spans="1:7">
      <c r="A851" t="s">
        <v>1516</v>
      </c>
      <c r="D851" t="str">
        <f t="shared" si="47"/>
        <v>repository/helix_media_lib:searchall</v>
      </c>
      <c r="F851" t="b">
        <f t="shared" si="46"/>
        <v>0</v>
      </c>
      <c r="G851" t="s">
        <v>1506</v>
      </c>
    </row>
    <row r="852" spans="1:7">
      <c r="A852" t="s">
        <v>1518</v>
      </c>
      <c r="D852" t="str">
        <f t="shared" si="47"/>
        <v>repository/helix_media_lib:view</v>
      </c>
      <c r="F852" t="b">
        <f t="shared" si="46"/>
        <v>0</v>
      </c>
      <c r="G852" t="s">
        <v>1506</v>
      </c>
    </row>
    <row r="853" spans="1:7">
      <c r="A853" t="s">
        <v>200</v>
      </c>
      <c r="D853" t="str">
        <f t="shared" si="47"/>
        <v>.</v>
      </c>
      <c r="F853" t="str">
        <f t="shared" si="46"/>
        <v>repository/local:view</v>
      </c>
      <c r="G853" t="s">
        <v>717</v>
      </c>
    </row>
    <row r="854" spans="1:7">
      <c r="A854" t="s">
        <v>202</v>
      </c>
      <c r="D854" t="str">
        <f t="shared" si="47"/>
        <v>repository/mediacore:view</v>
      </c>
      <c r="F854" t="b">
        <f t="shared" si="46"/>
        <v>0</v>
      </c>
      <c r="G854" t="s">
        <v>717</v>
      </c>
    </row>
    <row r="855" spans="1:7">
      <c r="A855" t="s">
        <v>204</v>
      </c>
      <c r="D855" t="str">
        <f t="shared" si="47"/>
        <v>.</v>
      </c>
      <c r="F855" t="str">
        <f t="shared" si="46"/>
        <v>repository/merlot:view</v>
      </c>
      <c r="G855" t="s">
        <v>719</v>
      </c>
    </row>
    <row r="856" spans="1:7">
      <c r="A856" t="s">
        <v>206</v>
      </c>
      <c r="D856" t="str">
        <f t="shared" si="47"/>
        <v>.</v>
      </c>
      <c r="F856" t="str">
        <f t="shared" si="46"/>
        <v>repository/picasa:view</v>
      </c>
      <c r="G856" t="s">
        <v>719</v>
      </c>
    </row>
    <row r="857" spans="1:7">
      <c r="A857" t="s">
        <v>208</v>
      </c>
      <c r="D857" t="str">
        <f t="shared" si="47"/>
        <v>repository/planetestream:view</v>
      </c>
      <c r="F857" t="b">
        <f t="shared" si="46"/>
        <v>0</v>
      </c>
      <c r="G857" t="s">
        <v>721</v>
      </c>
    </row>
    <row r="858" spans="1:7">
      <c r="A858" t="s">
        <v>210</v>
      </c>
      <c r="D858" t="str">
        <f t="shared" si="47"/>
        <v>.</v>
      </c>
      <c r="F858" t="str">
        <f t="shared" si="46"/>
        <v>repository/recent:view</v>
      </c>
      <c r="G858" t="s">
        <v>721</v>
      </c>
    </row>
    <row r="859" spans="1:7">
      <c r="A859" t="s">
        <v>212</v>
      </c>
      <c r="D859" t="str">
        <f t="shared" si="47"/>
        <v>.</v>
      </c>
      <c r="F859" t="str">
        <f t="shared" si="46"/>
        <v>repository/s3:view</v>
      </c>
      <c r="G859" t="s">
        <v>723</v>
      </c>
    </row>
    <row r="860" spans="1:7">
      <c r="A860" t="s">
        <v>214</v>
      </c>
      <c r="D860" t="str">
        <f t="shared" si="47"/>
        <v>.</v>
      </c>
      <c r="F860" t="str">
        <f t="shared" si="46"/>
        <v>repository/skydrive:view</v>
      </c>
      <c r="G860" t="s">
        <v>723</v>
      </c>
    </row>
    <row r="861" spans="1:7">
      <c r="A861" t="s">
        <v>216</v>
      </c>
      <c r="D861" t="str">
        <f t="shared" si="47"/>
        <v>.</v>
      </c>
      <c r="F861" t="str">
        <f t="shared" si="46"/>
        <v>repository/upload:view</v>
      </c>
      <c r="G861" t="s">
        <v>725</v>
      </c>
    </row>
    <row r="862" spans="1:7">
      <c r="A862" t="s">
        <v>218</v>
      </c>
      <c r="D862" t="str">
        <f t="shared" si="47"/>
        <v>.</v>
      </c>
      <c r="F862" t="str">
        <f t="shared" si="46"/>
        <v>repository/url:view</v>
      </c>
      <c r="G862" t="s">
        <v>725</v>
      </c>
    </row>
    <row r="863" spans="1:7">
      <c r="A863" t="s">
        <v>220</v>
      </c>
      <c r="D863" t="str">
        <f t="shared" si="47"/>
        <v>.</v>
      </c>
      <c r="F863" t="str">
        <f t="shared" si="46"/>
        <v>repository/user:view</v>
      </c>
      <c r="G863" t="s">
        <v>329</v>
      </c>
    </row>
    <row r="864" spans="1:7">
      <c r="A864" t="s">
        <v>222</v>
      </c>
      <c r="D864" t="str">
        <f t="shared" si="47"/>
        <v>.</v>
      </c>
      <c r="F864" t="str">
        <f t="shared" si="46"/>
        <v>repository/webdav:view</v>
      </c>
      <c r="G864" t="s">
        <v>329</v>
      </c>
    </row>
    <row r="865" spans="1:7">
      <c r="A865" t="s">
        <v>224</v>
      </c>
      <c r="D865" t="str">
        <f t="shared" si="47"/>
        <v>.</v>
      </c>
      <c r="F865" t="str">
        <f t="shared" si="46"/>
        <v>repository/wikimedia:view</v>
      </c>
      <c r="G865" t="s">
        <v>97</v>
      </c>
    </row>
    <row r="866" spans="1:7">
      <c r="A866" t="s">
        <v>226</v>
      </c>
      <c r="D866" t="str">
        <f t="shared" si="47"/>
        <v>.</v>
      </c>
      <c r="F866" t="str">
        <f t="shared" si="46"/>
        <v>repository/youtube:view</v>
      </c>
      <c r="G866" t="s">
        <v>97</v>
      </c>
    </row>
    <row r="867" spans="1:7">
      <c r="A867" t="s">
        <v>383</v>
      </c>
      <c r="D867" t="str">
        <f t="shared" si="47"/>
        <v>.</v>
      </c>
      <c r="F867" t="str">
        <f t="shared" si="46"/>
        <v>tool/customlang:edit</v>
      </c>
      <c r="G867" t="s">
        <v>727</v>
      </c>
    </row>
    <row r="868" spans="1:7">
      <c r="A868" t="s">
        <v>385</v>
      </c>
      <c r="D868" t="str">
        <f t="shared" si="47"/>
        <v>.</v>
      </c>
      <c r="F868" t="str">
        <f t="shared" si="46"/>
        <v>tool/customlang:view</v>
      </c>
      <c r="G868" t="s">
        <v>727</v>
      </c>
    </row>
    <row r="869" spans="1:7">
      <c r="A869" t="s">
        <v>387</v>
      </c>
      <c r="D869" t="str">
        <f t="shared" si="47"/>
        <v>.</v>
      </c>
      <c r="F869" t="str">
        <f t="shared" si="46"/>
        <v>tool/uploaduser:uploaduserpictures</v>
      </c>
      <c r="G869" t="s">
        <v>729</v>
      </c>
    </row>
    <row r="870" spans="1:7">
      <c r="A870" t="s">
        <v>866</v>
      </c>
      <c r="D870" t="str">
        <f t="shared" si="47"/>
        <v>.</v>
      </c>
      <c r="F870" t="str">
        <f t="shared" si="46"/>
        <v>webservice/amf:use</v>
      </c>
      <c r="G870" t="s">
        <v>729</v>
      </c>
    </row>
    <row r="871" spans="1:7">
      <c r="A871" t="s">
        <v>868</v>
      </c>
      <c r="D871" t="str">
        <f t="shared" si="47"/>
        <v>.</v>
      </c>
      <c r="F871" t="str">
        <f t="shared" si="46"/>
        <v>webservice/rest:use</v>
      </c>
      <c r="G871" t="s">
        <v>731</v>
      </c>
    </row>
    <row r="872" spans="1:7">
      <c r="A872" t="s">
        <v>870</v>
      </c>
      <c r="D872" t="str">
        <f t="shared" si="47"/>
        <v>.</v>
      </c>
      <c r="F872" t="str">
        <f t="shared" si="46"/>
        <v>webservice/soap:use</v>
      </c>
      <c r="G872" t="s">
        <v>731</v>
      </c>
    </row>
    <row r="873" spans="1:7">
      <c r="A873" t="s">
        <v>149</v>
      </c>
      <c r="D873" t="str">
        <f t="shared" si="47"/>
        <v>.</v>
      </c>
      <c r="F873" t="str">
        <f t="shared" si="46"/>
        <v>webservice/xmlrpc:use</v>
      </c>
      <c r="G873" t="s">
        <v>733</v>
      </c>
    </row>
    <row r="874" spans="1:7">
      <c r="G874" t="s">
        <v>733</v>
      </c>
    </row>
    <row r="875" spans="1:7">
      <c r="G875" t="s">
        <v>735</v>
      </c>
    </row>
    <row r="876" spans="1:7">
      <c r="G876" t="s">
        <v>735</v>
      </c>
    </row>
    <row r="877" spans="1:7">
      <c r="G877" t="s">
        <v>737</v>
      </c>
    </row>
    <row r="878" spans="1:7">
      <c r="G878" t="s">
        <v>737</v>
      </c>
    </row>
    <row r="879" spans="1:7">
      <c r="G879" t="s">
        <v>1508</v>
      </c>
    </row>
    <row r="880" spans="1:7">
      <c r="G880" t="s">
        <v>1508</v>
      </c>
    </row>
    <row r="881" spans="7:7">
      <c r="G881" t="s">
        <v>739</v>
      </c>
    </row>
    <row r="882" spans="7:7">
      <c r="G882" t="s">
        <v>739</v>
      </c>
    </row>
    <row r="883" spans="7:7">
      <c r="G883" t="s">
        <v>741</v>
      </c>
    </row>
    <row r="884" spans="7:7">
      <c r="G884" t="s">
        <v>741</v>
      </c>
    </row>
    <row r="885" spans="7:7">
      <c r="G885" t="s">
        <v>743</v>
      </c>
    </row>
    <row r="886" spans="7:7">
      <c r="G886" t="s">
        <v>743</v>
      </c>
    </row>
    <row r="887" spans="7:7">
      <c r="G887" t="s">
        <v>744</v>
      </c>
    </row>
    <row r="888" spans="7:7">
      <c r="G888" t="s">
        <v>744</v>
      </c>
    </row>
    <row r="889" spans="7:7">
      <c r="G889" t="s">
        <v>746</v>
      </c>
    </row>
    <row r="890" spans="7:7">
      <c r="G890" t="s">
        <v>746</v>
      </c>
    </row>
    <row r="891" spans="7:7">
      <c r="G891" t="s">
        <v>331</v>
      </c>
    </row>
    <row r="892" spans="7:7">
      <c r="G892" t="s">
        <v>331</v>
      </c>
    </row>
    <row r="893" spans="7:7">
      <c r="G893" t="s">
        <v>748</v>
      </c>
    </row>
    <row r="894" spans="7:7">
      <c r="G894" t="s">
        <v>748</v>
      </c>
    </row>
    <row r="895" spans="7:7">
      <c r="G895" t="s">
        <v>750</v>
      </c>
    </row>
    <row r="896" spans="7:7">
      <c r="G896" t="s">
        <v>750</v>
      </c>
    </row>
    <row r="897" spans="7:7">
      <c r="G897" t="s">
        <v>752</v>
      </c>
    </row>
    <row r="898" spans="7:7">
      <c r="G898" t="s">
        <v>752</v>
      </c>
    </row>
    <row r="899" spans="7:7">
      <c r="G899" t="s">
        <v>754</v>
      </c>
    </row>
    <row r="900" spans="7:7">
      <c r="G900" t="s">
        <v>754</v>
      </c>
    </row>
    <row r="901" spans="7:7">
      <c r="G901" t="s">
        <v>756</v>
      </c>
    </row>
    <row r="902" spans="7:7">
      <c r="G902" t="s">
        <v>756</v>
      </c>
    </row>
    <row r="903" spans="7:7">
      <c r="G903" t="s">
        <v>758</v>
      </c>
    </row>
    <row r="904" spans="7:7">
      <c r="G904" t="s">
        <v>758</v>
      </c>
    </row>
    <row r="905" spans="7:7">
      <c r="G905" t="s">
        <v>760</v>
      </c>
    </row>
    <row r="906" spans="7:7">
      <c r="G906" t="s">
        <v>760</v>
      </c>
    </row>
    <row r="907" spans="7:7">
      <c r="G907" t="s">
        <v>762</v>
      </c>
    </row>
    <row r="908" spans="7:7">
      <c r="G908" t="s">
        <v>762</v>
      </c>
    </row>
    <row r="909" spans="7:7">
      <c r="G909" t="s">
        <v>764</v>
      </c>
    </row>
    <row r="910" spans="7:7">
      <c r="G910" t="s">
        <v>764</v>
      </c>
    </row>
    <row r="911" spans="7:7">
      <c r="G911" t="s">
        <v>766</v>
      </c>
    </row>
    <row r="912" spans="7:7">
      <c r="G912" t="s">
        <v>766</v>
      </c>
    </row>
    <row r="913" spans="7:7">
      <c r="G913" t="s">
        <v>768</v>
      </c>
    </row>
    <row r="914" spans="7:7">
      <c r="G914" t="s">
        <v>768</v>
      </c>
    </row>
    <row r="915" spans="7:7">
      <c r="G915" t="s">
        <v>333</v>
      </c>
    </row>
    <row r="916" spans="7:7">
      <c r="G916" t="s">
        <v>333</v>
      </c>
    </row>
    <row r="917" spans="7:7">
      <c r="G917" t="s">
        <v>335</v>
      </c>
    </row>
    <row r="918" spans="7:7">
      <c r="G918" t="s">
        <v>335</v>
      </c>
    </row>
    <row r="919" spans="7:7">
      <c r="G919" t="s">
        <v>770</v>
      </c>
    </row>
    <row r="920" spans="7:7">
      <c r="G920" t="s">
        <v>770</v>
      </c>
    </row>
    <row r="921" spans="7:7">
      <c r="G921" t="s">
        <v>772</v>
      </c>
    </row>
    <row r="922" spans="7:7">
      <c r="G922" t="s">
        <v>772</v>
      </c>
    </row>
    <row r="923" spans="7:7">
      <c r="G923" t="s">
        <v>774</v>
      </c>
    </row>
    <row r="924" spans="7:7">
      <c r="G924" t="s">
        <v>774</v>
      </c>
    </row>
    <row r="925" spans="7:7">
      <c r="G925" t="s">
        <v>776</v>
      </c>
    </row>
    <row r="926" spans="7:7">
      <c r="G926" t="s">
        <v>776</v>
      </c>
    </row>
    <row r="927" spans="7:7">
      <c r="G927" t="s">
        <v>337</v>
      </c>
    </row>
    <row r="928" spans="7:7">
      <c r="G928" t="s">
        <v>337</v>
      </c>
    </row>
    <row r="929" spans="7:7">
      <c r="G929" t="s">
        <v>99</v>
      </c>
    </row>
    <row r="930" spans="7:7">
      <c r="G930" t="s">
        <v>99</v>
      </c>
    </row>
    <row r="931" spans="7:7">
      <c r="G931" t="s">
        <v>778</v>
      </c>
    </row>
    <row r="932" spans="7:7">
      <c r="G932" t="s">
        <v>778</v>
      </c>
    </row>
    <row r="933" spans="7:7">
      <c r="G933" t="s">
        <v>780</v>
      </c>
    </row>
    <row r="934" spans="7:7">
      <c r="G934" t="s">
        <v>780</v>
      </c>
    </row>
    <row r="935" spans="7:7">
      <c r="G935" t="s">
        <v>101</v>
      </c>
    </row>
    <row r="936" spans="7:7">
      <c r="G936" t="s">
        <v>101</v>
      </c>
    </row>
    <row r="937" spans="7:7">
      <c r="G937" t="s">
        <v>782</v>
      </c>
    </row>
    <row r="938" spans="7:7">
      <c r="G938" t="s">
        <v>782</v>
      </c>
    </row>
    <row r="939" spans="7:7">
      <c r="G939" t="s">
        <v>339</v>
      </c>
    </row>
    <row r="940" spans="7:7">
      <c r="G940" t="s">
        <v>339</v>
      </c>
    </row>
    <row r="941" spans="7:7">
      <c r="G941" t="s">
        <v>784</v>
      </c>
    </row>
    <row r="942" spans="7:7">
      <c r="G942" t="s">
        <v>784</v>
      </c>
    </row>
    <row r="943" spans="7:7">
      <c r="G943" t="s">
        <v>786</v>
      </c>
    </row>
    <row r="944" spans="7:7">
      <c r="G944" t="s">
        <v>786</v>
      </c>
    </row>
    <row r="945" spans="7:7">
      <c r="G945" t="s">
        <v>788</v>
      </c>
    </row>
    <row r="946" spans="7:7">
      <c r="G946" t="s">
        <v>788</v>
      </c>
    </row>
    <row r="947" spans="7:7">
      <c r="G947" t="s">
        <v>790</v>
      </c>
    </row>
    <row r="948" spans="7:7">
      <c r="G948" t="s">
        <v>790</v>
      </c>
    </row>
    <row r="949" spans="7:7">
      <c r="G949" t="s">
        <v>792</v>
      </c>
    </row>
    <row r="950" spans="7:7">
      <c r="G950" t="s">
        <v>792</v>
      </c>
    </row>
    <row r="951" spans="7:7">
      <c r="G951" t="s">
        <v>794</v>
      </c>
    </row>
    <row r="952" spans="7:7">
      <c r="G952" t="s">
        <v>794</v>
      </c>
    </row>
    <row r="953" spans="7:7">
      <c r="G953" t="s">
        <v>796</v>
      </c>
    </row>
    <row r="954" spans="7:7">
      <c r="G954" t="s">
        <v>796</v>
      </c>
    </row>
    <row r="955" spans="7:7">
      <c r="G955" t="s">
        <v>798</v>
      </c>
    </row>
    <row r="956" spans="7:7">
      <c r="G956" t="s">
        <v>798</v>
      </c>
    </row>
    <row r="957" spans="7:7">
      <c r="G957" t="s">
        <v>800</v>
      </c>
    </row>
    <row r="958" spans="7:7">
      <c r="G958" t="s">
        <v>800</v>
      </c>
    </row>
    <row r="959" spans="7:7">
      <c r="G959" t="s">
        <v>802</v>
      </c>
    </row>
    <row r="960" spans="7:7">
      <c r="G960" t="s">
        <v>802</v>
      </c>
    </row>
    <row r="961" spans="7:7">
      <c r="G961" t="s">
        <v>141</v>
      </c>
    </row>
    <row r="962" spans="7:7">
      <c r="G962" t="s">
        <v>141</v>
      </c>
    </row>
    <row r="963" spans="7:7">
      <c r="G963" t="s">
        <v>143</v>
      </c>
    </row>
    <row r="964" spans="7:7">
      <c r="G964" t="s">
        <v>143</v>
      </c>
    </row>
    <row r="965" spans="7:7">
      <c r="G965" t="s">
        <v>145</v>
      </c>
    </row>
    <row r="966" spans="7:7">
      <c r="G966" t="s">
        <v>145</v>
      </c>
    </row>
    <row r="967" spans="7:7">
      <c r="G967" t="s">
        <v>147</v>
      </c>
    </row>
    <row r="968" spans="7:7">
      <c r="G968" t="s">
        <v>147</v>
      </c>
    </row>
    <row r="969" spans="7:7">
      <c r="G969" t="s">
        <v>804</v>
      </c>
    </row>
    <row r="970" spans="7:7">
      <c r="G970" t="s">
        <v>804</v>
      </c>
    </row>
    <row r="971" spans="7:7">
      <c r="G971" t="s">
        <v>341</v>
      </c>
    </row>
    <row r="972" spans="7:7">
      <c r="G972" t="s">
        <v>341</v>
      </c>
    </row>
    <row r="973" spans="7:7">
      <c r="G973" t="s">
        <v>806</v>
      </c>
    </row>
    <row r="974" spans="7:7">
      <c r="G974" t="s">
        <v>806</v>
      </c>
    </row>
    <row r="975" spans="7:7">
      <c r="G975" t="s">
        <v>808</v>
      </c>
    </row>
    <row r="976" spans="7:7">
      <c r="G976" t="s">
        <v>808</v>
      </c>
    </row>
    <row r="977" spans="7:7">
      <c r="G977" t="s">
        <v>810</v>
      </c>
    </row>
    <row r="978" spans="7:7">
      <c r="G978" t="s">
        <v>810</v>
      </c>
    </row>
    <row r="979" spans="7:7">
      <c r="G979" t="s">
        <v>812</v>
      </c>
    </row>
    <row r="980" spans="7:7">
      <c r="G980" t="s">
        <v>812</v>
      </c>
    </row>
    <row r="981" spans="7:7">
      <c r="G981" t="s">
        <v>814</v>
      </c>
    </row>
    <row r="982" spans="7:7">
      <c r="G982" t="s">
        <v>814</v>
      </c>
    </row>
    <row r="983" spans="7:7">
      <c r="G983" t="s">
        <v>816</v>
      </c>
    </row>
    <row r="984" spans="7:7">
      <c r="G984" t="s">
        <v>816</v>
      </c>
    </row>
    <row r="985" spans="7:7">
      <c r="G985" t="s">
        <v>818</v>
      </c>
    </row>
    <row r="986" spans="7:7">
      <c r="G986" t="s">
        <v>818</v>
      </c>
    </row>
    <row r="987" spans="7:7">
      <c r="G987" t="s">
        <v>820</v>
      </c>
    </row>
    <row r="988" spans="7:7">
      <c r="G988" t="s">
        <v>820</v>
      </c>
    </row>
    <row r="989" spans="7:7">
      <c r="G989" t="s">
        <v>822</v>
      </c>
    </row>
    <row r="990" spans="7:7">
      <c r="G990" t="s">
        <v>822</v>
      </c>
    </row>
    <row r="991" spans="7:7">
      <c r="G991" t="s">
        <v>824</v>
      </c>
    </row>
    <row r="992" spans="7:7">
      <c r="G992" t="s">
        <v>824</v>
      </c>
    </row>
    <row r="993" spans="7:7">
      <c r="G993" t="s">
        <v>343</v>
      </c>
    </row>
    <row r="994" spans="7:7">
      <c r="G994" t="s">
        <v>343</v>
      </c>
    </row>
    <row r="995" spans="7:7">
      <c r="G995" t="s">
        <v>826</v>
      </c>
    </row>
    <row r="996" spans="7:7">
      <c r="G996" t="s">
        <v>826</v>
      </c>
    </row>
    <row r="997" spans="7:7">
      <c r="G997" t="s">
        <v>828</v>
      </c>
    </row>
    <row r="998" spans="7:7">
      <c r="G998" t="s">
        <v>828</v>
      </c>
    </row>
    <row r="999" spans="7:7">
      <c r="G999" t="s">
        <v>830</v>
      </c>
    </row>
    <row r="1000" spans="7:7">
      <c r="G1000" t="s">
        <v>830</v>
      </c>
    </row>
    <row r="1001" spans="7:7">
      <c r="G1001" t="s">
        <v>832</v>
      </c>
    </row>
    <row r="1002" spans="7:7">
      <c r="G1002" t="s">
        <v>832</v>
      </c>
    </row>
    <row r="1003" spans="7:7">
      <c r="G1003" t="s">
        <v>834</v>
      </c>
    </row>
    <row r="1004" spans="7:7">
      <c r="G1004" t="s">
        <v>834</v>
      </c>
    </row>
    <row r="1005" spans="7:7">
      <c r="G1005" t="s">
        <v>345</v>
      </c>
    </row>
    <row r="1006" spans="7:7">
      <c r="G1006" t="s">
        <v>345</v>
      </c>
    </row>
    <row r="1007" spans="7:7">
      <c r="G1007" t="s">
        <v>347</v>
      </c>
    </row>
    <row r="1008" spans="7:7">
      <c r="G1008" t="s">
        <v>347</v>
      </c>
    </row>
    <row r="1009" spans="7:7">
      <c r="G1009" t="s">
        <v>349</v>
      </c>
    </row>
    <row r="1010" spans="7:7">
      <c r="G1010" t="s">
        <v>349</v>
      </c>
    </row>
    <row r="1011" spans="7:7">
      <c r="G1011" t="s">
        <v>1698</v>
      </c>
    </row>
    <row r="1012" spans="7:7">
      <c r="G1012" t="s">
        <v>1698</v>
      </c>
    </row>
    <row r="1013" spans="7:7">
      <c r="G1013" t="s">
        <v>103</v>
      </c>
    </row>
    <row r="1014" spans="7:7">
      <c r="G1014" t="s">
        <v>103</v>
      </c>
    </row>
    <row r="1015" spans="7:7">
      <c r="G1015" t="s">
        <v>351</v>
      </c>
    </row>
    <row r="1016" spans="7:7">
      <c r="G1016" t="s">
        <v>351</v>
      </c>
    </row>
    <row r="1017" spans="7:7">
      <c r="G1017" t="s">
        <v>105</v>
      </c>
    </row>
    <row r="1018" spans="7:7">
      <c r="G1018" t="s">
        <v>105</v>
      </c>
    </row>
    <row r="1019" spans="7:7">
      <c r="G1019" t="s">
        <v>836</v>
      </c>
    </row>
    <row r="1020" spans="7:7">
      <c r="G1020" t="s">
        <v>836</v>
      </c>
    </row>
    <row r="1021" spans="7:7">
      <c r="G1021" t="s">
        <v>353</v>
      </c>
    </row>
    <row r="1022" spans="7:7">
      <c r="G1022" t="s">
        <v>353</v>
      </c>
    </row>
    <row r="1023" spans="7:7">
      <c r="G1023" t="s">
        <v>838</v>
      </c>
    </row>
    <row r="1024" spans="7:7">
      <c r="G1024" t="s">
        <v>838</v>
      </c>
    </row>
    <row r="1025" spans="7:7">
      <c r="G1025" t="s">
        <v>355</v>
      </c>
    </row>
    <row r="1026" spans="7:7">
      <c r="G1026" t="s">
        <v>355</v>
      </c>
    </row>
    <row r="1027" spans="7:7">
      <c r="G1027" t="s">
        <v>840</v>
      </c>
    </row>
    <row r="1028" spans="7:7">
      <c r="G1028" t="s">
        <v>840</v>
      </c>
    </row>
    <row r="1029" spans="7:7">
      <c r="G1029" t="s">
        <v>842</v>
      </c>
    </row>
    <row r="1030" spans="7:7">
      <c r="G1030" t="s">
        <v>842</v>
      </c>
    </row>
    <row r="1031" spans="7:7">
      <c r="G1031" t="s">
        <v>107</v>
      </c>
    </row>
    <row r="1032" spans="7:7">
      <c r="G1032" t="s">
        <v>107</v>
      </c>
    </row>
    <row r="1033" spans="7:7">
      <c r="G1033" t="s">
        <v>109</v>
      </c>
    </row>
    <row r="1034" spans="7:7">
      <c r="G1034" t="s">
        <v>109</v>
      </c>
    </row>
    <row r="1035" spans="7:7">
      <c r="G1035" t="s">
        <v>357</v>
      </c>
    </row>
    <row r="1036" spans="7:7">
      <c r="G1036" t="s">
        <v>357</v>
      </c>
    </row>
    <row r="1037" spans="7:7">
      <c r="G1037" t="s">
        <v>111</v>
      </c>
    </row>
    <row r="1038" spans="7:7">
      <c r="G1038" t="s">
        <v>111</v>
      </c>
    </row>
    <row r="1039" spans="7:7">
      <c r="G1039" t="s">
        <v>359</v>
      </c>
    </row>
    <row r="1040" spans="7:7">
      <c r="G1040" t="s">
        <v>359</v>
      </c>
    </row>
    <row r="1041" spans="7:7">
      <c r="G1041" t="s">
        <v>113</v>
      </c>
    </row>
    <row r="1042" spans="7:7">
      <c r="G1042" t="s">
        <v>113</v>
      </c>
    </row>
    <row r="1043" spans="7:7">
      <c r="G1043" t="s">
        <v>361</v>
      </c>
    </row>
    <row r="1044" spans="7:7">
      <c r="G1044" t="s">
        <v>361</v>
      </c>
    </row>
    <row r="1045" spans="7:7">
      <c r="G1045" t="s">
        <v>363</v>
      </c>
    </row>
    <row r="1046" spans="7:7">
      <c r="G1046" t="s">
        <v>363</v>
      </c>
    </row>
    <row r="1047" spans="7:7">
      <c r="G1047" t="s">
        <v>391</v>
      </c>
    </row>
    <row r="1048" spans="7:7">
      <c r="G1048" t="s">
        <v>391</v>
      </c>
    </row>
    <row r="1049" spans="7:7">
      <c r="G1049" t="s">
        <v>115</v>
      </c>
    </row>
    <row r="1050" spans="7:7">
      <c r="G1050" t="s">
        <v>115</v>
      </c>
    </row>
    <row r="1051" spans="7:7">
      <c r="G1051" t="s">
        <v>117</v>
      </c>
    </row>
    <row r="1052" spans="7:7">
      <c r="G1052" t="s">
        <v>117</v>
      </c>
    </row>
    <row r="1053" spans="7:7">
      <c r="G1053" t="s">
        <v>393</v>
      </c>
    </row>
    <row r="1054" spans="7:7">
      <c r="G1054" t="s">
        <v>393</v>
      </c>
    </row>
    <row r="1055" spans="7:7">
      <c r="G1055" t="s">
        <v>365</v>
      </c>
    </row>
    <row r="1056" spans="7:7">
      <c r="G1056" t="s">
        <v>365</v>
      </c>
    </row>
    <row r="1057" spans="7:7">
      <c r="G1057" t="s">
        <v>844</v>
      </c>
    </row>
    <row r="1058" spans="7:7">
      <c r="G1058" t="s">
        <v>844</v>
      </c>
    </row>
    <row r="1059" spans="7:7">
      <c r="G1059" t="s">
        <v>395</v>
      </c>
    </row>
    <row r="1060" spans="7:7">
      <c r="G1060" t="s">
        <v>395</v>
      </c>
    </row>
    <row r="1061" spans="7:7">
      <c r="G1061" t="s">
        <v>119</v>
      </c>
    </row>
    <row r="1062" spans="7:7">
      <c r="G1062" t="s">
        <v>119</v>
      </c>
    </row>
    <row r="1063" spans="7:7">
      <c r="G1063" t="s">
        <v>121</v>
      </c>
    </row>
    <row r="1064" spans="7:7">
      <c r="G1064" t="s">
        <v>121</v>
      </c>
    </row>
    <row r="1065" spans="7:7">
      <c r="G1065" t="s">
        <v>367</v>
      </c>
    </row>
    <row r="1066" spans="7:7">
      <c r="G1066" t="s">
        <v>367</v>
      </c>
    </row>
    <row r="1067" spans="7:7">
      <c r="G1067" t="s">
        <v>397</v>
      </c>
    </row>
    <row r="1068" spans="7:7">
      <c r="G1068" t="s">
        <v>397</v>
      </c>
    </row>
    <row r="1069" spans="7:7">
      <c r="G1069" t="s">
        <v>399</v>
      </c>
    </row>
    <row r="1070" spans="7:7">
      <c r="G1070" t="s">
        <v>399</v>
      </c>
    </row>
    <row r="1071" spans="7:7">
      <c r="G1071" t="s">
        <v>369</v>
      </c>
    </row>
    <row r="1072" spans="7:7">
      <c r="G1072" t="s">
        <v>369</v>
      </c>
    </row>
    <row r="1073" spans="7:7">
      <c r="G1073" t="s">
        <v>401</v>
      </c>
    </row>
    <row r="1074" spans="7:7">
      <c r="G1074" t="s">
        <v>401</v>
      </c>
    </row>
    <row r="1075" spans="7:7">
      <c r="G1075" t="s">
        <v>846</v>
      </c>
    </row>
    <row r="1076" spans="7:7">
      <c r="G1076" t="s">
        <v>846</v>
      </c>
    </row>
    <row r="1077" spans="7:7">
      <c r="G1077" t="s">
        <v>848</v>
      </c>
    </row>
    <row r="1078" spans="7:7">
      <c r="G1078" t="s">
        <v>848</v>
      </c>
    </row>
    <row r="1079" spans="7:7">
      <c r="G1079" t="s">
        <v>403</v>
      </c>
    </row>
    <row r="1080" spans="7:7">
      <c r="G1080" t="s">
        <v>403</v>
      </c>
    </row>
    <row r="1081" spans="7:7">
      <c r="G1081" t="s">
        <v>123</v>
      </c>
    </row>
    <row r="1082" spans="7:7">
      <c r="G1082" t="s">
        <v>123</v>
      </c>
    </row>
    <row r="1083" spans="7:7">
      <c r="G1083" t="s">
        <v>371</v>
      </c>
    </row>
    <row r="1084" spans="7:7">
      <c r="G1084" t="s">
        <v>371</v>
      </c>
    </row>
    <row r="1085" spans="7:7">
      <c r="G1085" t="s">
        <v>1510</v>
      </c>
    </row>
    <row r="1086" spans="7:7">
      <c r="G1086" t="s">
        <v>1510</v>
      </c>
    </row>
    <row r="1087" spans="7:7">
      <c r="G1087" t="s">
        <v>1512</v>
      </c>
    </row>
    <row r="1088" spans="7:7">
      <c r="G1088" t="s">
        <v>1512</v>
      </c>
    </row>
    <row r="1089" spans="7:7">
      <c r="G1089" t="s">
        <v>1514</v>
      </c>
    </row>
    <row r="1090" spans="7:7">
      <c r="G1090" t="s">
        <v>1514</v>
      </c>
    </row>
    <row r="1091" spans="7:7">
      <c r="G1091" t="s">
        <v>850</v>
      </c>
    </row>
    <row r="1092" spans="7:7">
      <c r="G1092" t="s">
        <v>850</v>
      </c>
    </row>
    <row r="1093" spans="7:7">
      <c r="G1093" t="s">
        <v>373</v>
      </c>
    </row>
    <row r="1094" spans="7:7">
      <c r="G1094" t="s">
        <v>373</v>
      </c>
    </row>
    <row r="1095" spans="7:7">
      <c r="G1095" t="s">
        <v>852</v>
      </c>
    </row>
    <row r="1096" spans="7:7">
      <c r="G1096" t="s">
        <v>852</v>
      </c>
    </row>
    <row r="1097" spans="7:7">
      <c r="G1097" t="s">
        <v>854</v>
      </c>
    </row>
    <row r="1098" spans="7:7">
      <c r="G1098" t="s">
        <v>854</v>
      </c>
    </row>
    <row r="1099" spans="7:7">
      <c r="G1099" t="s">
        <v>856</v>
      </c>
    </row>
    <row r="1100" spans="7:7">
      <c r="G1100" t="s">
        <v>856</v>
      </c>
    </row>
    <row r="1101" spans="7:7">
      <c r="G1101" t="s">
        <v>858</v>
      </c>
    </row>
    <row r="1102" spans="7:7">
      <c r="G1102" t="s">
        <v>858</v>
      </c>
    </row>
    <row r="1103" spans="7:7">
      <c r="G1103" t="s">
        <v>860</v>
      </c>
    </row>
    <row r="1104" spans="7:7">
      <c r="G1104" t="s">
        <v>860</v>
      </c>
    </row>
    <row r="1105" spans="7:7">
      <c r="G1105" t="s">
        <v>377</v>
      </c>
    </row>
    <row r="1106" spans="7:7">
      <c r="G1106" t="s">
        <v>377</v>
      </c>
    </row>
    <row r="1107" spans="7:7">
      <c r="G1107" t="s">
        <v>862</v>
      </c>
    </row>
    <row r="1108" spans="7:7">
      <c r="G1108" t="s">
        <v>862</v>
      </c>
    </row>
    <row r="1109" spans="7:7">
      <c r="G1109" t="s">
        <v>379</v>
      </c>
    </row>
    <row r="1110" spans="7:7">
      <c r="G1110" t="s">
        <v>379</v>
      </c>
    </row>
    <row r="1111" spans="7:7">
      <c r="G1111" t="s">
        <v>381</v>
      </c>
    </row>
    <row r="1112" spans="7:7">
      <c r="G1112" t="s">
        <v>381</v>
      </c>
    </row>
    <row r="1113" spans="7:7">
      <c r="G1113" t="s">
        <v>864</v>
      </c>
    </row>
    <row r="1114" spans="7:7">
      <c r="G1114" t="s">
        <v>864</v>
      </c>
    </row>
    <row r="1115" spans="7:7">
      <c r="G1115" t="s">
        <v>176</v>
      </c>
    </row>
    <row r="1116" spans="7:7">
      <c r="G1116" t="s">
        <v>176</v>
      </c>
    </row>
    <row r="1117" spans="7:7">
      <c r="G1117" t="s">
        <v>178</v>
      </c>
    </row>
    <row r="1118" spans="7:7">
      <c r="G1118" t="s">
        <v>178</v>
      </c>
    </row>
    <row r="1119" spans="7:7">
      <c r="G1119" t="s">
        <v>180</v>
      </c>
    </row>
    <row r="1120" spans="7:7">
      <c r="G1120" t="s">
        <v>180</v>
      </c>
    </row>
    <row r="1121" spans="7:7">
      <c r="G1121" t="s">
        <v>184</v>
      </c>
    </row>
    <row r="1122" spans="7:7">
      <c r="G1122" t="s">
        <v>184</v>
      </c>
    </row>
    <row r="1123" spans="7:7">
      <c r="G1123" t="s">
        <v>186</v>
      </c>
    </row>
    <row r="1124" spans="7:7">
      <c r="G1124" t="s">
        <v>186</v>
      </c>
    </row>
    <row r="1125" spans="7:7">
      <c r="G1125" t="s">
        <v>188</v>
      </c>
    </row>
    <row r="1126" spans="7:7">
      <c r="G1126" t="s">
        <v>188</v>
      </c>
    </row>
    <row r="1127" spans="7:7">
      <c r="G1127" t="s">
        <v>192</v>
      </c>
    </row>
    <row r="1128" spans="7:7">
      <c r="G1128" t="s">
        <v>192</v>
      </c>
    </row>
    <row r="1129" spans="7:7">
      <c r="G1129" t="s">
        <v>196</v>
      </c>
    </row>
    <row r="1130" spans="7:7">
      <c r="G1130" t="s">
        <v>196</v>
      </c>
    </row>
    <row r="1131" spans="7:7">
      <c r="G1131" t="s">
        <v>194</v>
      </c>
    </row>
    <row r="1132" spans="7:7">
      <c r="G1132" t="s">
        <v>194</v>
      </c>
    </row>
    <row r="1133" spans="7:7">
      <c r="G1133" t="s">
        <v>198</v>
      </c>
    </row>
    <row r="1134" spans="7:7">
      <c r="G1134" t="s">
        <v>198</v>
      </c>
    </row>
    <row r="1135" spans="7:7">
      <c r="G1135" t="s">
        <v>200</v>
      </c>
    </row>
    <row r="1136" spans="7:7">
      <c r="G1136" t="s">
        <v>200</v>
      </c>
    </row>
    <row r="1137" spans="7:7">
      <c r="G1137" t="s">
        <v>204</v>
      </c>
    </row>
    <row r="1138" spans="7:7">
      <c r="G1138" t="s">
        <v>204</v>
      </c>
    </row>
    <row r="1139" spans="7:7">
      <c r="G1139" t="s">
        <v>206</v>
      </c>
    </row>
    <row r="1140" spans="7:7">
      <c r="G1140" t="s">
        <v>206</v>
      </c>
    </row>
    <row r="1141" spans="7:7">
      <c r="G1141" t="s">
        <v>210</v>
      </c>
    </row>
    <row r="1142" spans="7:7">
      <c r="G1142" t="s">
        <v>210</v>
      </c>
    </row>
    <row r="1143" spans="7:7">
      <c r="G1143" t="s">
        <v>212</v>
      </c>
    </row>
    <row r="1144" spans="7:7">
      <c r="G1144" t="s">
        <v>212</v>
      </c>
    </row>
    <row r="1145" spans="7:7">
      <c r="G1145" t="s">
        <v>214</v>
      </c>
    </row>
    <row r="1146" spans="7:7">
      <c r="G1146" t="s">
        <v>214</v>
      </c>
    </row>
    <row r="1147" spans="7:7">
      <c r="G1147" t="s">
        <v>216</v>
      </c>
    </row>
    <row r="1148" spans="7:7">
      <c r="G1148" t="s">
        <v>216</v>
      </c>
    </row>
    <row r="1149" spans="7:7">
      <c r="G1149" t="s">
        <v>218</v>
      </c>
    </row>
    <row r="1150" spans="7:7">
      <c r="G1150" t="s">
        <v>218</v>
      </c>
    </row>
    <row r="1151" spans="7:7">
      <c r="G1151" t="s">
        <v>220</v>
      </c>
    </row>
    <row r="1152" spans="7:7">
      <c r="G1152" t="s">
        <v>220</v>
      </c>
    </row>
    <row r="1153" spans="7:7">
      <c r="G1153" t="s">
        <v>222</v>
      </c>
    </row>
    <row r="1154" spans="7:7">
      <c r="G1154" t="s">
        <v>222</v>
      </c>
    </row>
    <row r="1155" spans="7:7">
      <c r="G1155" t="s">
        <v>224</v>
      </c>
    </row>
    <row r="1156" spans="7:7">
      <c r="G1156" t="s">
        <v>224</v>
      </c>
    </row>
    <row r="1157" spans="7:7">
      <c r="G1157" t="s">
        <v>226</v>
      </c>
    </row>
    <row r="1158" spans="7:7">
      <c r="G1158" t="s">
        <v>226</v>
      </c>
    </row>
    <row r="1159" spans="7:7">
      <c r="G1159" t="s">
        <v>383</v>
      </c>
    </row>
    <row r="1160" spans="7:7">
      <c r="G1160" t="s">
        <v>383</v>
      </c>
    </row>
    <row r="1161" spans="7:7">
      <c r="G1161" t="s">
        <v>385</v>
      </c>
    </row>
    <row r="1162" spans="7:7">
      <c r="G1162" t="s">
        <v>385</v>
      </c>
    </row>
    <row r="1163" spans="7:7">
      <c r="G1163" t="s">
        <v>387</v>
      </c>
    </row>
    <row r="1164" spans="7:7">
      <c r="G1164" t="s">
        <v>387</v>
      </c>
    </row>
    <row r="1165" spans="7:7">
      <c r="G1165" t="s">
        <v>866</v>
      </c>
    </row>
    <row r="1166" spans="7:7">
      <c r="G1166" t="s">
        <v>866</v>
      </c>
    </row>
    <row r="1167" spans="7:7">
      <c r="G1167" t="s">
        <v>868</v>
      </c>
    </row>
    <row r="1168" spans="7:7">
      <c r="G1168" t="s">
        <v>868</v>
      </c>
    </row>
    <row r="1169" spans="7:7">
      <c r="G1169" t="s">
        <v>870</v>
      </c>
    </row>
    <row r="1170" spans="7:7">
      <c r="G1170" t="s">
        <v>870</v>
      </c>
    </row>
    <row r="1171" spans="7:7">
      <c r="G1171" t="s">
        <v>149</v>
      </c>
    </row>
    <row r="1172" spans="7:7">
      <c r="G1172" t="s">
        <v>149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87"/>
  <sheetViews>
    <sheetView workbookViewId="0"/>
  </sheetViews>
  <sheetFormatPr baseColWidth="10" defaultRowHeight="15" x14ac:dyDescent="0"/>
  <cols>
    <col min="1" max="1" width="39.1640625" bestFit="1" customWidth="1"/>
    <col min="2" max="2" width="42.1640625" bestFit="1" customWidth="1"/>
    <col min="3" max="3" width="40" bestFit="1" customWidth="1"/>
  </cols>
  <sheetData>
    <row r="1" spans="1:3">
      <c r="A1" s="2" t="s">
        <v>1808</v>
      </c>
      <c r="B1" s="2" t="s">
        <v>1809</v>
      </c>
      <c r="C1" s="2" t="s">
        <v>1810</v>
      </c>
    </row>
    <row r="2" spans="1:3">
      <c r="A2" t="s">
        <v>1520</v>
      </c>
      <c r="B2" t="s">
        <v>415</v>
      </c>
      <c r="C2" t="s">
        <v>1771</v>
      </c>
    </row>
    <row r="3" spans="1:3">
      <c r="A3" t="s">
        <v>1522</v>
      </c>
      <c r="B3" t="s">
        <v>3</v>
      </c>
      <c r="C3" t="s">
        <v>1773</v>
      </c>
    </row>
    <row r="4" spans="1:3">
      <c r="A4" t="s">
        <v>1528</v>
      </c>
      <c r="B4" t="s">
        <v>1524</v>
      </c>
      <c r="C4" t="s">
        <v>1775</v>
      </c>
    </row>
    <row r="5" spans="1:3">
      <c r="A5" t="s">
        <v>9</v>
      </c>
      <c r="B5" t="s">
        <v>5</v>
      </c>
      <c r="C5" t="s">
        <v>1777</v>
      </c>
    </row>
    <row r="6" spans="1:3">
      <c r="A6" t="s">
        <v>1530</v>
      </c>
      <c r="B6" t="s">
        <v>1526</v>
      </c>
      <c r="C6" t="s">
        <v>1779</v>
      </c>
    </row>
    <row r="7" spans="1:3">
      <c r="A7" t="s">
        <v>1532</v>
      </c>
      <c r="B7" t="s">
        <v>7</v>
      </c>
      <c r="C7" t="s">
        <v>1780</v>
      </c>
    </row>
    <row r="8" spans="1:3">
      <c r="A8" t="s">
        <v>1534</v>
      </c>
      <c r="B8" t="s">
        <v>417</v>
      </c>
      <c r="C8" t="s">
        <v>1782</v>
      </c>
    </row>
    <row r="9" spans="1:3">
      <c r="A9" t="s">
        <v>1536</v>
      </c>
      <c r="B9" t="s">
        <v>1540</v>
      </c>
      <c r="C9" t="s">
        <v>1713</v>
      </c>
    </row>
    <row r="10" spans="1:3">
      <c r="A10" t="s">
        <v>12</v>
      </c>
      <c r="B10" t="s">
        <v>277</v>
      </c>
      <c r="C10" t="s">
        <v>1784</v>
      </c>
    </row>
    <row r="11" spans="1:3">
      <c r="A11" t="s">
        <v>1538</v>
      </c>
      <c r="B11" t="s">
        <v>1548</v>
      </c>
      <c r="C11" t="s">
        <v>1786</v>
      </c>
    </row>
    <row r="12" spans="1:3">
      <c r="A12" t="s">
        <v>14</v>
      </c>
      <c r="B12" t="s">
        <v>20</v>
      </c>
      <c r="C12" t="s">
        <v>1715</v>
      </c>
    </row>
    <row r="13" spans="1:3">
      <c r="A13" t="s">
        <v>1542</v>
      </c>
      <c r="B13" t="s">
        <v>1550</v>
      </c>
      <c r="C13" t="s">
        <v>1717</v>
      </c>
    </row>
    <row r="14" spans="1:3">
      <c r="A14" t="s">
        <v>16</v>
      </c>
      <c r="B14" t="s">
        <v>1556</v>
      </c>
      <c r="C14" t="s">
        <v>1719</v>
      </c>
    </row>
    <row r="15" spans="1:3">
      <c r="A15" t="s">
        <v>1544</v>
      </c>
      <c r="B15" t="s">
        <v>26</v>
      </c>
      <c r="C15" t="s">
        <v>1791</v>
      </c>
    </row>
    <row r="16" spans="1:3">
      <c r="A16" t="s">
        <v>18</v>
      </c>
      <c r="B16" t="s">
        <v>1558</v>
      </c>
      <c r="C16" t="s">
        <v>1722</v>
      </c>
    </row>
    <row r="17" spans="1:3">
      <c r="A17" t="s">
        <v>1546</v>
      </c>
      <c r="B17" t="s">
        <v>28</v>
      </c>
      <c r="C17" t="s">
        <v>1793</v>
      </c>
    </row>
    <row r="18" spans="1:3">
      <c r="A18" t="s">
        <v>1552</v>
      </c>
      <c r="B18" t="s">
        <v>1562</v>
      </c>
      <c r="C18" t="s">
        <v>1724</v>
      </c>
    </row>
    <row r="19" spans="1:3">
      <c r="A19" t="s">
        <v>22</v>
      </c>
      <c r="B19" t="s">
        <v>30</v>
      </c>
      <c r="C19" t="s">
        <v>1795</v>
      </c>
    </row>
    <row r="20" spans="1:3">
      <c r="A20" t="s">
        <v>1554</v>
      </c>
      <c r="B20" t="s">
        <v>419</v>
      </c>
      <c r="C20" t="s">
        <v>1797</v>
      </c>
    </row>
    <row r="21" spans="1:3">
      <c r="A21" t="s">
        <v>24</v>
      </c>
      <c r="B21" t="s">
        <v>421</v>
      </c>
      <c r="C21" t="s">
        <v>1726</v>
      </c>
    </row>
    <row r="22" spans="1:3">
      <c r="A22" t="s">
        <v>1560</v>
      </c>
      <c r="B22" t="s">
        <v>423</v>
      </c>
      <c r="C22" t="s">
        <v>1801</v>
      </c>
    </row>
    <row r="23" spans="1:3">
      <c r="A23" t="s">
        <v>1566</v>
      </c>
      <c r="B23" t="s">
        <v>425</v>
      </c>
      <c r="C23" t="s">
        <v>1729</v>
      </c>
    </row>
    <row r="24" spans="1:3">
      <c r="A24" t="s">
        <v>1568</v>
      </c>
      <c r="B24" t="s">
        <v>427</v>
      </c>
      <c r="C24" t="s">
        <v>1731</v>
      </c>
    </row>
    <row r="25" spans="1:3">
      <c r="A25" t="s">
        <v>1580</v>
      </c>
      <c r="B25" t="s">
        <v>1564</v>
      </c>
      <c r="C25" t="s">
        <v>1732</v>
      </c>
    </row>
    <row r="26" spans="1:3">
      <c r="A26" t="s">
        <v>1594</v>
      </c>
      <c r="B26" t="s">
        <v>32</v>
      </c>
      <c r="C26" t="s">
        <v>1734</v>
      </c>
    </row>
    <row r="27" spans="1:3">
      <c r="A27" t="s">
        <v>36</v>
      </c>
      <c r="B27" t="s">
        <v>1570</v>
      </c>
      <c r="C27" t="s">
        <v>1736</v>
      </c>
    </row>
    <row r="28" spans="1:3">
      <c r="A28" t="s">
        <v>1602</v>
      </c>
      <c r="B28" t="s">
        <v>34</v>
      </c>
      <c r="C28" t="s">
        <v>1738</v>
      </c>
    </row>
    <row r="29" spans="1:3">
      <c r="A29" t="s">
        <v>38</v>
      </c>
      <c r="B29" t="s">
        <v>1572</v>
      </c>
      <c r="C29" t="s">
        <v>1740</v>
      </c>
    </row>
    <row r="30" spans="1:3">
      <c r="A30" t="s">
        <v>1614</v>
      </c>
      <c r="B30" t="s">
        <v>1574</v>
      </c>
      <c r="C30" t="s">
        <v>1742</v>
      </c>
    </row>
    <row r="31" spans="1:3">
      <c r="A31" t="s">
        <v>1620</v>
      </c>
      <c r="B31" t="s">
        <v>1576</v>
      </c>
      <c r="C31" t="s">
        <v>1748</v>
      </c>
    </row>
    <row r="32" spans="1:3">
      <c r="A32" t="s">
        <v>45</v>
      </c>
      <c r="B32" t="s">
        <v>1578</v>
      </c>
      <c r="C32" t="s">
        <v>1744</v>
      </c>
    </row>
    <row r="33" spans="1:3">
      <c r="A33" t="s">
        <v>1622</v>
      </c>
      <c r="B33" t="s">
        <v>1582</v>
      </c>
      <c r="C33" t="s">
        <v>1750</v>
      </c>
    </row>
    <row r="34" spans="1:3">
      <c r="A34" t="s">
        <v>47</v>
      </c>
      <c r="B34" t="s">
        <v>1584</v>
      </c>
      <c r="C34" t="s">
        <v>1752</v>
      </c>
    </row>
    <row r="35" spans="1:3">
      <c r="A35" t="s">
        <v>1626</v>
      </c>
      <c r="B35" t="s">
        <v>1586</v>
      </c>
      <c r="C35" t="s">
        <v>1754</v>
      </c>
    </row>
    <row r="36" spans="1:3">
      <c r="A36" t="s">
        <v>49</v>
      </c>
      <c r="B36" t="s">
        <v>1588</v>
      </c>
      <c r="C36" t="s">
        <v>1756</v>
      </c>
    </row>
    <row r="37" spans="1:3">
      <c r="A37" t="s">
        <v>1640</v>
      </c>
      <c r="B37" t="s">
        <v>1590</v>
      </c>
      <c r="C37" t="s">
        <v>1746</v>
      </c>
    </row>
    <row r="38" spans="1:3">
      <c r="A38" t="s">
        <v>51</v>
      </c>
      <c r="B38" t="s">
        <v>1592</v>
      </c>
      <c r="C38" t="s">
        <v>1759</v>
      </c>
    </row>
    <row r="39" spans="1:3">
      <c r="A39" t="s">
        <v>1642</v>
      </c>
      <c r="B39" t="s">
        <v>1596</v>
      </c>
      <c r="C39" t="s">
        <v>1761</v>
      </c>
    </row>
    <row r="40" spans="1:3">
      <c r="A40" t="s">
        <v>53</v>
      </c>
      <c r="B40" t="s">
        <v>1598</v>
      </c>
      <c r="C40" t="s">
        <v>1763</v>
      </c>
    </row>
    <row r="41" spans="1:3">
      <c r="A41" t="s">
        <v>1644</v>
      </c>
      <c r="B41" t="s">
        <v>1600</v>
      </c>
      <c r="C41" t="s">
        <v>1764</v>
      </c>
    </row>
    <row r="42" spans="1:3">
      <c r="A42" t="s">
        <v>55</v>
      </c>
      <c r="B42" t="s">
        <v>228</v>
      </c>
      <c r="C42" t="s">
        <v>1765</v>
      </c>
    </row>
    <row r="43" spans="1:3">
      <c r="A43" t="s">
        <v>1646</v>
      </c>
      <c r="B43" t="s">
        <v>1604</v>
      </c>
      <c r="C43" t="s">
        <v>1767</v>
      </c>
    </row>
    <row r="44" spans="1:3">
      <c r="A44" t="s">
        <v>57</v>
      </c>
      <c r="B44" t="s">
        <v>230</v>
      </c>
      <c r="C44" t="s">
        <v>1768</v>
      </c>
    </row>
    <row r="45" spans="1:3">
      <c r="A45" t="s">
        <v>244</v>
      </c>
      <c r="B45" t="s">
        <v>232</v>
      </c>
      <c r="C45" t="s">
        <v>1769</v>
      </c>
    </row>
    <row r="46" spans="1:3">
      <c r="A46" t="s">
        <v>1648</v>
      </c>
      <c r="B46" t="s">
        <v>279</v>
      </c>
    </row>
    <row r="47" spans="1:3">
      <c r="A47" t="s">
        <v>1652</v>
      </c>
      <c r="B47" t="s">
        <v>234</v>
      </c>
    </row>
    <row r="48" spans="1:3">
      <c r="A48" t="s">
        <v>59</v>
      </c>
      <c r="B48" t="s">
        <v>1606</v>
      </c>
    </row>
    <row r="49" spans="1:2">
      <c r="A49" t="s">
        <v>1656</v>
      </c>
      <c r="B49" t="s">
        <v>236</v>
      </c>
    </row>
    <row r="50" spans="1:2">
      <c r="A50" t="s">
        <v>433</v>
      </c>
      <c r="B50" t="s">
        <v>1608</v>
      </c>
    </row>
    <row r="51" spans="1:2">
      <c r="A51" t="s">
        <v>435</v>
      </c>
      <c r="B51" t="s">
        <v>40</v>
      </c>
    </row>
    <row r="52" spans="1:2">
      <c r="A52" t="s">
        <v>437</v>
      </c>
      <c r="B52" t="s">
        <v>43</v>
      </c>
    </row>
    <row r="53" spans="1:2">
      <c r="A53" t="s">
        <v>439</v>
      </c>
      <c r="B53" t="s">
        <v>429</v>
      </c>
    </row>
    <row r="54" spans="1:2">
      <c r="A54" t="s">
        <v>441</v>
      </c>
      <c r="B54" t="s">
        <v>238</v>
      </c>
    </row>
    <row r="55" spans="1:2">
      <c r="A55" t="s">
        <v>61</v>
      </c>
      <c r="B55" t="s">
        <v>240</v>
      </c>
    </row>
    <row r="56" spans="1:2">
      <c r="A56" t="s">
        <v>1660</v>
      </c>
      <c r="B56" t="s">
        <v>1610</v>
      </c>
    </row>
    <row r="57" spans="1:2">
      <c r="A57" t="s">
        <v>1662</v>
      </c>
      <c r="B57" t="s">
        <v>242</v>
      </c>
    </row>
    <row r="58" spans="1:2">
      <c r="A58" t="s">
        <v>1664</v>
      </c>
      <c r="B58" t="s">
        <v>1612</v>
      </c>
    </row>
    <row r="59" spans="1:2">
      <c r="A59" t="s">
        <v>1666</v>
      </c>
      <c r="B59" t="s">
        <v>1616</v>
      </c>
    </row>
    <row r="60" spans="1:2">
      <c r="A60" t="s">
        <v>1668</v>
      </c>
      <c r="B60" t="s">
        <v>1618</v>
      </c>
    </row>
    <row r="61" spans="1:2">
      <c r="A61" t="s">
        <v>65</v>
      </c>
      <c r="B61" t="s">
        <v>1624</v>
      </c>
    </row>
    <row r="62" spans="1:2">
      <c r="A62" t="s">
        <v>1670</v>
      </c>
      <c r="B62" t="s">
        <v>127</v>
      </c>
    </row>
    <row r="63" spans="1:2">
      <c r="A63" t="s">
        <v>1672</v>
      </c>
      <c r="B63" t="s">
        <v>1628</v>
      </c>
    </row>
    <row r="64" spans="1:2">
      <c r="A64" t="s">
        <v>1674</v>
      </c>
      <c r="B64" t="s">
        <v>1630</v>
      </c>
    </row>
    <row r="65" spans="1:2">
      <c r="A65" t="s">
        <v>1676</v>
      </c>
      <c r="B65" t="s">
        <v>281</v>
      </c>
    </row>
    <row r="66" spans="1:2">
      <c r="A66" t="s">
        <v>67</v>
      </c>
      <c r="B66" t="s">
        <v>283</v>
      </c>
    </row>
    <row r="67" spans="1:2">
      <c r="A67" t="s">
        <v>1684</v>
      </c>
      <c r="B67" t="s">
        <v>285</v>
      </c>
    </row>
    <row r="68" spans="1:2">
      <c r="A68" t="s">
        <v>1688</v>
      </c>
      <c r="B68" t="s">
        <v>1632</v>
      </c>
    </row>
    <row r="69" spans="1:2">
      <c r="A69" t="s">
        <v>1692</v>
      </c>
      <c r="B69" t="s">
        <v>287</v>
      </c>
    </row>
    <row r="70" spans="1:2">
      <c r="A70" t="s">
        <v>1694</v>
      </c>
      <c r="B70" t="s">
        <v>289</v>
      </c>
    </row>
    <row r="71" spans="1:2">
      <c r="A71" t="s">
        <v>1690</v>
      </c>
      <c r="B71" t="s">
        <v>1634</v>
      </c>
    </row>
    <row r="72" spans="1:2">
      <c r="A72" t="s">
        <v>73</v>
      </c>
      <c r="B72" t="s">
        <v>1636</v>
      </c>
    </row>
    <row r="73" spans="1:2">
      <c r="A73" t="s">
        <v>872</v>
      </c>
      <c r="B73" t="s">
        <v>1638</v>
      </c>
    </row>
    <row r="74" spans="1:2">
      <c r="A74" t="s">
        <v>874</v>
      </c>
      <c r="B74" t="s">
        <v>291</v>
      </c>
    </row>
    <row r="75" spans="1:2">
      <c r="A75" t="s">
        <v>876</v>
      </c>
      <c r="B75" t="s">
        <v>293</v>
      </c>
    </row>
    <row r="76" spans="1:2">
      <c r="A76" t="s">
        <v>313</v>
      </c>
      <c r="B76" t="s">
        <v>295</v>
      </c>
    </row>
    <row r="77" spans="1:2">
      <c r="A77" t="s">
        <v>451</v>
      </c>
      <c r="B77" t="s">
        <v>297</v>
      </c>
    </row>
    <row r="78" spans="1:2">
      <c r="A78" t="s">
        <v>453</v>
      </c>
      <c r="B78" t="s">
        <v>299</v>
      </c>
    </row>
    <row r="79" spans="1:2">
      <c r="A79" t="s">
        <v>454</v>
      </c>
      <c r="B79" t="s">
        <v>301</v>
      </c>
    </row>
    <row r="80" spans="1:2">
      <c r="A80" t="s">
        <v>456</v>
      </c>
      <c r="B80" t="s">
        <v>303</v>
      </c>
    </row>
    <row r="81" spans="1:2">
      <c r="A81" t="s">
        <v>458</v>
      </c>
      <c r="B81" t="s">
        <v>305</v>
      </c>
    </row>
    <row r="82" spans="1:2">
      <c r="A82" t="s">
        <v>460</v>
      </c>
      <c r="B82" t="s">
        <v>307</v>
      </c>
    </row>
    <row r="83" spans="1:2">
      <c r="A83" t="s">
        <v>462</v>
      </c>
      <c r="B83" t="s">
        <v>1650</v>
      </c>
    </row>
    <row r="84" spans="1:2">
      <c r="A84" t="s">
        <v>464</v>
      </c>
      <c r="B84" t="s">
        <v>1654</v>
      </c>
    </row>
    <row r="85" spans="1:2">
      <c r="A85" t="s">
        <v>466</v>
      </c>
      <c r="B85" t="s">
        <v>246</v>
      </c>
    </row>
    <row r="86" spans="1:2">
      <c r="A86" t="s">
        <v>468</v>
      </c>
      <c r="B86" t="s">
        <v>431</v>
      </c>
    </row>
    <row r="87" spans="1:2">
      <c r="A87" t="s">
        <v>470</v>
      </c>
      <c r="B87" t="s">
        <v>1658</v>
      </c>
    </row>
    <row r="88" spans="1:2">
      <c r="A88" t="s">
        <v>472</v>
      </c>
      <c r="B88" t="s">
        <v>63</v>
      </c>
    </row>
    <row r="89" spans="1:2">
      <c r="A89" t="s">
        <v>474</v>
      </c>
      <c r="B89" t="s">
        <v>309</v>
      </c>
    </row>
    <row r="90" spans="1:2">
      <c r="A90" t="s">
        <v>476</v>
      </c>
      <c r="B90" t="s">
        <v>311</v>
      </c>
    </row>
    <row r="91" spans="1:2">
      <c r="A91" t="s">
        <v>477</v>
      </c>
      <c r="B91" t="s">
        <v>1678</v>
      </c>
    </row>
    <row r="92" spans="1:2">
      <c r="A92" t="s">
        <v>479</v>
      </c>
      <c r="B92" t="s">
        <v>69</v>
      </c>
    </row>
    <row r="93" spans="1:2">
      <c r="A93" t="s">
        <v>481</v>
      </c>
      <c r="B93" t="s">
        <v>1680</v>
      </c>
    </row>
    <row r="94" spans="1:2">
      <c r="A94" t="s">
        <v>483</v>
      </c>
      <c r="B94" t="s">
        <v>1682</v>
      </c>
    </row>
    <row r="95" spans="1:2">
      <c r="A95" t="s">
        <v>484</v>
      </c>
      <c r="B95" t="s">
        <v>1686</v>
      </c>
    </row>
    <row r="96" spans="1:2">
      <c r="A96" t="s">
        <v>486</v>
      </c>
      <c r="B96" t="s">
        <v>71</v>
      </c>
    </row>
    <row r="97" spans="1:2">
      <c r="A97" t="s">
        <v>487</v>
      </c>
      <c r="B97" t="s">
        <v>75</v>
      </c>
    </row>
    <row r="98" spans="1:2">
      <c r="A98" t="s">
        <v>488</v>
      </c>
      <c r="B98" t="s">
        <v>77</v>
      </c>
    </row>
    <row r="99" spans="1:2">
      <c r="A99" t="s">
        <v>489</v>
      </c>
      <c r="B99" t="s">
        <v>443</v>
      </c>
    </row>
    <row r="100" spans="1:2">
      <c r="A100" t="s">
        <v>511</v>
      </c>
      <c r="B100" t="s">
        <v>445</v>
      </c>
    </row>
    <row r="101" spans="1:2">
      <c r="A101" t="s">
        <v>513</v>
      </c>
      <c r="B101" t="s">
        <v>447</v>
      </c>
    </row>
    <row r="102" spans="1:2">
      <c r="A102" t="s">
        <v>515</v>
      </c>
      <c r="B102" t="s">
        <v>449</v>
      </c>
    </row>
    <row r="103" spans="1:2">
      <c r="A103" t="s">
        <v>517</v>
      </c>
      <c r="B103" t="s">
        <v>315</v>
      </c>
    </row>
    <row r="104" spans="1:2">
      <c r="A104" t="s">
        <v>519</v>
      </c>
      <c r="B104" t="s">
        <v>491</v>
      </c>
    </row>
    <row r="105" spans="1:2">
      <c r="A105" t="s">
        <v>521</v>
      </c>
      <c r="B105" t="s">
        <v>493</v>
      </c>
    </row>
    <row r="106" spans="1:2">
      <c r="A106" t="s">
        <v>523</v>
      </c>
      <c r="B106" t="s">
        <v>495</v>
      </c>
    </row>
    <row r="107" spans="1:2">
      <c r="A107" t="s">
        <v>525</v>
      </c>
      <c r="B107" t="s">
        <v>497</v>
      </c>
    </row>
    <row r="108" spans="1:2">
      <c r="A108" t="s">
        <v>527</v>
      </c>
      <c r="B108" t="s">
        <v>499</v>
      </c>
    </row>
    <row r="109" spans="1:2">
      <c r="A109" t="s">
        <v>529</v>
      </c>
      <c r="B109" t="s">
        <v>501</v>
      </c>
    </row>
    <row r="110" spans="1:2">
      <c r="A110" t="s">
        <v>531</v>
      </c>
      <c r="B110" t="s">
        <v>503</v>
      </c>
    </row>
    <row r="111" spans="1:2">
      <c r="A111" t="s">
        <v>533</v>
      </c>
      <c r="B111" t="s">
        <v>878</v>
      </c>
    </row>
    <row r="112" spans="1:2">
      <c r="A112" t="s">
        <v>535</v>
      </c>
      <c r="B112" t="s">
        <v>880</v>
      </c>
    </row>
    <row r="113" spans="1:2">
      <c r="A113" t="s">
        <v>537</v>
      </c>
      <c r="B113" t="s">
        <v>882</v>
      </c>
    </row>
    <row r="114" spans="1:2">
      <c r="A114" t="s">
        <v>539</v>
      </c>
      <c r="B114" t="s">
        <v>884</v>
      </c>
    </row>
    <row r="115" spans="1:2">
      <c r="A115" t="s">
        <v>549</v>
      </c>
      <c r="B115" t="s">
        <v>505</v>
      </c>
    </row>
    <row r="116" spans="1:2">
      <c r="A116" t="s">
        <v>894</v>
      </c>
      <c r="B116" t="s">
        <v>507</v>
      </c>
    </row>
    <row r="117" spans="1:2">
      <c r="A117" t="s">
        <v>896</v>
      </c>
      <c r="B117" t="s">
        <v>509</v>
      </c>
    </row>
    <row r="118" spans="1:2">
      <c r="A118" t="s">
        <v>898</v>
      </c>
      <c r="B118" t="s">
        <v>317</v>
      </c>
    </row>
    <row r="119" spans="1:2">
      <c r="A119" t="s">
        <v>900</v>
      </c>
      <c r="B119" t="s">
        <v>79</v>
      </c>
    </row>
    <row r="120" spans="1:2">
      <c r="A120" t="s">
        <v>902</v>
      </c>
      <c r="B120" t="s">
        <v>81</v>
      </c>
    </row>
    <row r="121" spans="1:2">
      <c r="A121" t="s">
        <v>904</v>
      </c>
      <c r="B121" t="s">
        <v>541</v>
      </c>
    </row>
    <row r="122" spans="1:2">
      <c r="A122" t="s">
        <v>906</v>
      </c>
      <c r="B122" t="s">
        <v>886</v>
      </c>
    </row>
    <row r="123" spans="1:2">
      <c r="A123" t="s">
        <v>908</v>
      </c>
      <c r="B123" t="s">
        <v>543</v>
      </c>
    </row>
    <row r="124" spans="1:2">
      <c r="A124" t="s">
        <v>910</v>
      </c>
      <c r="B124" t="s">
        <v>545</v>
      </c>
    </row>
    <row r="125" spans="1:2">
      <c r="A125" t="s">
        <v>912</v>
      </c>
      <c r="B125" t="s">
        <v>547</v>
      </c>
    </row>
    <row r="126" spans="1:2">
      <c r="A126" t="s">
        <v>550</v>
      </c>
      <c r="B126" t="s">
        <v>888</v>
      </c>
    </row>
    <row r="127" spans="1:2">
      <c r="A127" t="s">
        <v>913</v>
      </c>
      <c r="B127" t="s">
        <v>890</v>
      </c>
    </row>
    <row r="128" spans="1:2">
      <c r="A128" t="s">
        <v>914</v>
      </c>
      <c r="B128" t="s">
        <v>892</v>
      </c>
    </row>
    <row r="129" spans="1:2">
      <c r="A129" t="s">
        <v>915</v>
      </c>
      <c r="B129" t="s">
        <v>552</v>
      </c>
    </row>
    <row r="130" spans="1:2">
      <c r="A130" t="s">
        <v>916</v>
      </c>
      <c r="B130" t="s">
        <v>918</v>
      </c>
    </row>
    <row r="131" spans="1:2">
      <c r="A131" t="s">
        <v>558</v>
      </c>
      <c r="B131" t="s">
        <v>920</v>
      </c>
    </row>
    <row r="132" spans="1:2">
      <c r="A132" t="s">
        <v>948</v>
      </c>
      <c r="B132" t="s">
        <v>922</v>
      </c>
    </row>
    <row r="133" spans="1:2">
      <c r="A133" t="s">
        <v>950</v>
      </c>
      <c r="B133" t="s">
        <v>924</v>
      </c>
    </row>
    <row r="134" spans="1:2">
      <c r="A134" t="s">
        <v>952</v>
      </c>
      <c r="B134" t="s">
        <v>926</v>
      </c>
    </row>
    <row r="135" spans="1:2">
      <c r="A135" t="s">
        <v>562</v>
      </c>
      <c r="B135" t="s">
        <v>928</v>
      </c>
    </row>
    <row r="136" spans="1:2">
      <c r="A136" t="s">
        <v>966</v>
      </c>
      <c r="B136" t="s">
        <v>930</v>
      </c>
    </row>
    <row r="137" spans="1:2">
      <c r="A137" t="s">
        <v>968</v>
      </c>
      <c r="B137" t="s">
        <v>932</v>
      </c>
    </row>
    <row r="138" spans="1:2">
      <c r="A138" t="s">
        <v>970</v>
      </c>
      <c r="B138" t="s">
        <v>554</v>
      </c>
    </row>
    <row r="139" spans="1:2">
      <c r="A139" t="s">
        <v>564</v>
      </c>
      <c r="B139" t="s">
        <v>934</v>
      </c>
    </row>
    <row r="140" spans="1:2">
      <c r="A140" t="s">
        <v>972</v>
      </c>
      <c r="B140" t="s">
        <v>936</v>
      </c>
    </row>
    <row r="141" spans="1:2">
      <c r="A141" t="s">
        <v>974</v>
      </c>
      <c r="B141" t="s">
        <v>938</v>
      </c>
    </row>
    <row r="142" spans="1:2">
      <c r="A142" t="s">
        <v>976</v>
      </c>
      <c r="B142" t="s">
        <v>940</v>
      </c>
    </row>
    <row r="143" spans="1:2">
      <c r="A143" t="s">
        <v>978</v>
      </c>
      <c r="B143" t="s">
        <v>942</v>
      </c>
    </row>
    <row r="144" spans="1:2">
      <c r="A144" t="s">
        <v>980</v>
      </c>
      <c r="B144" t="s">
        <v>556</v>
      </c>
    </row>
    <row r="145" spans="1:2">
      <c r="A145" t="s">
        <v>568</v>
      </c>
      <c r="B145" t="s">
        <v>944</v>
      </c>
    </row>
    <row r="146" spans="1:2">
      <c r="A146" t="s">
        <v>998</v>
      </c>
      <c r="B146" t="s">
        <v>946</v>
      </c>
    </row>
    <row r="147" spans="1:2">
      <c r="A147" t="s">
        <v>999</v>
      </c>
      <c r="B147" t="s">
        <v>560</v>
      </c>
    </row>
    <row r="148" spans="1:2">
      <c r="A148" t="s">
        <v>1000</v>
      </c>
      <c r="B148" t="s">
        <v>954</v>
      </c>
    </row>
    <row r="149" spans="1:2">
      <c r="A149" t="s">
        <v>1001</v>
      </c>
      <c r="B149" t="s">
        <v>956</v>
      </c>
    </row>
    <row r="150" spans="1:2">
      <c r="A150" t="s">
        <v>1003</v>
      </c>
      <c r="B150" t="s">
        <v>958</v>
      </c>
    </row>
    <row r="151" spans="1:2">
      <c r="A151" t="s">
        <v>1004</v>
      </c>
      <c r="B151" t="s">
        <v>960</v>
      </c>
    </row>
    <row r="152" spans="1:2">
      <c r="A152" t="s">
        <v>1005</v>
      </c>
      <c r="B152" t="s">
        <v>962</v>
      </c>
    </row>
    <row r="153" spans="1:2">
      <c r="A153" t="s">
        <v>1006</v>
      </c>
      <c r="B153" t="s">
        <v>964</v>
      </c>
    </row>
    <row r="154" spans="1:2">
      <c r="A154" t="s">
        <v>1007</v>
      </c>
      <c r="B154" t="s">
        <v>566</v>
      </c>
    </row>
    <row r="155" spans="1:2">
      <c r="A155" t="s">
        <v>570</v>
      </c>
      <c r="B155" t="s">
        <v>982</v>
      </c>
    </row>
    <row r="156" spans="1:2">
      <c r="A156" t="s">
        <v>1019</v>
      </c>
      <c r="B156" t="s">
        <v>984</v>
      </c>
    </row>
    <row r="157" spans="1:2">
      <c r="A157" t="s">
        <v>1021</v>
      </c>
      <c r="B157" t="s">
        <v>986</v>
      </c>
    </row>
    <row r="158" spans="1:2">
      <c r="A158" t="s">
        <v>1023</v>
      </c>
      <c r="B158" t="s">
        <v>988</v>
      </c>
    </row>
    <row r="159" spans="1:2">
      <c r="A159" t="s">
        <v>1025</v>
      </c>
      <c r="B159" t="s">
        <v>990</v>
      </c>
    </row>
    <row r="160" spans="1:2">
      <c r="A160" t="s">
        <v>1027</v>
      </c>
      <c r="B160" t="s">
        <v>992</v>
      </c>
    </row>
    <row r="161" spans="1:2">
      <c r="A161" t="s">
        <v>1029</v>
      </c>
      <c r="B161" t="s">
        <v>994</v>
      </c>
    </row>
    <row r="162" spans="1:2">
      <c r="A162" t="s">
        <v>1031</v>
      </c>
      <c r="B162" t="s">
        <v>996</v>
      </c>
    </row>
    <row r="163" spans="1:2">
      <c r="A163" t="s">
        <v>1033</v>
      </c>
      <c r="B163" t="s">
        <v>1009</v>
      </c>
    </row>
    <row r="164" spans="1:2">
      <c r="A164" t="s">
        <v>1035</v>
      </c>
      <c r="B164" t="s">
        <v>1011</v>
      </c>
    </row>
    <row r="165" spans="1:2">
      <c r="A165" t="s">
        <v>1037</v>
      </c>
      <c r="B165" t="s">
        <v>1013</v>
      </c>
    </row>
    <row r="166" spans="1:2">
      <c r="A166" t="s">
        <v>1039</v>
      </c>
      <c r="B166" t="s">
        <v>1015</v>
      </c>
    </row>
    <row r="167" spans="1:2">
      <c r="A167" t="s">
        <v>1040</v>
      </c>
      <c r="B167" t="s">
        <v>1017</v>
      </c>
    </row>
    <row r="168" spans="1:2">
      <c r="A168" t="s">
        <v>1042</v>
      </c>
      <c r="B168" t="s">
        <v>572</v>
      </c>
    </row>
    <row r="169" spans="1:2">
      <c r="A169" t="s">
        <v>1043</v>
      </c>
      <c r="B169" t="s">
        <v>1050</v>
      </c>
    </row>
    <row r="170" spans="1:2">
      <c r="A170" t="s">
        <v>1045</v>
      </c>
      <c r="B170" t="s">
        <v>1052</v>
      </c>
    </row>
    <row r="171" spans="1:2">
      <c r="A171" t="s">
        <v>1046</v>
      </c>
      <c r="B171" t="s">
        <v>1054</v>
      </c>
    </row>
    <row r="172" spans="1:2">
      <c r="A172" t="s">
        <v>1048</v>
      </c>
      <c r="B172" t="s">
        <v>1056</v>
      </c>
    </row>
    <row r="173" spans="1:2">
      <c r="A173" t="s">
        <v>594</v>
      </c>
      <c r="B173" t="s">
        <v>1058</v>
      </c>
    </row>
    <row r="174" spans="1:2">
      <c r="A174" t="s">
        <v>1090</v>
      </c>
      <c r="B174" t="s">
        <v>1060</v>
      </c>
    </row>
    <row r="175" spans="1:2">
      <c r="A175" t="s">
        <v>1092</v>
      </c>
      <c r="B175" t="s">
        <v>1062</v>
      </c>
    </row>
    <row r="176" spans="1:2">
      <c r="A176" t="s">
        <v>1094</v>
      </c>
      <c r="B176" t="s">
        <v>151</v>
      </c>
    </row>
    <row r="177" spans="1:2">
      <c r="A177" t="s">
        <v>1096</v>
      </c>
      <c r="B177" t="s">
        <v>1064</v>
      </c>
    </row>
    <row r="178" spans="1:2">
      <c r="A178" t="s">
        <v>1098</v>
      </c>
      <c r="B178" t="s">
        <v>1066</v>
      </c>
    </row>
    <row r="179" spans="1:2">
      <c r="A179" t="s">
        <v>1100</v>
      </c>
      <c r="B179" t="s">
        <v>1068</v>
      </c>
    </row>
    <row r="180" spans="1:2">
      <c r="A180" t="s">
        <v>1102</v>
      </c>
      <c r="B180" t="s">
        <v>1070</v>
      </c>
    </row>
    <row r="181" spans="1:2">
      <c r="A181" t="s">
        <v>1104</v>
      </c>
      <c r="B181" t="s">
        <v>1072</v>
      </c>
    </row>
    <row r="182" spans="1:2">
      <c r="A182" t="s">
        <v>1106</v>
      </c>
      <c r="B182" t="s">
        <v>1074</v>
      </c>
    </row>
    <row r="183" spans="1:2">
      <c r="A183" t="s">
        <v>1108</v>
      </c>
      <c r="B183" t="s">
        <v>1076</v>
      </c>
    </row>
    <row r="184" spans="1:2">
      <c r="A184" t="s">
        <v>1109</v>
      </c>
      <c r="B184" t="s">
        <v>1078</v>
      </c>
    </row>
    <row r="185" spans="1:2">
      <c r="A185" t="s">
        <v>596</v>
      </c>
      <c r="B185" t="s">
        <v>153</v>
      </c>
    </row>
    <row r="186" spans="1:2">
      <c r="A186" t="s">
        <v>1111</v>
      </c>
      <c r="B186" t="s">
        <v>1080</v>
      </c>
    </row>
    <row r="187" spans="1:2">
      <c r="A187" t="s">
        <v>159</v>
      </c>
      <c r="B187" t="s">
        <v>1082</v>
      </c>
    </row>
    <row r="188" spans="1:2">
      <c r="A188" t="s">
        <v>598</v>
      </c>
      <c r="B188" t="s">
        <v>155</v>
      </c>
    </row>
    <row r="189" spans="1:2">
      <c r="A189" t="s">
        <v>1113</v>
      </c>
      <c r="B189" t="s">
        <v>574</v>
      </c>
    </row>
    <row r="190" spans="1:2">
      <c r="A190" t="s">
        <v>1115</v>
      </c>
      <c r="B190" t="s">
        <v>1084</v>
      </c>
    </row>
    <row r="191" spans="1:2">
      <c r="A191" t="s">
        <v>1117</v>
      </c>
      <c r="B191" t="s">
        <v>157</v>
      </c>
    </row>
    <row r="192" spans="1:2">
      <c r="A192" t="s">
        <v>1119</v>
      </c>
      <c r="B192" t="s">
        <v>576</v>
      </c>
    </row>
    <row r="193" spans="1:2">
      <c r="A193" t="s">
        <v>1121</v>
      </c>
      <c r="B193" t="s">
        <v>578</v>
      </c>
    </row>
    <row r="194" spans="1:2">
      <c r="A194" t="s">
        <v>1123</v>
      </c>
      <c r="B194" t="s">
        <v>580</v>
      </c>
    </row>
    <row r="195" spans="1:2">
      <c r="A195" t="s">
        <v>1125</v>
      </c>
      <c r="B195" t="s">
        <v>582</v>
      </c>
    </row>
    <row r="196" spans="1:2">
      <c r="A196" t="s">
        <v>1127</v>
      </c>
      <c r="B196" t="s">
        <v>584</v>
      </c>
    </row>
    <row r="197" spans="1:2">
      <c r="A197" t="s">
        <v>1129</v>
      </c>
      <c r="B197" t="s">
        <v>586</v>
      </c>
    </row>
    <row r="198" spans="1:2">
      <c r="A198" t="s">
        <v>1131</v>
      </c>
      <c r="B198" t="s">
        <v>588</v>
      </c>
    </row>
    <row r="199" spans="1:2">
      <c r="A199" t="s">
        <v>1133</v>
      </c>
      <c r="B199" t="s">
        <v>1086</v>
      </c>
    </row>
    <row r="200" spans="1:2">
      <c r="A200" t="s">
        <v>1135</v>
      </c>
      <c r="B200" t="s">
        <v>590</v>
      </c>
    </row>
    <row r="201" spans="1:2">
      <c r="A201" t="s">
        <v>1137</v>
      </c>
      <c r="B201" t="s">
        <v>592</v>
      </c>
    </row>
    <row r="202" spans="1:2">
      <c r="A202" t="s">
        <v>1139</v>
      </c>
      <c r="B202" t="s">
        <v>1088</v>
      </c>
    </row>
    <row r="203" spans="1:2">
      <c r="A203" t="s">
        <v>1141</v>
      </c>
      <c r="B203" t="s">
        <v>600</v>
      </c>
    </row>
    <row r="204" spans="1:2">
      <c r="A204" t="s">
        <v>1143</v>
      </c>
      <c r="B204" t="s">
        <v>1160</v>
      </c>
    </row>
    <row r="205" spans="1:2">
      <c r="A205" t="s">
        <v>1145</v>
      </c>
      <c r="B205" t="s">
        <v>1161</v>
      </c>
    </row>
    <row r="206" spans="1:2">
      <c r="A206" t="s">
        <v>1147</v>
      </c>
      <c r="B206" t="s">
        <v>1163</v>
      </c>
    </row>
    <row r="207" spans="1:2">
      <c r="A207" t="s">
        <v>1148</v>
      </c>
      <c r="B207" t="s">
        <v>1164</v>
      </c>
    </row>
    <row r="208" spans="1:2">
      <c r="A208" t="s">
        <v>1149</v>
      </c>
      <c r="B208" t="s">
        <v>1166</v>
      </c>
    </row>
    <row r="209" spans="1:2">
      <c r="A209" t="s">
        <v>1151</v>
      </c>
      <c r="B209" t="s">
        <v>1168</v>
      </c>
    </row>
    <row r="210" spans="1:2">
      <c r="A210" t="s">
        <v>1153</v>
      </c>
      <c r="B210" t="s">
        <v>1170</v>
      </c>
    </row>
    <row r="211" spans="1:2">
      <c r="A211" t="s">
        <v>1155</v>
      </c>
      <c r="B211" t="s">
        <v>1172</v>
      </c>
    </row>
    <row r="212" spans="1:2">
      <c r="A212" t="s">
        <v>1156</v>
      </c>
      <c r="B212" t="s">
        <v>1174</v>
      </c>
    </row>
    <row r="213" spans="1:2">
      <c r="A213" t="s">
        <v>1158</v>
      </c>
      <c r="B213" t="s">
        <v>1175</v>
      </c>
    </row>
    <row r="214" spans="1:2">
      <c r="A214" t="s">
        <v>602</v>
      </c>
      <c r="B214" t="s">
        <v>1176</v>
      </c>
    </row>
    <row r="215" spans="1:2">
      <c r="A215" t="s">
        <v>1199</v>
      </c>
      <c r="B215" t="s">
        <v>1178</v>
      </c>
    </row>
    <row r="216" spans="1:2">
      <c r="A216" t="s">
        <v>1201</v>
      </c>
      <c r="B216" t="s">
        <v>1180</v>
      </c>
    </row>
    <row r="217" spans="1:2">
      <c r="A217" t="s">
        <v>1203</v>
      </c>
      <c r="B217" t="s">
        <v>1181</v>
      </c>
    </row>
    <row r="218" spans="1:2">
      <c r="A218" t="s">
        <v>1205</v>
      </c>
      <c r="B218" t="s">
        <v>1182</v>
      </c>
    </row>
    <row r="219" spans="1:2">
      <c r="A219" t="s">
        <v>1207</v>
      </c>
      <c r="B219" t="s">
        <v>1184</v>
      </c>
    </row>
    <row r="220" spans="1:2">
      <c r="A220" t="s">
        <v>1209</v>
      </c>
      <c r="B220" t="s">
        <v>1185</v>
      </c>
    </row>
    <row r="221" spans="1:2">
      <c r="A221" t="s">
        <v>1210</v>
      </c>
      <c r="B221" t="s">
        <v>1186</v>
      </c>
    </row>
    <row r="222" spans="1:2">
      <c r="A222" t="s">
        <v>1211</v>
      </c>
      <c r="B222" t="s">
        <v>1188</v>
      </c>
    </row>
    <row r="223" spans="1:2">
      <c r="A223" t="s">
        <v>1212</v>
      </c>
      <c r="B223" t="s">
        <v>1190</v>
      </c>
    </row>
    <row r="224" spans="1:2">
      <c r="A224" t="s">
        <v>1213</v>
      </c>
      <c r="B224" t="s">
        <v>1192</v>
      </c>
    </row>
    <row r="225" spans="1:2">
      <c r="A225" t="s">
        <v>1215</v>
      </c>
      <c r="B225" t="s">
        <v>1193</v>
      </c>
    </row>
    <row r="226" spans="1:2">
      <c r="A226" t="s">
        <v>1216</v>
      </c>
      <c r="B226" t="s">
        <v>1195</v>
      </c>
    </row>
    <row r="227" spans="1:2">
      <c r="A227" t="s">
        <v>1217</v>
      </c>
      <c r="B227" t="s">
        <v>1197</v>
      </c>
    </row>
    <row r="228" spans="1:2">
      <c r="A228" t="s">
        <v>1218</v>
      </c>
      <c r="B228" t="s">
        <v>1198</v>
      </c>
    </row>
    <row r="229" spans="1:2">
      <c r="A229" t="s">
        <v>1220</v>
      </c>
      <c r="B229" t="s">
        <v>1271</v>
      </c>
    </row>
    <row r="230" spans="1:2">
      <c r="A230" t="s">
        <v>604</v>
      </c>
      <c r="B230" t="s">
        <v>609</v>
      </c>
    </row>
    <row r="231" spans="1:2">
      <c r="A231" t="s">
        <v>1222</v>
      </c>
      <c r="B231" t="s">
        <v>1273</v>
      </c>
    </row>
    <row r="232" spans="1:2">
      <c r="A232" t="s">
        <v>1224</v>
      </c>
      <c r="B232" t="s">
        <v>1279</v>
      </c>
    </row>
    <row r="233" spans="1:2">
      <c r="A233" t="s">
        <v>1226</v>
      </c>
      <c r="B233" t="s">
        <v>1281</v>
      </c>
    </row>
    <row r="234" spans="1:2">
      <c r="A234" t="s">
        <v>1228</v>
      </c>
      <c r="B234" t="s">
        <v>615</v>
      </c>
    </row>
    <row r="235" spans="1:2">
      <c r="A235" t="s">
        <v>1230</v>
      </c>
      <c r="B235" t="s">
        <v>1283</v>
      </c>
    </row>
    <row r="236" spans="1:2">
      <c r="A236" t="s">
        <v>1232</v>
      </c>
      <c r="B236" t="s">
        <v>1285</v>
      </c>
    </row>
    <row r="237" spans="1:2">
      <c r="A237" t="s">
        <v>1234</v>
      </c>
      <c r="B237" t="s">
        <v>1287</v>
      </c>
    </row>
    <row r="238" spans="1:2">
      <c r="A238" t="s">
        <v>1236</v>
      </c>
      <c r="B238" t="s">
        <v>623</v>
      </c>
    </row>
    <row r="239" spans="1:2">
      <c r="A239" t="s">
        <v>605</v>
      </c>
      <c r="B239" t="s">
        <v>1295</v>
      </c>
    </row>
    <row r="240" spans="1:2">
      <c r="A240" t="s">
        <v>1237</v>
      </c>
      <c r="B240" t="s">
        <v>1297</v>
      </c>
    </row>
    <row r="241" spans="1:2">
      <c r="A241" t="s">
        <v>1238</v>
      </c>
      <c r="B241" t="s">
        <v>1299</v>
      </c>
    </row>
    <row r="242" spans="1:2">
      <c r="A242" t="s">
        <v>1239</v>
      </c>
      <c r="B242" t="s">
        <v>625</v>
      </c>
    </row>
    <row r="243" spans="1:2">
      <c r="A243" t="s">
        <v>1241</v>
      </c>
      <c r="B243" t="s">
        <v>163</v>
      </c>
    </row>
    <row r="244" spans="1:2">
      <c r="A244" t="s">
        <v>1242</v>
      </c>
      <c r="B244" t="s">
        <v>627</v>
      </c>
    </row>
    <row r="245" spans="1:2">
      <c r="A245" t="s">
        <v>1243</v>
      </c>
      <c r="B245" t="s">
        <v>1301</v>
      </c>
    </row>
    <row r="246" spans="1:2">
      <c r="A246" t="s">
        <v>1244</v>
      </c>
      <c r="B246" t="s">
        <v>1303</v>
      </c>
    </row>
    <row r="247" spans="1:2">
      <c r="A247" t="s">
        <v>1245</v>
      </c>
      <c r="B247" t="s">
        <v>83</v>
      </c>
    </row>
    <row r="248" spans="1:2">
      <c r="A248" t="s">
        <v>1246</v>
      </c>
      <c r="B248" t="s">
        <v>1304</v>
      </c>
    </row>
    <row r="249" spans="1:2">
      <c r="A249" t="s">
        <v>1247</v>
      </c>
      <c r="B249" t="s">
        <v>1305</v>
      </c>
    </row>
    <row r="250" spans="1:2">
      <c r="A250" t="s">
        <v>1248</v>
      </c>
      <c r="B250" t="s">
        <v>1307</v>
      </c>
    </row>
    <row r="251" spans="1:2">
      <c r="A251" t="s">
        <v>1249</v>
      </c>
      <c r="B251" t="s">
        <v>1308</v>
      </c>
    </row>
    <row r="252" spans="1:2">
      <c r="A252" t="s">
        <v>1250</v>
      </c>
      <c r="B252" t="s">
        <v>1310</v>
      </c>
    </row>
    <row r="253" spans="1:2">
      <c r="A253" t="s">
        <v>1251</v>
      </c>
      <c r="B253" t="s">
        <v>1312</v>
      </c>
    </row>
    <row r="254" spans="1:2">
      <c r="A254" t="s">
        <v>1252</v>
      </c>
      <c r="B254" t="s">
        <v>1314</v>
      </c>
    </row>
    <row r="255" spans="1:2">
      <c r="A255" t="s">
        <v>1253</v>
      </c>
      <c r="B255" t="s">
        <v>1316</v>
      </c>
    </row>
    <row r="256" spans="1:2">
      <c r="A256" t="s">
        <v>1254</v>
      </c>
      <c r="B256" t="s">
        <v>1318</v>
      </c>
    </row>
    <row r="257" spans="1:2">
      <c r="A257" t="s">
        <v>1256</v>
      </c>
      <c r="B257" t="s">
        <v>1320</v>
      </c>
    </row>
    <row r="258" spans="1:2">
      <c r="A258" t="s">
        <v>1257</v>
      </c>
      <c r="B258" t="s">
        <v>85</v>
      </c>
    </row>
    <row r="259" spans="1:2">
      <c r="A259" t="s">
        <v>1258</v>
      </c>
      <c r="B259" t="s">
        <v>319</v>
      </c>
    </row>
    <row r="260" spans="1:2">
      <c r="A260" t="s">
        <v>1259</v>
      </c>
      <c r="B260" t="s">
        <v>629</v>
      </c>
    </row>
    <row r="261" spans="1:2">
      <c r="A261" t="s">
        <v>1260</v>
      </c>
      <c r="B261" t="s">
        <v>1322</v>
      </c>
    </row>
    <row r="262" spans="1:2">
      <c r="A262" t="s">
        <v>1261</v>
      </c>
      <c r="B262" t="s">
        <v>1324</v>
      </c>
    </row>
    <row r="263" spans="1:2">
      <c r="A263" t="s">
        <v>1263</v>
      </c>
      <c r="B263" t="s">
        <v>1326</v>
      </c>
    </row>
    <row r="264" spans="1:2">
      <c r="A264" t="s">
        <v>1264</v>
      </c>
      <c r="B264" t="s">
        <v>1328</v>
      </c>
    </row>
    <row r="265" spans="1:2">
      <c r="A265" t="s">
        <v>1266</v>
      </c>
      <c r="B265" t="s">
        <v>1330</v>
      </c>
    </row>
    <row r="266" spans="1:2">
      <c r="A266" t="s">
        <v>1267</v>
      </c>
      <c r="B266" t="s">
        <v>1332</v>
      </c>
    </row>
    <row r="267" spans="1:2">
      <c r="A267" t="s">
        <v>1268</v>
      </c>
      <c r="B267" t="s">
        <v>1334</v>
      </c>
    </row>
    <row r="268" spans="1:2">
      <c r="A268" t="s">
        <v>1269</v>
      </c>
      <c r="B268" t="s">
        <v>1336</v>
      </c>
    </row>
    <row r="269" spans="1:2">
      <c r="A269" t="s">
        <v>607</v>
      </c>
      <c r="B269" t="s">
        <v>1338</v>
      </c>
    </row>
    <row r="270" spans="1:2">
      <c r="A270" t="s">
        <v>161</v>
      </c>
      <c r="B270" t="s">
        <v>1340</v>
      </c>
    </row>
    <row r="271" spans="1:2">
      <c r="A271" t="s">
        <v>611</v>
      </c>
      <c r="B271" t="s">
        <v>1342</v>
      </c>
    </row>
    <row r="272" spans="1:2">
      <c r="A272" t="s">
        <v>613</v>
      </c>
      <c r="B272" t="s">
        <v>1344</v>
      </c>
    </row>
    <row r="273" spans="1:2">
      <c r="A273" t="s">
        <v>1275</v>
      </c>
      <c r="B273" t="s">
        <v>639</v>
      </c>
    </row>
    <row r="274" spans="1:2">
      <c r="A274" t="s">
        <v>1277</v>
      </c>
      <c r="B274" t="s">
        <v>645</v>
      </c>
    </row>
    <row r="275" spans="1:2">
      <c r="A275" t="s">
        <v>617</v>
      </c>
      <c r="B275" t="s">
        <v>1433</v>
      </c>
    </row>
    <row r="276" spans="1:2">
      <c r="A276" t="s">
        <v>619</v>
      </c>
      <c r="B276" t="s">
        <v>1435</v>
      </c>
    </row>
    <row r="277" spans="1:2">
      <c r="A277" t="s">
        <v>1289</v>
      </c>
      <c r="B277" t="s">
        <v>647</v>
      </c>
    </row>
    <row r="278" spans="1:2">
      <c r="A278" t="s">
        <v>1291</v>
      </c>
      <c r="B278" t="s">
        <v>169</v>
      </c>
    </row>
    <row r="279" spans="1:2">
      <c r="A279" t="s">
        <v>621</v>
      </c>
      <c r="B279" t="s">
        <v>1442</v>
      </c>
    </row>
    <row r="280" spans="1:2">
      <c r="A280" t="s">
        <v>1293</v>
      </c>
      <c r="B280" t="s">
        <v>171</v>
      </c>
    </row>
    <row r="281" spans="1:2">
      <c r="A281" t="s">
        <v>631</v>
      </c>
      <c r="B281" t="s">
        <v>375</v>
      </c>
    </row>
    <row r="282" spans="1:2">
      <c r="A282" t="s">
        <v>165</v>
      </c>
      <c r="B282" t="s">
        <v>182</v>
      </c>
    </row>
    <row r="283" spans="1:2">
      <c r="A283" t="s">
        <v>633</v>
      </c>
      <c r="B283" t="s">
        <v>190</v>
      </c>
    </row>
    <row r="284" spans="1:2">
      <c r="A284" t="s">
        <v>1346</v>
      </c>
      <c r="B284" t="s">
        <v>1516</v>
      </c>
    </row>
    <row r="285" spans="1:2">
      <c r="A285" t="s">
        <v>1348</v>
      </c>
      <c r="B285" t="s">
        <v>1518</v>
      </c>
    </row>
    <row r="286" spans="1:2">
      <c r="A286" t="s">
        <v>1350</v>
      </c>
      <c r="B286" t="s">
        <v>202</v>
      </c>
    </row>
    <row r="287" spans="1:2">
      <c r="A287" t="s">
        <v>1352</v>
      </c>
      <c r="B287" t="s">
        <v>208</v>
      </c>
    </row>
    <row r="288" spans="1:2">
      <c r="A288" t="s">
        <v>1354</v>
      </c>
    </row>
    <row r="289" spans="1:1">
      <c r="A289" t="s">
        <v>1356</v>
      </c>
    </row>
    <row r="290" spans="1:1">
      <c r="A290" t="s">
        <v>1358</v>
      </c>
    </row>
    <row r="291" spans="1:1">
      <c r="A291" t="s">
        <v>1360</v>
      </c>
    </row>
    <row r="292" spans="1:1">
      <c r="A292" t="s">
        <v>1362</v>
      </c>
    </row>
    <row r="293" spans="1:1">
      <c r="A293" t="s">
        <v>1364</v>
      </c>
    </row>
    <row r="294" spans="1:1">
      <c r="A294" t="s">
        <v>1366</v>
      </c>
    </row>
    <row r="295" spans="1:1">
      <c r="A295" t="s">
        <v>1368</v>
      </c>
    </row>
    <row r="296" spans="1:1">
      <c r="A296" t="s">
        <v>1370</v>
      </c>
    </row>
    <row r="297" spans="1:1">
      <c r="A297" t="s">
        <v>1372</v>
      </c>
    </row>
    <row r="298" spans="1:1">
      <c r="A298" t="s">
        <v>1374</v>
      </c>
    </row>
    <row r="299" spans="1:1">
      <c r="A299" t="s">
        <v>635</v>
      </c>
    </row>
    <row r="300" spans="1:1">
      <c r="A300" t="s">
        <v>1376</v>
      </c>
    </row>
    <row r="301" spans="1:1">
      <c r="A301" t="s">
        <v>1378</v>
      </c>
    </row>
    <row r="302" spans="1:1">
      <c r="A302" t="s">
        <v>1380</v>
      </c>
    </row>
    <row r="303" spans="1:1">
      <c r="A303" t="s">
        <v>1382</v>
      </c>
    </row>
    <row r="304" spans="1:1">
      <c r="A304" t="s">
        <v>1384</v>
      </c>
    </row>
    <row r="305" spans="1:1">
      <c r="A305" t="s">
        <v>1386</v>
      </c>
    </row>
    <row r="306" spans="1:1">
      <c r="A306" t="s">
        <v>1388</v>
      </c>
    </row>
    <row r="307" spans="1:1">
      <c r="A307" t="s">
        <v>1390</v>
      </c>
    </row>
    <row r="308" spans="1:1">
      <c r="A308" t="s">
        <v>1392</v>
      </c>
    </row>
    <row r="309" spans="1:1">
      <c r="A309" t="s">
        <v>1394</v>
      </c>
    </row>
    <row r="310" spans="1:1">
      <c r="A310" t="s">
        <v>1396</v>
      </c>
    </row>
    <row r="311" spans="1:1">
      <c r="A311" t="s">
        <v>1398</v>
      </c>
    </row>
    <row r="312" spans="1:1">
      <c r="A312" t="s">
        <v>1400</v>
      </c>
    </row>
    <row r="313" spans="1:1">
      <c r="A313" t="s">
        <v>1402</v>
      </c>
    </row>
    <row r="314" spans="1:1">
      <c r="A314" t="s">
        <v>637</v>
      </c>
    </row>
    <row r="315" spans="1:1">
      <c r="A315" t="s">
        <v>167</v>
      </c>
    </row>
    <row r="316" spans="1:1">
      <c r="A316" t="s">
        <v>641</v>
      </c>
    </row>
    <row r="317" spans="1:1">
      <c r="A317" t="s">
        <v>1404</v>
      </c>
    </row>
    <row r="318" spans="1:1">
      <c r="A318" t="s">
        <v>1406</v>
      </c>
    </row>
    <row r="319" spans="1:1">
      <c r="A319" t="s">
        <v>1408</v>
      </c>
    </row>
    <row r="320" spans="1:1">
      <c r="A320" t="s">
        <v>1410</v>
      </c>
    </row>
    <row r="321" spans="1:1">
      <c r="A321" t="s">
        <v>1412</v>
      </c>
    </row>
    <row r="322" spans="1:1">
      <c r="A322" t="s">
        <v>1414</v>
      </c>
    </row>
    <row r="323" spans="1:1">
      <c r="A323" t="s">
        <v>1416</v>
      </c>
    </row>
    <row r="324" spans="1:1">
      <c r="A324" t="s">
        <v>1418</v>
      </c>
    </row>
    <row r="325" spans="1:1">
      <c r="A325" t="s">
        <v>1420</v>
      </c>
    </row>
    <row r="326" spans="1:1">
      <c r="A326" t="s">
        <v>643</v>
      </c>
    </row>
    <row r="327" spans="1:1">
      <c r="A327" t="s">
        <v>1422</v>
      </c>
    </row>
    <row r="328" spans="1:1">
      <c r="A328" t="s">
        <v>1424</v>
      </c>
    </row>
    <row r="329" spans="1:1">
      <c r="A329" t="s">
        <v>1426</v>
      </c>
    </row>
    <row r="330" spans="1:1">
      <c r="A330" t="s">
        <v>1428</v>
      </c>
    </row>
    <row r="331" spans="1:1">
      <c r="A331" t="s">
        <v>1429</v>
      </c>
    </row>
    <row r="332" spans="1:1">
      <c r="A332" t="s">
        <v>1431</v>
      </c>
    </row>
    <row r="333" spans="1:1">
      <c r="A333" t="s">
        <v>649</v>
      </c>
    </row>
    <row r="334" spans="1:1">
      <c r="A334" t="s">
        <v>1436</v>
      </c>
    </row>
    <row r="335" spans="1:1">
      <c r="A335" t="s">
        <v>1438</v>
      </c>
    </row>
    <row r="336" spans="1:1">
      <c r="A336" t="s">
        <v>1440</v>
      </c>
    </row>
    <row r="337" spans="1:1">
      <c r="A337" t="s">
        <v>1444</v>
      </c>
    </row>
    <row r="338" spans="1:1">
      <c r="A338" t="s">
        <v>1446</v>
      </c>
    </row>
    <row r="339" spans="1:1">
      <c r="A339" t="s">
        <v>1448</v>
      </c>
    </row>
    <row r="340" spans="1:1">
      <c r="A340" t="s">
        <v>1450</v>
      </c>
    </row>
    <row r="341" spans="1:1">
      <c r="A341" t="s">
        <v>651</v>
      </c>
    </row>
    <row r="342" spans="1:1">
      <c r="A342" t="s">
        <v>173</v>
      </c>
    </row>
    <row r="343" spans="1:1">
      <c r="A343" t="s">
        <v>653</v>
      </c>
    </row>
    <row r="344" spans="1:1">
      <c r="A344" t="s">
        <v>1452</v>
      </c>
    </row>
    <row r="345" spans="1:1">
      <c r="A345" t="s">
        <v>1454</v>
      </c>
    </row>
    <row r="346" spans="1:1">
      <c r="A346" t="s">
        <v>1456</v>
      </c>
    </row>
    <row r="347" spans="1:1">
      <c r="A347" t="s">
        <v>1458</v>
      </c>
    </row>
    <row r="348" spans="1:1">
      <c r="A348" t="s">
        <v>1460</v>
      </c>
    </row>
    <row r="349" spans="1:1">
      <c r="A349" t="s">
        <v>1462</v>
      </c>
    </row>
    <row r="350" spans="1:1">
      <c r="A350" t="s">
        <v>1464</v>
      </c>
    </row>
    <row r="351" spans="1:1">
      <c r="A351" t="s">
        <v>1466</v>
      </c>
    </row>
    <row r="352" spans="1:1">
      <c r="A352" t="s">
        <v>1468</v>
      </c>
    </row>
    <row r="353" spans="1:1">
      <c r="A353" t="s">
        <v>655</v>
      </c>
    </row>
    <row r="354" spans="1:1">
      <c r="A354" t="s">
        <v>1470</v>
      </c>
    </row>
    <row r="355" spans="1:1">
      <c r="A355" t="s">
        <v>1472</v>
      </c>
    </row>
    <row r="356" spans="1:1">
      <c r="A356" t="s">
        <v>1474</v>
      </c>
    </row>
    <row r="357" spans="1:1">
      <c r="A357" t="s">
        <v>1476</v>
      </c>
    </row>
    <row r="358" spans="1:1">
      <c r="A358" t="s">
        <v>1478</v>
      </c>
    </row>
    <row r="359" spans="1:1">
      <c r="A359" t="s">
        <v>1480</v>
      </c>
    </row>
    <row r="360" spans="1:1">
      <c r="A360" t="s">
        <v>1482</v>
      </c>
    </row>
    <row r="361" spans="1:1">
      <c r="A361" t="s">
        <v>1484</v>
      </c>
    </row>
    <row r="362" spans="1:1">
      <c r="A362" t="s">
        <v>1486</v>
      </c>
    </row>
    <row r="363" spans="1:1">
      <c r="A363" t="s">
        <v>1488</v>
      </c>
    </row>
    <row r="364" spans="1:1">
      <c r="A364" t="s">
        <v>1490</v>
      </c>
    </row>
    <row r="365" spans="1:1">
      <c r="A365" t="s">
        <v>1492</v>
      </c>
    </row>
    <row r="366" spans="1:1">
      <c r="A366" t="s">
        <v>1494</v>
      </c>
    </row>
    <row r="367" spans="1:1">
      <c r="A367" t="s">
        <v>1496</v>
      </c>
    </row>
    <row r="368" spans="1:1">
      <c r="A368" t="s">
        <v>1498</v>
      </c>
    </row>
    <row r="369" spans="1:1">
      <c r="A369" t="s">
        <v>1500</v>
      </c>
    </row>
    <row r="370" spans="1:1">
      <c r="A370" t="s">
        <v>657</v>
      </c>
    </row>
    <row r="371" spans="1:1">
      <c r="A371" t="s">
        <v>1502</v>
      </c>
    </row>
    <row r="372" spans="1:1">
      <c r="A372" t="s">
        <v>659</v>
      </c>
    </row>
    <row r="373" spans="1:1">
      <c r="A373" t="s">
        <v>661</v>
      </c>
    </row>
    <row r="374" spans="1:1">
      <c r="A374" t="s">
        <v>663</v>
      </c>
    </row>
    <row r="375" spans="1:1">
      <c r="A375" t="s">
        <v>665</v>
      </c>
    </row>
    <row r="376" spans="1:1">
      <c r="A376" t="s">
        <v>667</v>
      </c>
    </row>
    <row r="377" spans="1:1">
      <c r="A377" t="s">
        <v>669</v>
      </c>
    </row>
    <row r="378" spans="1:1">
      <c r="A378" t="s">
        <v>671</v>
      </c>
    </row>
    <row r="379" spans="1:1">
      <c r="A379" t="s">
        <v>673</v>
      </c>
    </row>
    <row r="380" spans="1:1">
      <c r="A380" t="s">
        <v>675</v>
      </c>
    </row>
    <row r="381" spans="1:1">
      <c r="A381" t="s">
        <v>677</v>
      </c>
    </row>
    <row r="382" spans="1:1">
      <c r="A382" t="s">
        <v>679</v>
      </c>
    </row>
    <row r="383" spans="1:1">
      <c r="A383" t="s">
        <v>681</v>
      </c>
    </row>
    <row r="384" spans="1:1">
      <c r="A384" t="s">
        <v>683</v>
      </c>
    </row>
    <row r="385" spans="1:1">
      <c r="A385" t="s">
        <v>129</v>
      </c>
    </row>
    <row r="386" spans="1:1">
      <c r="A386" t="s">
        <v>87</v>
      </c>
    </row>
    <row r="387" spans="1:1">
      <c r="A387" t="s">
        <v>125</v>
      </c>
    </row>
    <row r="388" spans="1:1">
      <c r="A388" t="s">
        <v>685</v>
      </c>
    </row>
    <row r="389" spans="1:1">
      <c r="A389" t="s">
        <v>131</v>
      </c>
    </row>
    <row r="390" spans="1:1">
      <c r="A390" t="s">
        <v>389</v>
      </c>
    </row>
    <row r="391" spans="1:1">
      <c r="A391" t="s">
        <v>1696</v>
      </c>
    </row>
    <row r="392" spans="1:1">
      <c r="A392" t="s">
        <v>248</v>
      </c>
    </row>
    <row r="393" spans="1:1">
      <c r="A393" t="s">
        <v>133</v>
      </c>
    </row>
    <row r="394" spans="1:1">
      <c r="A394" t="s">
        <v>174</v>
      </c>
    </row>
    <row r="395" spans="1:1">
      <c r="A395" t="s">
        <v>89</v>
      </c>
    </row>
    <row r="396" spans="1:1">
      <c r="A396" t="s">
        <v>321</v>
      </c>
    </row>
    <row r="397" spans="1:1">
      <c r="A397" t="s">
        <v>91</v>
      </c>
    </row>
    <row r="398" spans="1:1">
      <c r="A398" t="s">
        <v>93</v>
      </c>
    </row>
    <row r="399" spans="1:1">
      <c r="A399" t="s">
        <v>95</v>
      </c>
    </row>
    <row r="400" spans="1:1">
      <c r="A400" t="s">
        <v>323</v>
      </c>
    </row>
    <row r="401" spans="1:1">
      <c r="A401" t="s">
        <v>687</v>
      </c>
    </row>
    <row r="402" spans="1:1">
      <c r="A402" t="s">
        <v>689</v>
      </c>
    </row>
    <row r="403" spans="1:1">
      <c r="A403" t="s">
        <v>135</v>
      </c>
    </row>
    <row r="404" spans="1:1">
      <c r="A404" t="s">
        <v>405</v>
      </c>
    </row>
    <row r="405" spans="1:1">
      <c r="A405" t="s">
        <v>407</v>
      </c>
    </row>
    <row r="406" spans="1:1">
      <c r="A406" t="s">
        <v>409</v>
      </c>
    </row>
    <row r="407" spans="1:1">
      <c r="A407" t="s">
        <v>411</v>
      </c>
    </row>
    <row r="408" spans="1:1">
      <c r="A408" t="s">
        <v>691</v>
      </c>
    </row>
    <row r="409" spans="1:1">
      <c r="A409" t="s">
        <v>693</v>
      </c>
    </row>
    <row r="410" spans="1:1">
      <c r="A410" t="s">
        <v>137</v>
      </c>
    </row>
    <row r="411" spans="1:1">
      <c r="A411" t="s">
        <v>139</v>
      </c>
    </row>
    <row r="412" spans="1:1">
      <c r="A412" t="s">
        <v>325</v>
      </c>
    </row>
    <row r="413" spans="1:1">
      <c r="A413" t="s">
        <v>327</v>
      </c>
    </row>
    <row r="414" spans="1:1">
      <c r="A414" t="s">
        <v>1504</v>
      </c>
    </row>
    <row r="415" spans="1:1">
      <c r="A415" t="s">
        <v>695</v>
      </c>
    </row>
    <row r="416" spans="1:1">
      <c r="A416" t="s">
        <v>697</v>
      </c>
    </row>
    <row r="417" spans="1:1">
      <c r="A417" t="s">
        <v>699</v>
      </c>
    </row>
    <row r="418" spans="1:1">
      <c r="A418" t="s">
        <v>701</v>
      </c>
    </row>
    <row r="419" spans="1:1">
      <c r="A419" t="s">
        <v>703</v>
      </c>
    </row>
    <row r="420" spans="1:1">
      <c r="A420" t="s">
        <v>705</v>
      </c>
    </row>
    <row r="421" spans="1:1">
      <c r="A421" t="s">
        <v>413</v>
      </c>
    </row>
    <row r="422" spans="1:1">
      <c r="A422" t="s">
        <v>707</v>
      </c>
    </row>
    <row r="423" spans="1:1">
      <c r="A423" t="s">
        <v>709</v>
      </c>
    </row>
    <row r="424" spans="1:1">
      <c r="A424" t="s">
        <v>711</v>
      </c>
    </row>
    <row r="425" spans="1:1">
      <c r="A425" t="s">
        <v>713</v>
      </c>
    </row>
    <row r="426" spans="1:1">
      <c r="A426" t="s">
        <v>715</v>
      </c>
    </row>
    <row r="427" spans="1:1">
      <c r="A427" t="s">
        <v>1506</v>
      </c>
    </row>
    <row r="428" spans="1:1">
      <c r="A428" t="s">
        <v>717</v>
      </c>
    </row>
    <row r="429" spans="1:1">
      <c r="A429" t="s">
        <v>719</v>
      </c>
    </row>
    <row r="430" spans="1:1">
      <c r="A430" t="s">
        <v>721</v>
      </c>
    </row>
    <row r="431" spans="1:1">
      <c r="A431" t="s">
        <v>723</v>
      </c>
    </row>
    <row r="432" spans="1:1">
      <c r="A432" t="s">
        <v>725</v>
      </c>
    </row>
    <row r="433" spans="1:1">
      <c r="A433" t="s">
        <v>329</v>
      </c>
    </row>
    <row r="434" spans="1:1">
      <c r="A434" t="s">
        <v>97</v>
      </c>
    </row>
    <row r="435" spans="1:1">
      <c r="A435" t="s">
        <v>727</v>
      </c>
    </row>
    <row r="436" spans="1:1">
      <c r="A436" t="s">
        <v>729</v>
      </c>
    </row>
    <row r="437" spans="1:1">
      <c r="A437" t="s">
        <v>731</v>
      </c>
    </row>
    <row r="438" spans="1:1">
      <c r="A438" t="s">
        <v>733</v>
      </c>
    </row>
    <row r="439" spans="1:1">
      <c r="A439" t="s">
        <v>735</v>
      </c>
    </row>
    <row r="440" spans="1:1">
      <c r="A440" t="s">
        <v>737</v>
      </c>
    </row>
    <row r="441" spans="1:1">
      <c r="A441" t="s">
        <v>1508</v>
      </c>
    </row>
    <row r="442" spans="1:1">
      <c r="A442" t="s">
        <v>739</v>
      </c>
    </row>
    <row r="443" spans="1:1">
      <c r="A443" t="s">
        <v>741</v>
      </c>
    </row>
    <row r="444" spans="1:1">
      <c r="A444" t="s">
        <v>743</v>
      </c>
    </row>
    <row r="445" spans="1:1">
      <c r="A445" t="s">
        <v>744</v>
      </c>
    </row>
    <row r="446" spans="1:1">
      <c r="A446" t="s">
        <v>746</v>
      </c>
    </row>
    <row r="447" spans="1:1">
      <c r="A447" t="s">
        <v>331</v>
      </c>
    </row>
    <row r="448" spans="1:1">
      <c r="A448" t="s">
        <v>748</v>
      </c>
    </row>
    <row r="449" spans="1:1">
      <c r="A449" t="s">
        <v>750</v>
      </c>
    </row>
    <row r="450" spans="1:1">
      <c r="A450" t="s">
        <v>752</v>
      </c>
    </row>
    <row r="451" spans="1:1">
      <c r="A451" t="s">
        <v>754</v>
      </c>
    </row>
    <row r="452" spans="1:1">
      <c r="A452" t="s">
        <v>756</v>
      </c>
    </row>
    <row r="453" spans="1:1">
      <c r="A453" t="s">
        <v>758</v>
      </c>
    </row>
    <row r="454" spans="1:1">
      <c r="A454" t="s">
        <v>760</v>
      </c>
    </row>
    <row r="455" spans="1:1">
      <c r="A455" t="s">
        <v>762</v>
      </c>
    </row>
    <row r="456" spans="1:1">
      <c r="A456" t="s">
        <v>764</v>
      </c>
    </row>
    <row r="457" spans="1:1">
      <c r="A457" t="s">
        <v>766</v>
      </c>
    </row>
    <row r="458" spans="1:1">
      <c r="A458" t="s">
        <v>768</v>
      </c>
    </row>
    <row r="459" spans="1:1">
      <c r="A459" t="s">
        <v>333</v>
      </c>
    </row>
    <row r="460" spans="1:1">
      <c r="A460" t="s">
        <v>335</v>
      </c>
    </row>
    <row r="461" spans="1:1">
      <c r="A461" t="s">
        <v>770</v>
      </c>
    </row>
    <row r="462" spans="1:1">
      <c r="A462" t="s">
        <v>772</v>
      </c>
    </row>
    <row r="463" spans="1:1">
      <c r="A463" t="s">
        <v>774</v>
      </c>
    </row>
    <row r="464" spans="1:1">
      <c r="A464" t="s">
        <v>776</v>
      </c>
    </row>
    <row r="465" spans="1:1">
      <c r="A465" t="s">
        <v>337</v>
      </c>
    </row>
    <row r="466" spans="1:1">
      <c r="A466" t="s">
        <v>99</v>
      </c>
    </row>
    <row r="467" spans="1:1">
      <c r="A467" t="s">
        <v>778</v>
      </c>
    </row>
    <row r="468" spans="1:1">
      <c r="A468" t="s">
        <v>780</v>
      </c>
    </row>
    <row r="469" spans="1:1">
      <c r="A469" t="s">
        <v>101</v>
      </c>
    </row>
    <row r="470" spans="1:1">
      <c r="A470" t="s">
        <v>782</v>
      </c>
    </row>
    <row r="471" spans="1:1">
      <c r="A471" t="s">
        <v>339</v>
      </c>
    </row>
    <row r="472" spans="1:1">
      <c r="A472" t="s">
        <v>784</v>
      </c>
    </row>
    <row r="473" spans="1:1">
      <c r="A473" t="s">
        <v>786</v>
      </c>
    </row>
    <row r="474" spans="1:1">
      <c r="A474" t="s">
        <v>788</v>
      </c>
    </row>
    <row r="475" spans="1:1">
      <c r="A475" t="s">
        <v>790</v>
      </c>
    </row>
    <row r="476" spans="1:1">
      <c r="A476" t="s">
        <v>792</v>
      </c>
    </row>
    <row r="477" spans="1:1">
      <c r="A477" t="s">
        <v>794</v>
      </c>
    </row>
    <row r="478" spans="1:1">
      <c r="A478" t="s">
        <v>796</v>
      </c>
    </row>
    <row r="479" spans="1:1">
      <c r="A479" t="s">
        <v>798</v>
      </c>
    </row>
    <row r="480" spans="1:1">
      <c r="A480" t="s">
        <v>800</v>
      </c>
    </row>
    <row r="481" spans="1:1">
      <c r="A481" t="s">
        <v>802</v>
      </c>
    </row>
    <row r="482" spans="1:1">
      <c r="A482" t="s">
        <v>141</v>
      </c>
    </row>
    <row r="483" spans="1:1">
      <c r="A483" t="s">
        <v>143</v>
      </c>
    </row>
    <row r="484" spans="1:1">
      <c r="A484" t="s">
        <v>145</v>
      </c>
    </row>
    <row r="485" spans="1:1">
      <c r="A485" t="s">
        <v>147</v>
      </c>
    </row>
    <row r="486" spans="1:1">
      <c r="A486" t="s">
        <v>804</v>
      </c>
    </row>
    <row r="487" spans="1:1">
      <c r="A487" t="s">
        <v>341</v>
      </c>
    </row>
    <row r="488" spans="1:1">
      <c r="A488" t="s">
        <v>806</v>
      </c>
    </row>
    <row r="489" spans="1:1">
      <c r="A489" t="s">
        <v>808</v>
      </c>
    </row>
    <row r="490" spans="1:1">
      <c r="A490" t="s">
        <v>810</v>
      </c>
    </row>
    <row r="491" spans="1:1">
      <c r="A491" t="s">
        <v>812</v>
      </c>
    </row>
    <row r="492" spans="1:1">
      <c r="A492" t="s">
        <v>814</v>
      </c>
    </row>
    <row r="493" spans="1:1">
      <c r="A493" t="s">
        <v>816</v>
      </c>
    </row>
    <row r="494" spans="1:1">
      <c r="A494" t="s">
        <v>818</v>
      </c>
    </row>
    <row r="495" spans="1:1">
      <c r="A495" t="s">
        <v>820</v>
      </c>
    </row>
    <row r="496" spans="1:1">
      <c r="A496" t="s">
        <v>822</v>
      </c>
    </row>
    <row r="497" spans="1:1">
      <c r="A497" t="s">
        <v>824</v>
      </c>
    </row>
    <row r="498" spans="1:1">
      <c r="A498" t="s">
        <v>343</v>
      </c>
    </row>
    <row r="499" spans="1:1">
      <c r="A499" t="s">
        <v>826</v>
      </c>
    </row>
    <row r="500" spans="1:1">
      <c r="A500" t="s">
        <v>828</v>
      </c>
    </row>
    <row r="501" spans="1:1">
      <c r="A501" t="s">
        <v>830</v>
      </c>
    </row>
    <row r="502" spans="1:1">
      <c r="A502" t="s">
        <v>832</v>
      </c>
    </row>
    <row r="503" spans="1:1">
      <c r="A503" t="s">
        <v>834</v>
      </c>
    </row>
    <row r="504" spans="1:1">
      <c r="A504" t="s">
        <v>345</v>
      </c>
    </row>
    <row r="505" spans="1:1">
      <c r="A505" t="s">
        <v>347</v>
      </c>
    </row>
    <row r="506" spans="1:1">
      <c r="A506" t="s">
        <v>349</v>
      </c>
    </row>
    <row r="507" spans="1:1">
      <c r="A507" t="s">
        <v>1698</v>
      </c>
    </row>
    <row r="508" spans="1:1">
      <c r="A508" t="s">
        <v>103</v>
      </c>
    </row>
    <row r="509" spans="1:1">
      <c r="A509" t="s">
        <v>351</v>
      </c>
    </row>
    <row r="510" spans="1:1">
      <c r="A510" t="s">
        <v>105</v>
      </c>
    </row>
    <row r="511" spans="1:1">
      <c r="A511" t="s">
        <v>836</v>
      </c>
    </row>
    <row r="512" spans="1:1">
      <c r="A512" t="s">
        <v>353</v>
      </c>
    </row>
    <row r="513" spans="1:1">
      <c r="A513" t="s">
        <v>838</v>
      </c>
    </row>
    <row r="514" spans="1:1">
      <c r="A514" t="s">
        <v>355</v>
      </c>
    </row>
    <row r="515" spans="1:1">
      <c r="A515" t="s">
        <v>840</v>
      </c>
    </row>
    <row r="516" spans="1:1">
      <c r="A516" t="s">
        <v>842</v>
      </c>
    </row>
    <row r="517" spans="1:1">
      <c r="A517" t="s">
        <v>107</v>
      </c>
    </row>
    <row r="518" spans="1:1">
      <c r="A518" t="s">
        <v>109</v>
      </c>
    </row>
    <row r="519" spans="1:1">
      <c r="A519" t="s">
        <v>357</v>
      </c>
    </row>
    <row r="520" spans="1:1">
      <c r="A520" t="s">
        <v>111</v>
      </c>
    </row>
    <row r="521" spans="1:1">
      <c r="A521" t="s">
        <v>359</v>
      </c>
    </row>
    <row r="522" spans="1:1">
      <c r="A522" t="s">
        <v>113</v>
      </c>
    </row>
    <row r="523" spans="1:1">
      <c r="A523" t="s">
        <v>361</v>
      </c>
    </row>
    <row r="524" spans="1:1">
      <c r="A524" t="s">
        <v>363</v>
      </c>
    </row>
    <row r="525" spans="1:1">
      <c r="A525" t="s">
        <v>391</v>
      </c>
    </row>
    <row r="526" spans="1:1">
      <c r="A526" t="s">
        <v>115</v>
      </c>
    </row>
    <row r="527" spans="1:1">
      <c r="A527" t="s">
        <v>117</v>
      </c>
    </row>
    <row r="528" spans="1:1">
      <c r="A528" t="s">
        <v>393</v>
      </c>
    </row>
    <row r="529" spans="1:1">
      <c r="A529" t="s">
        <v>365</v>
      </c>
    </row>
    <row r="530" spans="1:1">
      <c r="A530" t="s">
        <v>844</v>
      </c>
    </row>
    <row r="531" spans="1:1">
      <c r="A531" t="s">
        <v>395</v>
      </c>
    </row>
    <row r="532" spans="1:1">
      <c r="A532" t="s">
        <v>119</v>
      </c>
    </row>
    <row r="533" spans="1:1">
      <c r="A533" t="s">
        <v>121</v>
      </c>
    </row>
    <row r="534" spans="1:1">
      <c r="A534" t="s">
        <v>367</v>
      </c>
    </row>
    <row r="535" spans="1:1">
      <c r="A535" t="s">
        <v>397</v>
      </c>
    </row>
    <row r="536" spans="1:1">
      <c r="A536" t="s">
        <v>399</v>
      </c>
    </row>
    <row r="537" spans="1:1">
      <c r="A537" t="s">
        <v>369</v>
      </c>
    </row>
    <row r="538" spans="1:1">
      <c r="A538" t="s">
        <v>401</v>
      </c>
    </row>
    <row r="539" spans="1:1">
      <c r="A539" t="s">
        <v>846</v>
      </c>
    </row>
    <row r="540" spans="1:1">
      <c r="A540" t="s">
        <v>848</v>
      </c>
    </row>
    <row r="541" spans="1:1">
      <c r="A541" t="s">
        <v>403</v>
      </c>
    </row>
    <row r="542" spans="1:1">
      <c r="A542" t="s">
        <v>123</v>
      </c>
    </row>
    <row r="543" spans="1:1">
      <c r="A543" t="s">
        <v>371</v>
      </c>
    </row>
    <row r="544" spans="1:1">
      <c r="A544" t="s">
        <v>1510</v>
      </c>
    </row>
    <row r="545" spans="1:1">
      <c r="A545" t="s">
        <v>1512</v>
      </c>
    </row>
    <row r="546" spans="1:1">
      <c r="A546" t="s">
        <v>1514</v>
      </c>
    </row>
    <row r="547" spans="1:1">
      <c r="A547" t="s">
        <v>850</v>
      </c>
    </row>
    <row r="548" spans="1:1">
      <c r="A548" t="s">
        <v>373</v>
      </c>
    </row>
    <row r="549" spans="1:1">
      <c r="A549" t="s">
        <v>852</v>
      </c>
    </row>
    <row r="550" spans="1:1">
      <c r="A550" t="s">
        <v>854</v>
      </c>
    </row>
    <row r="551" spans="1:1">
      <c r="A551" t="s">
        <v>856</v>
      </c>
    </row>
    <row r="552" spans="1:1">
      <c r="A552" t="s">
        <v>858</v>
      </c>
    </row>
    <row r="553" spans="1:1">
      <c r="A553" t="s">
        <v>860</v>
      </c>
    </row>
    <row r="554" spans="1:1">
      <c r="A554" t="s">
        <v>377</v>
      </c>
    </row>
    <row r="555" spans="1:1">
      <c r="A555" t="s">
        <v>862</v>
      </c>
    </row>
    <row r="556" spans="1:1">
      <c r="A556" t="s">
        <v>379</v>
      </c>
    </row>
    <row r="557" spans="1:1">
      <c r="A557" t="s">
        <v>381</v>
      </c>
    </row>
    <row r="558" spans="1:1">
      <c r="A558" t="s">
        <v>864</v>
      </c>
    </row>
    <row r="559" spans="1:1">
      <c r="A559" t="s">
        <v>176</v>
      </c>
    </row>
    <row r="560" spans="1:1">
      <c r="A560" t="s">
        <v>178</v>
      </c>
    </row>
    <row r="561" spans="1:1">
      <c r="A561" t="s">
        <v>180</v>
      </c>
    </row>
    <row r="562" spans="1:1">
      <c r="A562" t="s">
        <v>184</v>
      </c>
    </row>
    <row r="563" spans="1:1">
      <c r="A563" t="s">
        <v>186</v>
      </c>
    </row>
    <row r="564" spans="1:1">
      <c r="A564" t="s">
        <v>188</v>
      </c>
    </row>
    <row r="565" spans="1:1">
      <c r="A565" t="s">
        <v>192</v>
      </c>
    </row>
    <row r="566" spans="1:1">
      <c r="A566" t="s">
        <v>196</v>
      </c>
    </row>
    <row r="567" spans="1:1">
      <c r="A567" t="s">
        <v>194</v>
      </c>
    </row>
    <row r="568" spans="1:1">
      <c r="A568" t="s">
        <v>198</v>
      </c>
    </row>
    <row r="569" spans="1:1">
      <c r="A569" t="s">
        <v>200</v>
      </c>
    </row>
    <row r="570" spans="1:1">
      <c r="A570" t="s">
        <v>204</v>
      </c>
    </row>
    <row r="571" spans="1:1">
      <c r="A571" t="s">
        <v>206</v>
      </c>
    </row>
    <row r="572" spans="1:1">
      <c r="A572" t="s">
        <v>210</v>
      </c>
    </row>
    <row r="573" spans="1:1">
      <c r="A573" t="s">
        <v>212</v>
      </c>
    </row>
    <row r="574" spans="1:1">
      <c r="A574" t="s">
        <v>214</v>
      </c>
    </row>
    <row r="575" spans="1:1">
      <c r="A575" t="s">
        <v>216</v>
      </c>
    </row>
    <row r="576" spans="1:1">
      <c r="A576" t="s">
        <v>218</v>
      </c>
    </row>
    <row r="577" spans="1:1">
      <c r="A577" t="s">
        <v>220</v>
      </c>
    </row>
    <row r="578" spans="1:1">
      <c r="A578" t="s">
        <v>222</v>
      </c>
    </row>
    <row r="579" spans="1:1">
      <c r="A579" t="s">
        <v>224</v>
      </c>
    </row>
    <row r="580" spans="1:1">
      <c r="A580" t="s">
        <v>226</v>
      </c>
    </row>
    <row r="581" spans="1:1">
      <c r="A581" t="s">
        <v>383</v>
      </c>
    </row>
    <row r="582" spans="1:1">
      <c r="A582" t="s">
        <v>385</v>
      </c>
    </row>
    <row r="583" spans="1:1">
      <c r="A583" t="s">
        <v>387</v>
      </c>
    </row>
    <row r="584" spans="1:1">
      <c r="A584" t="s">
        <v>866</v>
      </c>
    </row>
    <row r="585" spans="1:1">
      <c r="A585" t="s">
        <v>868</v>
      </c>
    </row>
    <row r="586" spans="1:1">
      <c r="A586" t="s">
        <v>870</v>
      </c>
    </row>
    <row r="587" spans="1:1">
      <c r="A587" t="s">
        <v>149</v>
      </c>
    </row>
  </sheetData>
  <sortState ref="B2:B287">
    <sortCondition ref="B2"/>
  </sortState>
  <dataConsolidate/>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Roles Overview</vt:lpstr>
      <vt:lpstr>IOE Role Defs</vt:lpstr>
      <vt:lpstr>UCL Role Defs</vt:lpstr>
      <vt:lpstr>Capability Comparison Worksheet</vt:lpstr>
      <vt:lpstr>Capabilities Overview</vt:lpstr>
    </vt:vector>
  </TitlesOfParts>
  <Company>UCL Institute of Education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Neumann</dc:creator>
  <cp:lastModifiedBy>Tim Neumann</cp:lastModifiedBy>
  <dcterms:created xsi:type="dcterms:W3CDTF">2015-02-13T12:54:36Z</dcterms:created>
  <dcterms:modified xsi:type="dcterms:W3CDTF">2015-02-13T15:13:54Z</dcterms:modified>
</cp:coreProperties>
</file>